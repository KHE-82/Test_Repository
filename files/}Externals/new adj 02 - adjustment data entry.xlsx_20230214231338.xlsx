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deler1\AppData\Local\Temp\3\"/>
    </mc:Choice>
  </mc:AlternateContent>
  <bookViews>
    <workbookView xWindow="57480" yWindow="-1965" windowWidth="29040" windowHeight="15840"/>
  </bookViews>
  <sheets>
    <sheet name="data entry" sheetId="1" r:id="rId1"/>
    <sheet name="{PL}PickLst" sheetId="2" state="hidden" r:id="rId2"/>
  </sheets>
  <definedNames>
    <definedName name="db_name">'data entry'!$C$12</definedName>
    <definedName name="Freeze_here">'data entry'!$A$195</definedName>
    <definedName name="psAcc">'data entry'!$Q$191</definedName>
    <definedName name="psByPass">'data entry'!$W$191</definedName>
    <definedName name="psCFFlag">'data entry'!$U$201</definedName>
    <definedName name="psFavID">'data entry'!$AA$191</definedName>
    <definedName name="psHLYear">'data entry'!$C$51</definedName>
    <definedName name="psID">'data entry'!$C$53</definedName>
    <definedName name="psItem">'data entry'!$U$191</definedName>
    <definedName name="psJur">'data entry'!$T$191</definedName>
    <definedName name="psMA">'data entry'!$R$191</definedName>
    <definedName name="psRE">'data entry'!$S$191</definedName>
    <definedName name="psScenario">'data entry'!$C$52</definedName>
    <definedName name="psSPP">'data entry'!$V$191</definedName>
    <definedName name="psUser">'data entry'!$C$17</definedName>
    <definedName name="TM1AdjIDListCAP">'data entry'!$D$37</definedName>
    <definedName name="TM1AdjIDListWB">'data entry'!$F$37</definedName>
    <definedName name="TM1AdjIDListWS">'data entry'!$H$37</definedName>
    <definedName name="TM1EditAdj01CAP">'data entry'!$D$44</definedName>
    <definedName name="TM1EditAdj01WB">'data entry'!$F$44</definedName>
    <definedName name="TM1EditAdj01WS">'data entry'!$H$44</definedName>
    <definedName name="TM1HomeAECAP">'data entry'!$D$35</definedName>
    <definedName name="TM1HomeAEDataEntryCAP">'data entry'!$D$36</definedName>
    <definedName name="TM1HomeAEDataEntryWB">'data entry'!$F$36</definedName>
    <definedName name="TM1HomeAEDataEntryWS">'data entry'!$H$36</definedName>
    <definedName name="TM1HomeAEWB">'data entry'!$F$35</definedName>
    <definedName name="TM1HomeAEWS">'data entry'!$H$35</definedName>
    <definedName name="TM1HomeCAP">'data entry'!$D$34</definedName>
    <definedName name="TM1HomeWB">'data entry'!$F$34</definedName>
    <definedName name="TM1HomeWS">'data entry'!$H$34</definedName>
    <definedName name="TM1NewAdj02DataEntryCAP">'data entry'!$D$38</definedName>
    <definedName name="TM1NewAdj02DataEntryWB">'data entry'!$F$38</definedName>
    <definedName name="TM1NewAdj02DataEntryWS">'data entry'!$H$38</definedName>
    <definedName name="TM1NewAdj03AuthCAP">'data entry'!$D$39</definedName>
    <definedName name="TM1NewAdj03AuthWB">'data entry'!$F$39</definedName>
    <definedName name="TM1NewAdj03AuthWS">'data entry'!$H$39</definedName>
    <definedName name="TM1NewAdj04CopyCAP">'data entry'!$D$40</definedName>
    <definedName name="TM1NewAdj04CopyWB">'data entry'!$F$40</definedName>
    <definedName name="TM1NewAdj04CopyWS">'data entry'!$H$40</definedName>
    <definedName name="TM1NewAdj96ExtractCAP">'data entry'!$D$41</definedName>
    <definedName name="TM1NewAdj96ExtractWB">'data entry'!$F$41</definedName>
    <definedName name="TM1NewAdj96ExtractWS">'data entry'!$H$41</definedName>
    <definedName name="TM1NewAdj98AttachCAP">'data entry'!$D$42</definedName>
    <definedName name="TM1NewAdj98AttachWB">'data entry'!$F$42</definedName>
    <definedName name="TM1NewAdj98AttachWS">'data entry'!$H$42</definedName>
    <definedName name="TM1NewAdj99ValidCAP">'data entry'!$D$43</definedName>
    <definedName name="TM1NewAdj99ValidWB">'data entry'!$F$43</definedName>
    <definedName name="TM1NewAdj99ValidWS">'data entry'!$H$43</definedName>
    <definedName name="TM1REBUILDOPTION">0</definedName>
    <definedName name="TM1RPTDATARNG1" localSheetId="0">'data entry'!$195:$195</definedName>
    <definedName name="TM1RPTDATARNGARPT1" localSheetId="0">'data entry'!$203:$203</definedName>
    <definedName name="TM1RPTDATARNGARPT2" localSheetId="0">'data entry'!$207:$207</definedName>
    <definedName name="TM1RPTFMTIDCOL" localSheetId="0">'data entry'!$A$1:$A$8</definedName>
    <definedName name="TM1RPTFMTRNG" localSheetId="0">'data entry'!$B$1:$AL$8</definedName>
    <definedName name="TM1ViewAdj01HeaderCAP">'data entry'!$D$45</definedName>
    <definedName name="TM1ViewAdj01HeaderWB">'data entry'!$F$45</definedName>
    <definedName name="TM1ViewAdj01HeaderWS">'data entry'!$H$45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2" i="1" l="1"/>
  <c r="C48" i="1"/>
  <c r="C13" i="1"/>
  <c r="C14" i="1"/>
  <c r="C15" i="1"/>
  <c r="C17" i="1"/>
  <c r="C51" i="1"/>
  <c r="C52" i="1"/>
  <c r="C53" i="1"/>
  <c r="C111" i="1"/>
  <c r="C124" i="1"/>
  <c r="AC188" i="1"/>
  <c r="C108" i="1"/>
  <c r="C119" i="1"/>
  <c r="C105" i="1"/>
  <c r="C122" i="1"/>
  <c r="G72" i="1"/>
  <c r="C129" i="1"/>
  <c r="C133" i="1"/>
  <c r="C134" i="1"/>
  <c r="C103" i="1"/>
  <c r="C104" i="1"/>
  <c r="C136" i="1"/>
  <c r="C109" i="1"/>
  <c r="C138" i="1"/>
  <c r="C110" i="1"/>
  <c r="C139" i="1"/>
  <c r="C140" i="1"/>
  <c r="C112" i="1"/>
  <c r="C141" i="1"/>
  <c r="C135" i="1"/>
  <c r="W153" i="1"/>
  <c r="AK154" i="1"/>
  <c r="AK153" i="1"/>
  <c r="AJ154" i="1"/>
  <c r="AJ153" i="1"/>
  <c r="AI154" i="1"/>
  <c r="AI153" i="1"/>
  <c r="AH154" i="1"/>
  <c r="AH153" i="1"/>
  <c r="AG154" i="1"/>
  <c r="AG153" i="1"/>
  <c r="AF154" i="1"/>
  <c r="AF153" i="1"/>
  <c r="AE154" i="1"/>
  <c r="AE153" i="1"/>
  <c r="AD154" i="1"/>
  <c r="AD153" i="1"/>
  <c r="AC154" i="1"/>
  <c r="AC153" i="1"/>
  <c r="AB154" i="1"/>
  <c r="AB153" i="1"/>
  <c r="AA154" i="1"/>
  <c r="AA153" i="1"/>
  <c r="Z154" i="1"/>
  <c r="Z153" i="1"/>
  <c r="Y154" i="1"/>
  <c r="Y153" i="1"/>
  <c r="C77" i="1"/>
  <c r="C87" i="1"/>
  <c r="C160" i="1"/>
  <c r="C159" i="1"/>
  <c r="C130" i="1"/>
  <c r="C137" i="1"/>
  <c r="C116" i="1"/>
  <c r="D116" i="1"/>
  <c r="E116" i="1"/>
  <c r="F116" i="1"/>
  <c r="U201" i="1"/>
  <c r="C147" i="1"/>
  <c r="C131" i="1"/>
  <c r="E137" i="1"/>
  <c r="A195" i="1"/>
  <c r="C144" i="1"/>
  <c r="B195" i="1"/>
  <c r="C195" i="1"/>
  <c r="D195" i="1"/>
  <c r="E195" i="1"/>
  <c r="F195" i="1"/>
  <c r="G195" i="1"/>
  <c r="H195" i="1"/>
  <c r="I195" i="1"/>
  <c r="J195" i="1"/>
  <c r="L195" i="1"/>
  <c r="K195" i="1"/>
  <c r="M195" i="1"/>
  <c r="N195" i="1"/>
  <c r="Q195" i="1"/>
  <c r="R195" i="1"/>
  <c r="S195" i="1"/>
  <c r="T195" i="1"/>
  <c r="U195" i="1"/>
  <c r="V195" i="1"/>
  <c r="W195" i="1"/>
  <c r="Y195" i="1"/>
  <c r="Z195" i="1"/>
  <c r="AA195" i="1"/>
  <c r="AB195" i="1"/>
  <c r="AC195" i="1"/>
  <c r="AD195" i="1"/>
  <c r="AE195" i="1"/>
  <c r="AF195" i="1"/>
  <c r="AG195" i="1"/>
  <c r="AH195" i="1"/>
  <c r="AI195" i="1"/>
  <c r="AJ195" i="1"/>
  <c r="AK195" i="1"/>
  <c r="G207" i="1"/>
  <c r="I207" i="1"/>
  <c r="C207" i="1"/>
  <c r="F207" i="1"/>
  <c r="D207" i="1"/>
  <c r="B207" i="1"/>
  <c r="E207" i="1"/>
  <c r="H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L207" i="1"/>
  <c r="K207" i="1"/>
  <c r="W207" i="1"/>
  <c r="V207" i="1"/>
  <c r="U207" i="1"/>
  <c r="T207" i="1"/>
  <c r="S207" i="1"/>
  <c r="R207" i="1"/>
  <c r="Q207" i="1"/>
  <c r="N207" i="1"/>
  <c r="M207" i="1"/>
  <c r="J207" i="1"/>
  <c r="A207" i="1"/>
  <c r="G203" i="1"/>
  <c r="I203" i="1"/>
  <c r="C203" i="1"/>
  <c r="F203" i="1"/>
  <c r="D203" i="1"/>
  <c r="B203" i="1"/>
  <c r="E203" i="1"/>
  <c r="H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L203" i="1"/>
  <c r="K203" i="1"/>
  <c r="W203" i="1"/>
  <c r="V203" i="1"/>
  <c r="U203" i="1"/>
  <c r="T203" i="1"/>
  <c r="S203" i="1"/>
  <c r="R203" i="1"/>
  <c r="Q203" i="1"/>
  <c r="N203" i="1"/>
  <c r="M203" i="1"/>
  <c r="J203" i="1"/>
  <c r="A203" i="1"/>
  <c r="C132" i="1"/>
  <c r="D137" i="1"/>
  <c r="B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B166" i="1"/>
  <c r="AK166" i="1"/>
  <c r="B167" i="1"/>
  <c r="AK167" i="1"/>
  <c r="AK197" i="1"/>
  <c r="AJ166" i="1"/>
  <c r="AJ167" i="1"/>
  <c r="AJ197" i="1"/>
  <c r="AI166" i="1"/>
  <c r="AI167" i="1"/>
  <c r="AI197" i="1"/>
  <c r="AH166" i="1"/>
  <c r="AH167" i="1"/>
  <c r="AH197" i="1"/>
  <c r="AG166" i="1"/>
  <c r="AG167" i="1"/>
  <c r="AG197" i="1"/>
  <c r="AF166" i="1"/>
  <c r="AF167" i="1"/>
  <c r="AF197" i="1"/>
  <c r="AE166" i="1"/>
  <c r="AE167" i="1"/>
  <c r="AE197" i="1"/>
  <c r="AD166" i="1"/>
  <c r="AD167" i="1"/>
  <c r="AD197" i="1"/>
  <c r="AC166" i="1"/>
  <c r="AC167" i="1"/>
  <c r="AC197" i="1"/>
  <c r="AB166" i="1"/>
  <c r="AB167" i="1"/>
  <c r="AB197" i="1"/>
  <c r="AA166" i="1"/>
  <c r="AA167" i="1"/>
  <c r="AA197" i="1"/>
  <c r="Z166" i="1"/>
  <c r="Z167" i="1"/>
  <c r="Z197" i="1"/>
  <c r="Y166" i="1"/>
  <c r="Y167" i="1"/>
  <c r="Y197" i="1"/>
  <c r="B197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D60" i="1"/>
  <c r="V192" i="1"/>
  <c r="D59" i="1"/>
  <c r="U192" i="1"/>
  <c r="D58" i="1"/>
  <c r="T192" i="1"/>
  <c r="D57" i="1"/>
  <c r="S192" i="1"/>
  <c r="D56" i="1"/>
  <c r="R192" i="1"/>
  <c r="D55" i="1"/>
  <c r="Q192" i="1"/>
  <c r="AA191" i="1"/>
  <c r="W191" i="1"/>
  <c r="V191" i="1"/>
  <c r="U191" i="1"/>
  <c r="T191" i="1"/>
  <c r="S191" i="1"/>
  <c r="R191" i="1"/>
  <c r="Q191" i="1"/>
  <c r="G79" i="1"/>
  <c r="D112" i="1"/>
  <c r="T188" i="1"/>
  <c r="C113" i="1"/>
  <c r="S188" i="1"/>
  <c r="R188" i="1"/>
  <c r="U185" i="1"/>
  <c r="G80" i="1"/>
  <c r="D105" i="1"/>
  <c r="R185" i="1"/>
  <c r="C114" i="1"/>
  <c r="R183" i="1"/>
  <c r="B181" i="1"/>
  <c r="C20" i="1"/>
  <c r="C27" i="1"/>
  <c r="E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U181" i="1"/>
  <c r="R181" i="1"/>
  <c r="B179" i="1"/>
  <c r="C28" i="1"/>
  <c r="E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U179" i="1"/>
  <c r="R179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C156" i="1"/>
  <c r="C155" i="1"/>
  <c r="C123" i="1"/>
  <c r="G83" i="1"/>
  <c r="D123" i="1"/>
  <c r="G81" i="1"/>
  <c r="C121" i="1"/>
  <c r="D121" i="1"/>
  <c r="C120" i="1"/>
  <c r="C115" i="1"/>
  <c r="G78" i="1"/>
  <c r="D111" i="1"/>
  <c r="C107" i="1"/>
  <c r="D107" i="1"/>
  <c r="C106" i="1"/>
  <c r="C65" i="1"/>
  <c r="C78" i="1"/>
  <c r="C23" i="1"/>
  <c r="C96" i="1"/>
  <c r="C97" i="1"/>
  <c r="C98" i="1"/>
  <c r="C99" i="1"/>
  <c r="C94" i="1"/>
  <c r="C93" i="1"/>
  <c r="C95" i="1"/>
  <c r="G82" i="1"/>
  <c r="C66" i="1"/>
  <c r="C89" i="1"/>
  <c r="D89" i="1"/>
  <c r="C88" i="1"/>
  <c r="C84" i="1"/>
  <c r="D84" i="1"/>
  <c r="C83" i="1"/>
  <c r="C82" i="1"/>
  <c r="C81" i="1"/>
  <c r="C80" i="1"/>
  <c r="D80" i="1"/>
  <c r="C79" i="1"/>
  <c r="G74" i="1"/>
  <c r="C74" i="1"/>
  <c r="G73" i="1"/>
  <c r="C73" i="1"/>
  <c r="G71" i="1"/>
  <c r="C71" i="1"/>
  <c r="C25" i="1"/>
  <c r="G70" i="1"/>
  <c r="I69" i="1"/>
  <c r="H69" i="1"/>
  <c r="G69" i="1"/>
  <c r="C69" i="1"/>
  <c r="G68" i="1"/>
  <c r="C68" i="1"/>
  <c r="C67" i="1"/>
  <c r="D62" i="1"/>
  <c r="C62" i="1"/>
  <c r="D61" i="1"/>
  <c r="C61" i="1"/>
  <c r="C60" i="1"/>
  <c r="C59" i="1"/>
  <c r="C58" i="1"/>
  <c r="C57" i="1"/>
  <c r="C56" i="1"/>
  <c r="C55" i="1"/>
  <c r="D54" i="1"/>
  <c r="C54" i="1"/>
  <c r="C50" i="1"/>
  <c r="C31" i="1"/>
  <c r="H45" i="1"/>
  <c r="G45" i="1"/>
  <c r="F45" i="1"/>
  <c r="E45" i="1"/>
  <c r="D45" i="1"/>
  <c r="C45" i="1"/>
  <c r="H44" i="1"/>
  <c r="G44" i="1"/>
  <c r="F44" i="1"/>
  <c r="E44" i="1"/>
  <c r="D44" i="1"/>
  <c r="C44" i="1"/>
  <c r="H43" i="1"/>
  <c r="G43" i="1"/>
  <c r="F43" i="1"/>
  <c r="E43" i="1"/>
  <c r="D43" i="1"/>
  <c r="C43" i="1"/>
  <c r="H42" i="1"/>
  <c r="G42" i="1"/>
  <c r="F42" i="1"/>
  <c r="E42" i="1"/>
  <c r="D42" i="1"/>
  <c r="C42" i="1"/>
  <c r="H41" i="1"/>
  <c r="G41" i="1"/>
  <c r="F41" i="1"/>
  <c r="E41" i="1"/>
  <c r="D41" i="1"/>
  <c r="C41" i="1"/>
  <c r="H40" i="1"/>
  <c r="G40" i="1"/>
  <c r="F40" i="1"/>
  <c r="E40" i="1"/>
  <c r="D40" i="1"/>
  <c r="C40" i="1"/>
  <c r="H39" i="1"/>
  <c r="G39" i="1"/>
  <c r="F39" i="1"/>
  <c r="E39" i="1"/>
  <c r="D39" i="1"/>
  <c r="C39" i="1"/>
  <c r="H38" i="1"/>
  <c r="G38" i="1"/>
  <c r="F38" i="1"/>
  <c r="E38" i="1"/>
  <c r="D38" i="1"/>
  <c r="C38" i="1"/>
  <c r="H37" i="1"/>
  <c r="G37" i="1"/>
  <c r="F37" i="1"/>
  <c r="E37" i="1"/>
  <c r="D37" i="1"/>
  <c r="C37" i="1"/>
  <c r="H36" i="1"/>
  <c r="G36" i="1"/>
  <c r="F36" i="1"/>
  <c r="E36" i="1"/>
  <c r="D36" i="1"/>
  <c r="C36" i="1"/>
  <c r="H35" i="1"/>
  <c r="G35" i="1"/>
  <c r="F35" i="1"/>
  <c r="E35" i="1"/>
  <c r="D35" i="1"/>
  <c r="C35" i="1"/>
  <c r="H34" i="1"/>
  <c r="G34" i="1"/>
  <c r="F34" i="1"/>
  <c r="E34" i="1"/>
  <c r="D34" i="1"/>
  <c r="C34" i="1"/>
  <c r="C26" i="1"/>
  <c r="C24" i="1"/>
  <c r="C22" i="1"/>
  <c r="C21" i="1"/>
  <c r="C16" i="1"/>
  <c r="A5" i="1"/>
  <c r="A4" i="1"/>
  <c r="A3" i="1"/>
  <c r="A2" i="1"/>
</calcChain>
</file>

<file path=xl/comments1.xml><?xml version="1.0" encoding="utf-8"?>
<comments xmlns="http://schemas.openxmlformats.org/spreadsheetml/2006/main">
  <authors>
    <author>Khristian Gimena</author>
  </authors>
  <commentList>
    <comment ref="D137" authorId="0" shapeId="0">
      <text>
        <r>
          <rPr>
            <b/>
            <sz val="9"/>
            <rFont val="Tahoma"/>
            <family val="2"/>
          </rPr>
          <t>Used for CASH FLOW CHECK formulas</t>
        </r>
      </text>
    </comment>
  </commentList>
</comments>
</file>

<file path=xl/sharedStrings.xml><?xml version="1.0" encoding="utf-8"?>
<sst xmlns="http://schemas.openxmlformats.org/spreadsheetml/2006/main" count="622" uniqueCount="563">
  <si>
    <t>[Begin Format Range]</t>
  </si>
  <si>
    <t>N</t>
  </si>
  <si>
    <t>}Clients</t>
  </si>
  <si>
    <t>TM1 User</t>
  </si>
  <si>
    <t>GEUS User Name</t>
  </si>
  <si>
    <t>Current User</t>
  </si>
  <si>
    <t>View</t>
  </si>
  <si>
    <t>headline year</t>
  </si>
  <si>
    <t>headline scenario</t>
  </si>
  <si>
    <t>No MA</t>
  </si>
  <si>
    <t>No RE</t>
  </si>
  <si>
    <t>No Jur</t>
  </si>
  <si>
    <t>geus scenario</t>
  </si>
  <si>
    <t>description</t>
  </si>
  <si>
    <t>No SPP</t>
  </si>
  <si>
    <t>sys_Meas List Underlying Cash Account</t>
  </si>
  <si>
    <t>sys_Meas List Fiscal Balance Account</t>
  </si>
  <si>
    <t>sys_application MDX</t>
  </si>
  <si>
    <t>Slice View (sys_application)</t>
  </si>
  <si>
    <t>Current Workbook</t>
  </si>
  <si>
    <t>Data Entry - New Adj 01 - Header Details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</si>
  <si>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</si>
  <si>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</si>
  <si>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</si>
  <si>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</si>
  <si>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</si>
  <si>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</si>
  <si>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</si>
  <si>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</si>
  <si>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</si>
  <si>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</si>
  <si>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Adjustment - ID List</t>
  </si>
  <si>
    <t>Data Entry - New Adj 02 - Adjustment Entry</t>
  </si>
  <si>
    <t>Data Entry - New Adj 04 - Copy</t>
  </si>
  <si>
    <t>Data Entry - New Adj 03 - Authorise</t>
  </si>
  <si>
    <t>Data Entry - New Adj 96 - Extract</t>
  </si>
  <si>
    <t>Data Entry - New Adj 98 - Attachments</t>
  </si>
  <si>
    <t>Data Entry - Edit Adj 01 - Header Details</t>
  </si>
  <si>
    <t>Data Entry - View Adj 01 - Header Details</t>
  </si>
  <si>
    <t>Client Preference</t>
  </si>
  <si>
    <t>value</t>
  </si>
  <si>
    <t>Data Entry - New Adj 99 - Validations</t>
  </si>
  <si>
    <t>validate</t>
  </si>
  <si>
    <t>sys_client preference measure</t>
  </si>
  <si>
    <t>geus hl year</t>
  </si>
  <si>
    <t>geus adj</t>
  </si>
  <si>
    <t>geus programme</t>
  </si>
  <si>
    <t>adj_related entity</t>
  </si>
  <si>
    <t>-</t>
  </si>
  <si>
    <t>adj_account</t>
  </si>
  <si>
    <t>adj_movement account</t>
  </si>
  <si>
    <t>adj_bypass account validation</t>
  </si>
  <si>
    <t>Send to Client Preference (For Default Values In Adding Accounts)</t>
  </si>
  <si>
    <t>Account Principal Name</t>
  </si>
  <si>
    <t>Movement Account Principal Name</t>
  </si>
  <si>
    <t>=IF($C$67="",$C$24,IF($C$68&lt;&gt;"",$D$68,IF(psRE=$D$68,$D$68,psRE)))</t>
  </si>
  <si>
    <t>DBSS (adj_account)</t>
  </si>
  <si>
    <t>Identify Default Values To Send</t>
  </si>
  <si>
    <t>DBSS(adj_movement account)</t>
  </si>
  <si>
    <t>Utilises movement account mapping</t>
  </si>
  <si>
    <t>DBSS(adj_jurisdiction)</t>
  </si>
  <si>
    <t>"=@IF((psAcc&lt;&gt;""),DBSS($G86,$C$48,$C$14,$B74,C$49),"")"</t>
  </si>
  <si>
    <t>Treasury GEUS Customisation</t>
  </si>
  <si>
    <t>Jurisdiction</t>
  </si>
  <si>
    <t>DBSS(adj_appropriation item)</t>
  </si>
  <si>
    <t>Appropriation Item</t>
  </si>
  <si>
    <t>DBSS(adj_spp)</t>
  </si>
  <si>
    <t>adj_jurisdiction</t>
  </si>
  <si>
    <t>adj_appropriation item</t>
  </si>
  <si>
    <t>adj_spp</t>
  </si>
  <si>
    <t>0000-0000</t>
  </si>
  <si>
    <t>Movement Account</t>
  </si>
  <si>
    <t>Natural Sign</t>
  </si>
  <si>
    <t>Related Entity</t>
  </si>
  <si>
    <t>SPP required</t>
  </si>
  <si>
    <t>SPP</t>
  </si>
  <si>
    <t>JURISDICTION</t>
  </si>
  <si>
    <t>DBSS(adj_bypass account validation)</t>
  </si>
  <si>
    <t>Appropriation</t>
  </si>
  <si>
    <t>adj_favourite id</t>
  </si>
  <si>
    <t>Account By Pass</t>
  </si>
  <si>
    <t>DBSS(adj_favourite id)</t>
  </si>
  <si>
    <t>Favourite ID</t>
  </si>
  <si>
    <t>}ElementAttributes_account</t>
  </si>
  <si>
    <t>}Element Attributes</t>
  </si>
  <si>
    <t>Account View</t>
  </si>
  <si>
    <t>SELECT FAVOURITES</t>
  </si>
  <si>
    <t>movement account required</t>
  </si>
  <si>
    <t>}ElementAttributes_movement account</t>
  </si>
  <si>
    <t>Reason Code</t>
  </si>
  <si>
    <t>MA View</t>
  </si>
  <si>
    <t>related entity enabled</t>
  </si>
  <si>
    <t>Measure Code</t>
  </si>
  <si>
    <t>spp</t>
  </si>
  <si>
    <t>assumed related entity</t>
  </si>
  <si>
    <t>programme</t>
  </si>
  <si>
    <t>appropriation type required</t>
  </si>
  <si>
    <t>related entity</t>
  </si>
  <si>
    <t>SPP Required</t>
  </si>
  <si>
    <t>favourite id</t>
  </si>
  <si>
    <t>default movement account</t>
  </si>
  <si>
    <t>DBSS(adj_related entity)</t>
  </si>
  <si>
    <t>sys_account movement account mapping</t>
  </si>
  <si>
    <t>This cube is used to identify if there are any movement account restrictions</t>
  </si>
  <si>
    <t>jurisdiction required</t>
  </si>
  <si>
    <t>Cube View</t>
  </si>
  <si>
    <t>appropriation item</t>
  </si>
  <si>
    <t>Measure</t>
  </si>
  <si>
    <t>}TM1_DefaultDisplayValue</t>
  </si>
  <si>
    <t>Count of Mapping</t>
  </si>
  <si>
    <t>Movement Account Subset</t>
  </si>
  <si>
    <t>Movement Account Subset First Element</t>
  </si>
  <si>
    <t>Default Movement Account Element</t>
  </si>
  <si>
    <t>Slice View</t>
  </si>
  <si>
    <t>Movement Account Num+Desc Attribute</t>
  </si>
  <si>
    <t>AE ID Details</t>
  </si>
  <si>
    <t>Database Variables</t>
  </si>
  <si>
    <t>Database Name</t>
  </si>
  <si>
    <t>AE Adjustments (HEADER TITLES)</t>
  </si>
  <si>
    <t>Active Form View (Standard)</t>
  </si>
  <si>
    <t>Active Form View (Cash Flow)</t>
  </si>
  <si>
    <t>Slice</t>
  </si>
  <si>
    <t>D</t>
  </si>
  <si>
    <t>DESCRIPTIONS</t>
  </si>
  <si>
    <t>System Variables</t>
  </si>
  <si>
    <t>status</t>
  </si>
  <si>
    <t>[End Format Range]</t>
  </si>
  <si>
    <t>appropriation type</t>
  </si>
  <si>
    <t>outcome</t>
  </si>
  <si>
    <t>function</t>
  </si>
  <si>
    <t>reason</t>
  </si>
  <si>
    <t>measure</t>
  </si>
  <si>
    <t>CBMS Measure code</t>
  </si>
  <si>
    <t>title</t>
  </si>
  <si>
    <t>disagree cash flow</t>
  </si>
  <si>
    <t>Programme Details</t>
  </si>
  <si>
    <t>default favourite template</t>
  </si>
  <si>
    <t>Active Form View (Cash Flow Variance)</t>
  </si>
  <si>
    <t>Slice VIEW</t>
  </si>
  <si>
    <t>scenario</t>
  </si>
  <si>
    <t>id</t>
  </si>
  <si>
    <t>status (for cash flow active form)</t>
  </si>
  <si>
    <t>AE Adjustments (MDX)</t>
  </si>
  <si>
    <t>{TM1FILTERBYLEVEL( {TM1SUBSETALL( [appropriation item] )}, 0)}</t>
  </si>
  <si>
    <t>Programme MDX</t>
  </si>
  <si>
    <t>{FILTER( { EXCEPT( {TM1SORT( {TM1FILTERBYLEVEL( {TM1SUBSETALL( [account] )}, 0)}, ASC)}, { [account].[9000520], [account].[9000525], [account].[9000510], [account].[9000515],[account].[9000701], [account].[9000702], [account].[account template] }) }, [account].[Account Type] &lt;&gt; "Cash Flow")}</t>
  </si>
  <si>
    <t>{ EXCEPT( {TM1SORT( {TM1FILTERBYLEVEL( {TM1SUBSETALL( [account] )}, 0)}, ASC)}, {[account].[9000520], [account].[9000525], [account].[9000510], [account].[9000515], [account].[9000701], [account].[9000702],[account].[6100001], [account].[account template] }) }}</t>
  </si>
  <si>
    <t>Account MDX (CF)</t>
  </si>
  <si>
    <t>{ EXCEPT( {FILTER( {TM1SORT( {TM1FILTERBYLEVEL( {TM1SUBSETALL( [account] )}, 0)}, ASC)}, [account].[Account type] = "Cash Flow")}, { [account].[6100001] }) }</t>
  </si>
  <si>
    <t>Movement Account MDX</t>
  </si>
  <si>
    <t>measure code</t>
  </si>
  <si>
    <t>Account MDX</t>
  </si>
  <si>
    <t>{FILTER( {TM1FILTERBYLEVEL( {TM1SUBSETALL( [movement account] )}, 0)}, [movement account].[editable] = "")}</t>
  </si>
  <si>
    <t>Appropriation Type MDX</t>
  </si>
  <si>
    <t>{TM1FILTERBYLEVEL( {TM1SUBSETALL( [appropriation type] )}, 0)}</t>
  </si>
  <si>
    <t>Appropriation Item MDX</t>
  </si>
  <si>
    <t>Related Entity MDX</t>
  </si>
  <si>
    <t>{TM1FILTERBYLEVEL( {TM1SUBSETALL( [related entity] )}, 0)}</t>
  </si>
  <si>
    <t>Jurisdiction MDX</t>
  </si>
  <si>
    <t>{TM1FILTERBYLEVEL( {TM1SUBSETALL( [jurisdiction] )}, 0)}</t>
  </si>
  <si>
    <t>Cube View (Slice)</t>
  </si>
  <si>
    <t>SPP MDX</t>
  </si>
  <si>
    <t>Period</t>
  </si>
  <si>
    <t>AE validation</t>
  </si>
  <si>
    <t>To Use</t>
  </si>
  <si>
    <t>FBO</t>
  </si>
  <si>
    <t>Validation Check</t>
  </si>
  <si>
    <t>Total approp types</t>
  </si>
  <si>
    <t>Total approp item</t>
  </si>
  <si>
    <t>3800001</t>
  </si>
  <si>
    <t>balance check</t>
  </si>
  <si>
    <t>Total related entity</t>
  </si>
  <si>
    <t>Total jurisdictions</t>
  </si>
  <si>
    <t>Total SPP</t>
  </si>
  <si>
    <t>sys_account approp mapping</t>
  </si>
  <si>
    <t>Current</t>
  </si>
  <si>
    <t>sys_account approp mapping measure</t>
  </si>
  <si>
    <t>BALANCE CHECKS</t>
  </si>
  <si>
    <t>Balance Check</t>
  </si>
  <si>
    <t>sys_ae_opening balances</t>
  </si>
  <si>
    <t>Adjustment - Financials Data Entry</t>
  </si>
  <si>
    <t xml:space="preserve">Note : This screen is used to enter financial details; add accounts if required; select cash flow model; check validations; or AUTHORISE to the next stage.  </t>
  </si>
  <si>
    <t>Headline Year :</t>
  </si>
  <si>
    <t>Scenario :</t>
  </si>
  <si>
    <t>Fiscal Balance:</t>
  </si>
  <si>
    <t>Id :</t>
  </si>
  <si>
    <t>Status :</t>
  </si>
  <si>
    <t>Underlying Cash:</t>
  </si>
  <si>
    <t>Title :</t>
  </si>
  <si>
    <t>Program :</t>
  </si>
  <si>
    <t>Reason :</t>
  </si>
  <si>
    <t>Measure Code :</t>
  </si>
  <si>
    <t>GEUS ID :</t>
  </si>
  <si>
    <t>CBMS Code :</t>
  </si>
  <si>
    <t>Measure Title :</t>
  </si>
  <si>
    <t>Show PA Year :</t>
  </si>
  <si>
    <t>ACCOUNT</t>
  </si>
  <si>
    <t>MOVEMENT ACCOUNT</t>
  </si>
  <si>
    <t>RELATED ENTITY</t>
  </si>
  <si>
    <t>=DIMNM(db_name&amp;":account",DIMIX(db_name&amp;":account",$Q$174))</t>
  </si>
  <si>
    <t>{TM1FILTERBYLEVEL( {TM1SUBSETALL( [spp] )}, 0)}</t>
  </si>
  <si>
    <t xml:space="preserve">APPROPRIATION </t>
  </si>
  <si>
    <t>OVERRIDE</t>
  </si>
  <si>
    <t>Programme</t>
  </si>
  <si>
    <t>Appropriation Type</t>
  </si>
  <si>
    <t>Approp Flag</t>
  </si>
  <si>
    <t>DR/CR</t>
  </si>
  <si>
    <t xml:space="preserve">Balance Check : </t>
  </si>
  <si>
    <t>6200000</t>
  </si>
  <si>
    <t>Total movement</t>
  </si>
  <si>
    <t xml:space="preserve">Cash Flow Check : </t>
  </si>
  <si>
    <t>DERIVED CASH FLOW STATEMENTS</t>
  </si>
  <si>
    <t xml:space="preserve">SELECT CASH FLOW MODEL : </t>
  </si>
  <si>
    <t xml:space="preserve"> </t>
  </si>
  <si>
    <t>CASH FLOW ADJUSTMENTS (MANUAL - SYSTEM DERIVED)</t>
  </si>
  <si>
    <t>A001-00016-05000</t>
  </si>
  <si>
    <t>A001-00016-05001</t>
  </si>
  <si>
    <t>A002-00005-05002</t>
  </si>
  <si>
    <t>A002-00005-05003</t>
  </si>
  <si>
    <t>A002-00005-05004</t>
  </si>
  <si>
    <t>A002-00005-05005</t>
  </si>
  <si>
    <t>A002-00005-05007</t>
  </si>
  <si>
    <t>A002-00006-05002</t>
  </si>
  <si>
    <t>A002-00006-05003</t>
  </si>
  <si>
    <t>A002-00006-05004</t>
  </si>
  <si>
    <t>A002-00006-05005</t>
  </si>
  <si>
    <t>A002-00006-05007</t>
  </si>
  <si>
    <t>A002-00007-05002</t>
  </si>
  <si>
    <t>A002-00007-05003</t>
  </si>
  <si>
    <t>A002-00007-05004</t>
  </si>
  <si>
    <t>A002-00007-05005</t>
  </si>
  <si>
    <t>A002-00007-05007</t>
  </si>
  <si>
    <t>A002-00008-05002</t>
  </si>
  <si>
    <t>A002-00008-05003</t>
  </si>
  <si>
    <t>A002-00008-05004</t>
  </si>
  <si>
    <t>A002-00008-05005</t>
  </si>
  <si>
    <t>A002-00008-05007</t>
  </si>
  <si>
    <t>A002-00017-05002</t>
  </si>
  <si>
    <t>A002-00017-05003</t>
  </si>
  <si>
    <t>A002-00017-05004</t>
  </si>
  <si>
    <t>A002-00017-05005</t>
  </si>
  <si>
    <t>A002-00017-05007</t>
  </si>
  <si>
    <t>A006-00019-05000</t>
  </si>
  <si>
    <t>A006-00019-05001</t>
  </si>
  <si>
    <t>A007-00020-05002</t>
  </si>
  <si>
    <t>A007-00020-05004</t>
  </si>
  <si>
    <t>A009-00013-05006</t>
  </si>
  <si>
    <t>A010-00014-01436</t>
  </si>
  <si>
    <t>A100-10000-04200</t>
  </si>
  <si>
    <t>A100-10000-04201</t>
  </si>
  <si>
    <t>A100-10000-04271</t>
  </si>
  <si>
    <t>A100-10022-04062</t>
  </si>
  <si>
    <t>A100-10105-04073</t>
  </si>
  <si>
    <t>A100-10196-04061</t>
  </si>
  <si>
    <t>A100-10256-04107</t>
  </si>
  <si>
    <t>A100-10262-04247</t>
  </si>
  <si>
    <t>A200-20061-04076</t>
  </si>
  <si>
    <t>A200-20132-04183</t>
  </si>
  <si>
    <t>A200-20162-04066</t>
  </si>
  <si>
    <t>A300-30029-04202</t>
  </si>
  <si>
    <t>A300-30031-04035</t>
  </si>
  <si>
    <t>A300-30032-04031</t>
  </si>
  <si>
    <t>A300-30056-04047</t>
  </si>
  <si>
    <t>A300-30081-04106</t>
  </si>
  <si>
    <t>1038</t>
  </si>
  <si>
    <t>1039</t>
  </si>
  <si>
    <t>1070</t>
  </si>
  <si>
    <t>1078</t>
  </si>
  <si>
    <t>1085</t>
  </si>
  <si>
    <t>1097</t>
  </si>
  <si>
    <t>1128</t>
  </si>
  <si>
    <t>1139</t>
  </si>
  <si>
    <t>1171</t>
  </si>
  <si>
    <t>1173</t>
  </si>
  <si>
    <t>1208</t>
  </si>
  <si>
    <t>1296</t>
  </si>
  <si>
    <t>1313</t>
  </si>
  <si>
    <t>1314</t>
  </si>
  <si>
    <t>1319</t>
  </si>
  <si>
    <t>1322</t>
  </si>
  <si>
    <t>1331</t>
  </si>
  <si>
    <t>1350</t>
  </si>
  <si>
    <t>1351</t>
  </si>
  <si>
    <t>1352</t>
  </si>
  <si>
    <t>1355</t>
  </si>
  <si>
    <t>1365</t>
  </si>
  <si>
    <t>1373</t>
  </si>
  <si>
    <t>1376</t>
  </si>
  <si>
    <t>1379</t>
  </si>
  <si>
    <t>1380</t>
  </si>
  <si>
    <t>1381</t>
  </si>
  <si>
    <t>1382</t>
  </si>
  <si>
    <t>1383</t>
  </si>
  <si>
    <t>1385</t>
  </si>
  <si>
    <t>1386</t>
  </si>
  <si>
    <t>1413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</si>
  <si>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</si>
  <si>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</si>
  <si>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</si>
  <si>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</si>
  <si>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</si>
  <si>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</si>
  <si>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</si>
  <si>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</si>
  <si>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</si>
  <si>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</si>
  <si>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</si>
  <si>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</si>
  <si>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</si>
  <si>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1431</t>
  </si>
  <si>
    <t>1436</t>
  </si>
  <si>
    <t>1438</t>
  </si>
  <si>
    <t>1439</t>
  </si>
  <si>
    <t>1468</t>
  </si>
  <si>
    <t>1470</t>
  </si>
  <si>
    <t>1629</t>
  </si>
  <si>
    <t>1633</t>
  </si>
  <si>
    <t>1725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</si>
  <si>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</si>
  <si>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</si>
  <si>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</si>
  <si>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</si>
  <si>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</si>
  <si>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</si>
  <si>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</si>
  <si>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</si>
  <si>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</si>
  <si>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</si>
  <si>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</si>
  <si>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</si>
  <si>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</si>
  <si>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</si>
  <si>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</si>
  <si>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</si>
  <si>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</si>
  <si>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</si>
  <si>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</si>
  <si>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</si>
  <si>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</si>
  <si>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</si>
  <si>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</si>
  <si>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</si>
  <si>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</si>
  <si>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</si>
  <si>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</si>
  <si>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</si>
  <si>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</si>
  <si>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1873</t>
  </si>
  <si>
    <t>1874</t>
  </si>
  <si>
    <t>1875</t>
  </si>
  <si>
    <t>1876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</si>
  <si>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</si>
  <si>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</si>
  <si>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</si>
  <si>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</si>
  <si>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</si>
  <si>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</si>
  <si>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</si>
  <si>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</si>
  <si>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</si>
  <si>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</si>
  <si>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</si>
  <si>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</si>
  <si>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</si>
  <si>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</si>
  <si>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</si>
  <si>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</si>
  <si>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</si>
  <si>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</si>
  <si>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</si>
  <si>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</si>
  <si>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</si>
  <si>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</si>
  <si>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</si>
  <si>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</si>
  <si>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</si>
  <si>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</si>
  <si>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</si>
  <si>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</si>
  <si>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</si>
  <si>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</si>
  <si>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</si>
  <si>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</si>
  <si>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</si>
  <si>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</si>
  <si>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</si>
  <si>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</si>
  <si>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</si>
  <si>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</si>
  <si>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</si>
  <si>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</si>
  <si>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</si>
  <si>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</si>
  <si>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</si>
  <si>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</si>
  <si>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</si>
  <si>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</si>
  <si>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</si>
  <si>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</si>
  <si>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</si>
  <si>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</si>
  <si>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</si>
  <si>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</si>
  <si>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</si>
  <si>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</si>
  <si>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</si>
  <si>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</si>
  <si>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</si>
  <si>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</si>
  <si>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</si>
  <si>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</si>
  <si>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</si>
  <si>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</si>
  <si>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</si>
  <si>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</si>
  <si>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</si>
  <si>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</si>
  <si>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</si>
  <si>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</si>
  <si>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</si>
  <si>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</si>
  <si>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</si>
  <si>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</si>
  <si>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</si>
  <si>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</si>
  <si>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</si>
  <si>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</si>
  <si>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</si>
  <si>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1956</t>
  </si>
  <si>
    <t>1957</t>
  </si>
  <si>
    <t>1958</t>
  </si>
  <si>
    <t>1960</t>
  </si>
  <si>
    <t>1961</t>
  </si>
  <si>
    <t>1963</t>
  </si>
  <si>
    <t>1964</t>
  </si>
  <si>
    <t>1965</t>
  </si>
  <si>
    <t>1967</t>
  </si>
  <si>
    <t>1969</t>
  </si>
  <si>
    <t>1970</t>
  </si>
  <si>
    <t>1972</t>
  </si>
  <si>
    <t>1973</t>
  </si>
  <si>
    <t>1975</t>
  </si>
  <si>
    <t>1976</t>
  </si>
  <si>
    <t>1977</t>
  </si>
  <si>
    <t>1979</t>
  </si>
  <si>
    <t>1980</t>
  </si>
  <si>
    <t>1982</t>
  </si>
  <si>
    <t>1983</t>
  </si>
  <si>
    <t>1985</t>
  </si>
  <si>
    <t>1986</t>
  </si>
  <si>
    <t>1988</t>
  </si>
  <si>
    <t>1989</t>
  </si>
  <si>
    <t>1991</t>
  </si>
  <si>
    <t>1992</t>
  </si>
  <si>
    <t>1994</t>
  </si>
  <si>
    <t>1995</t>
  </si>
  <si>
    <t>1997</t>
  </si>
  <si>
    <t>1998</t>
  </si>
  <si>
    <t>2107</t>
  </si>
  <si>
    <t>2108</t>
  </si>
  <si>
    <t>2109</t>
  </si>
  <si>
    <t>2110</t>
  </si>
  <si>
    <t>2111</t>
  </si>
  <si>
    <t>2254</t>
  </si>
  <si>
    <t>2272</t>
  </si>
  <si>
    <t>2277</t>
  </si>
  <si>
    <t>2375</t>
  </si>
  <si>
    <t>2379</t>
  </si>
  <si>
    <t>2380</t>
  </si>
  <si>
    <t>2381</t>
  </si>
  <si>
    <t>2382</t>
  </si>
  <si>
    <t>2383</t>
  </si>
  <si>
    <t>2522</t>
  </si>
  <si>
    <t>2523</t>
  </si>
  <si>
    <t>2524</t>
  </si>
  <si>
    <t>2601</t>
  </si>
  <si>
    <t>2627</t>
  </si>
  <si>
    <t>2703</t>
  </si>
  <si>
    <t>2857</t>
  </si>
  <si>
    <t>2858</t>
  </si>
  <si>
    <t>2859</t>
  </si>
  <si>
    <t>2860</t>
  </si>
  <si>
    <t>2905</t>
  </si>
  <si>
    <t>2946</t>
  </si>
  <si>
    <t>2947</t>
  </si>
  <si>
    <t>2948</t>
  </si>
  <si>
    <t>3004</t>
  </si>
  <si>
    <t>3005</t>
  </si>
  <si>
    <t>3006</t>
  </si>
  <si>
    <t>3034</t>
  </si>
  <si>
    <t>3094</t>
  </si>
  <si>
    <t>3095</t>
  </si>
  <si>
    <t>3096</t>
  </si>
  <si>
    <t>3161</t>
  </si>
  <si>
    <t>3189</t>
  </si>
  <si>
    <t>3190</t>
  </si>
  <si>
    <t>3363</t>
  </si>
  <si>
    <t>3464</t>
  </si>
  <si>
    <t>3486</t>
  </si>
  <si>
    <t>3776</t>
  </si>
  <si>
    <t>3829</t>
  </si>
  <si>
    <t>3908</t>
  </si>
  <si>
    <t>3928</t>
  </si>
  <si>
    <t>3935</t>
  </si>
  <si>
    <t>3945</t>
  </si>
  <si>
    <t>3953</t>
  </si>
  <si>
    <t>3954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</si>
  <si>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</si>
  <si>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</si>
  <si>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</si>
  <si>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</si>
  <si>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</si>
  <si>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</si>
  <si>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</si>
  <si>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</si>
  <si>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</si>
  <si>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</si>
  <si>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</si>
  <si>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</si>
  <si>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</si>
  <si>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</si>
  <si>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</si>
  <si>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</si>
  <si>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</si>
  <si>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</si>
  <si>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</si>
  <si>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</si>
  <si>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</si>
  <si>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</si>
  <si>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</si>
  <si>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</si>
  <si>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</si>
  <si>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</si>
  <si>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</si>
  <si>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</si>
  <si>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</si>
  <si>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</si>
  <si>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</si>
  <si>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</si>
  <si>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</si>
  <si>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</si>
  <si>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4073</t>
  </si>
  <si>
    <t>4076</t>
  </si>
  <si>
    <t>4106</t>
  </si>
  <si>
    <t>4107</t>
  </si>
  <si>
    <t>4200</t>
  </si>
  <si>
    <t>4201</t>
  </si>
  <si>
    <t>4202</t>
  </si>
  <si>
    <t>4183</t>
  </si>
  <si>
    <t>4247</t>
  </si>
  <si>
    <t>Account</t>
  </si>
  <si>
    <t>WA</t>
  </si>
  <si>
    <t>NSW</t>
  </si>
  <si>
    <t>QLD</t>
  </si>
  <si>
    <t>NT</t>
  </si>
  <si>
    <t>SA</t>
  </si>
  <si>
    <t>VIC</t>
  </si>
  <si>
    <t>TAS</t>
  </si>
  <si>
    <t>programme code</t>
  </si>
  <si>
    <t>status to use</t>
  </si>
  <si>
    <t>dcceew_geus</t>
  </si>
  <si>
    <t>"=IF((psAcc&lt;&gt;""),DBSS($G72,$C$48,$C$14,$B60,C$49),"")"</t>
  </si>
  <si>
    <t>default show PA 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</si>
</sst>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[Red]* \(#,##0\)_-;_-* &quot;-&quot;??_-;_-@_-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9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1"/>
      <color rgb="FF9D2022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Tahoma"/>
      <family val="2"/>
    </font>
    <font>
      <i/>
      <sz val="9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BDD6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theme="0" tint="-0.24991607409894101"/>
        <bgColor indexed="64"/>
      </patternFill>
    </fill>
    <fill>
      <patternFill patternType="solid">
        <fgColor theme="0" tint="-4.992828150273141E-2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BDDE6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203864"/>
      </left>
      <right style="thin">
        <color rgb="FF203864"/>
      </right>
      <top style="thin">
        <color rgb="FF203864"/>
      </top>
      <bottom style="thin">
        <color rgb="FF2038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203864"/>
      </left>
      <right/>
      <top style="thin">
        <color rgb="FF203864"/>
      </top>
      <bottom style="thin">
        <color rgb="FF203864"/>
      </bottom>
      <diagonal/>
    </border>
    <border>
      <left/>
      <right/>
      <top style="thin">
        <color rgb="FF203864"/>
      </top>
      <bottom style="thin">
        <color rgb="FF203864"/>
      </bottom>
      <diagonal/>
    </border>
    <border>
      <left/>
      <right style="thin">
        <color rgb="FF203864"/>
      </right>
      <top style="thin">
        <color rgb="FF203864"/>
      </top>
      <bottom style="thin">
        <color rgb="FF2038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3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3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0" borderId="1" xfId="0" applyFont="1" applyBorder="1" applyAlignment="1">
      <alignment horizontal="center"/>
    </xf>
    <xf numFmtId="0" fontId="0" fillId="5" borderId="1" xfId="0" applyFill="1" applyBorder="1"/>
    <xf numFmtId="0" fontId="3" fillId="0" borderId="1" xfId="0" applyFont="1" applyBorder="1" applyProtection="1">
      <protection locked="0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left" vertical="center"/>
    </xf>
    <xf numFmtId="0" fontId="5" fillId="7" borderId="0" xfId="0" applyFont="1" applyFill="1" applyAlignment="1">
      <alignment horizontal="center"/>
    </xf>
    <xf numFmtId="0" fontId="0" fillId="4" borderId="1" xfId="0" applyFill="1" applyBorder="1"/>
    <xf numFmtId="0" fontId="0" fillId="4" borderId="4" xfId="0" applyFill="1" applyBorder="1"/>
    <xf numFmtId="0" fontId="0" fillId="4" borderId="0" xfId="0" applyFill="1"/>
    <xf numFmtId="0" fontId="6" fillId="2" borderId="3" xfId="0" applyFont="1" applyFill="1" applyBorder="1"/>
    <xf numFmtId="0" fontId="3" fillId="2" borderId="3" xfId="0" applyFont="1" applyFill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center"/>
    </xf>
    <xf numFmtId="0" fontId="0" fillId="0" borderId="3" xfId="0" applyBorder="1"/>
    <xf numFmtId="0" fontId="3" fillId="2" borderId="1" xfId="0" applyFont="1" applyFill="1" applyBorder="1"/>
    <xf numFmtId="0" fontId="7" fillId="6" borderId="0" xfId="0" applyFont="1" applyFill="1" applyAlignment="1">
      <alignment horizontal="right" vertical="center"/>
    </xf>
    <xf numFmtId="0" fontId="8" fillId="6" borderId="0" xfId="0" applyFont="1" applyFill="1" applyAlignment="1">
      <alignment horizontal="right" vertical="center"/>
    </xf>
    <xf numFmtId="0" fontId="2" fillId="0" borderId="0" xfId="0" applyFont="1" applyAlignment="1">
      <alignment horizontal="right" indent="1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right" indent="1"/>
    </xf>
    <xf numFmtId="0" fontId="2" fillId="9" borderId="1" xfId="0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0" fontId="0" fillId="0" borderId="0" xfId="0" quotePrefix="1"/>
    <xf numFmtId="164" fontId="3" fillId="0" borderId="1" xfId="0" applyNumberFormat="1" applyFont="1" applyBorder="1"/>
    <xf numFmtId="164" fontId="3" fillId="4" borderId="1" xfId="0" applyNumberFormat="1" applyFont="1" applyFill="1" applyBorder="1"/>
    <xf numFmtId="0" fontId="2" fillId="0" borderId="0" xfId="0" applyFont="1"/>
    <xf numFmtId="0" fontId="11" fillId="0" borderId="0" xfId="0" applyFont="1" applyAlignment="1">
      <alignment horizontal="right" indent="1"/>
    </xf>
    <xf numFmtId="0" fontId="0" fillId="4" borderId="1" xfId="0" quotePrefix="1" applyFill="1" applyBorder="1"/>
    <xf numFmtId="0" fontId="11" fillId="0" borderId="0" xfId="0" applyFont="1" applyAlignment="1">
      <alignment horizontal="right"/>
    </xf>
    <xf numFmtId="0" fontId="12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0" fillId="10" borderId="1" xfId="0" applyFill="1" applyBorder="1"/>
    <xf numFmtId="0" fontId="0" fillId="0" borderId="1" xfId="0" quotePrefix="1" applyBorder="1"/>
    <xf numFmtId="0" fontId="0" fillId="0" borderId="4" xfId="0" applyBorder="1"/>
    <xf numFmtId="0" fontId="1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8" borderId="1" xfId="0" applyFont="1" applyFill="1" applyBorder="1" applyAlignment="1">
      <alignment horizontal="left" indent="1"/>
    </xf>
    <xf numFmtId="49" fontId="2" fillId="0" borderId="1" xfId="0" applyNumberFormat="1" applyFont="1" applyBorder="1"/>
    <xf numFmtId="49" fontId="0" fillId="0" borderId="0" xfId="0" applyNumberFormat="1"/>
    <xf numFmtId="49" fontId="0" fillId="0" borderId="1" xfId="0" applyNumberFormat="1" applyBorder="1"/>
    <xf numFmtId="0" fontId="14" fillId="0" borderId="0" xfId="0" applyFont="1" applyAlignment="1">
      <alignment horizontal="right"/>
    </xf>
    <xf numFmtId="0" fontId="15" fillId="0" borderId="0" xfId="0" applyFont="1"/>
    <xf numFmtId="0" fontId="10" fillId="0" borderId="0" xfId="0" applyFont="1" applyAlignment="1">
      <alignment horizontal="left" indent="1"/>
    </xf>
    <xf numFmtId="0" fontId="3" fillId="0" borderId="1" xfId="0" applyFont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 wrapText="1"/>
    </xf>
    <xf numFmtId="164" fontId="3" fillId="0" borderId="1" xfId="0" applyNumberFormat="1" applyFont="1" applyBorder="1" applyProtection="1">
      <protection locked="0"/>
    </xf>
    <xf numFmtId="0" fontId="3" fillId="11" borderId="5" xfId="0" applyFont="1" applyFill="1" applyBorder="1" applyProtection="1">
      <protection locked="0"/>
    </xf>
    <xf numFmtId="0" fontId="3" fillId="11" borderId="5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right"/>
    </xf>
    <xf numFmtId="0" fontId="0" fillId="12" borderId="1" xfId="0" applyFill="1" applyBorder="1"/>
    <xf numFmtId="49" fontId="3" fillId="2" borderId="1" xfId="0" applyNumberFormat="1" applyFont="1" applyFill="1" applyBorder="1" applyAlignment="1"/>
    <xf numFmtId="49" fontId="3" fillId="0" borderId="1" xfId="0" applyNumberFormat="1" applyFont="1" applyBorder="1" applyAlignment="1"/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0" borderId="7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3" fillId="8" borderId="1" xfId="0" applyFont="1" applyFill="1" applyBorder="1" applyAlignment="1">
      <alignment horizontal="left" indent="1"/>
    </xf>
    <xf numFmtId="0" fontId="4" fillId="6" borderId="0" xfId="0" applyFont="1" applyFill="1" applyAlignment="1">
      <alignment horizontal="center" vertical="center"/>
    </xf>
    <xf numFmtId="0" fontId="3" fillId="11" borderId="10" xfId="0" applyFont="1" applyFill="1" applyBorder="1" applyAlignment="1" applyProtection="1">
      <alignment horizontal="left" indent="1"/>
      <protection locked="0"/>
    </xf>
    <xf numFmtId="0" fontId="3" fillId="11" borderId="11" xfId="0" applyFont="1" applyFill="1" applyBorder="1" applyAlignment="1" applyProtection="1">
      <alignment horizontal="left" indent="1"/>
      <protection locked="0"/>
    </xf>
    <xf numFmtId="0" fontId="3" fillId="11" borderId="12" xfId="0" applyFont="1" applyFill="1" applyBorder="1" applyAlignment="1" applyProtection="1">
      <alignment horizontal="left" indent="1"/>
      <protection locked="0"/>
    </xf>
    <xf numFmtId="0" fontId="3" fillId="8" borderId="6" xfId="0" applyFont="1" applyFill="1" applyBorder="1" applyAlignment="1">
      <alignment horizontal="left" indent="1"/>
    </xf>
    <xf numFmtId="0" fontId="3" fillId="8" borderId="2" xfId="0" applyFont="1" applyFill="1" applyBorder="1" applyAlignment="1">
      <alignment horizontal="left" indent="1"/>
    </xf>
    <xf numFmtId="0" fontId="3" fillId="9" borderId="1" xfId="0" applyFont="1" applyFill="1" applyBorder="1" applyAlignment="1">
      <alignment horizontal="left" indent="1"/>
    </xf>
    <xf numFmtId="0" fontId="2" fillId="0" borderId="1" xfId="0" applyFont="1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2">
    <dxf>
      <font>
        <b/>
        <i val="0"/>
        <color rgb="FF00B050"/>
      </font>
    </dxf>
    <dxf>
      <font>
        <b/>
        <i val="0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171</xdr:row>
      <xdr:rowOff>28575</xdr:rowOff>
    </xdr:from>
    <xdr:to>
      <xdr:col>16</xdr:col>
      <xdr:colOff>1809750</xdr:colOff>
      <xdr:row>171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09750" cy="4476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295275</xdr:colOff>
          <xdr:row>189</xdr:row>
          <xdr:rowOff>133350</xdr:rowOff>
        </xdr:from>
        <xdr:to>
          <xdr:col>25</xdr:col>
          <xdr:colOff>276225</xdr:colOff>
          <xdr:row>191</xdr:row>
          <xdr:rowOff>0</xdr:rowOff>
        </xdr:to>
        <xdr:sp macro="" textlink="">
          <xdr:nvSpPr>
            <xdr:cNvPr id="1028" name="TIButton1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9525</xdr:colOff>
          <xdr:row>173</xdr:row>
          <xdr:rowOff>9525</xdr:rowOff>
        </xdr:from>
        <xdr:to>
          <xdr:col>16</xdr:col>
          <xdr:colOff>647700</xdr:colOff>
          <xdr:row>173</xdr:row>
          <xdr:rowOff>257175</xdr:rowOff>
        </xdr:to>
        <xdr:sp macro="" textlink="">
          <xdr:nvSpPr>
            <xdr:cNvPr id="1029" name="TIButton4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685800</xdr:colOff>
          <xdr:row>173</xdr:row>
          <xdr:rowOff>9525</xdr:rowOff>
        </xdr:from>
        <xdr:to>
          <xdr:col>16</xdr:col>
          <xdr:colOff>1809750</xdr:colOff>
          <xdr:row>173</xdr:row>
          <xdr:rowOff>257175</xdr:rowOff>
        </xdr:to>
        <xdr:sp macro="" textlink="">
          <xdr:nvSpPr>
            <xdr:cNvPr id="1030" name="TIButton2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1409700</xdr:colOff>
          <xdr:row>173</xdr:row>
          <xdr:rowOff>9525</xdr:rowOff>
        </xdr:from>
        <xdr:to>
          <xdr:col>20</xdr:col>
          <xdr:colOff>2190750</xdr:colOff>
          <xdr:row>173</xdr:row>
          <xdr:rowOff>257175</xdr:rowOff>
        </xdr:to>
        <xdr:sp macro="" textlink="">
          <xdr:nvSpPr>
            <xdr:cNvPr id="1031" name="TIButton3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1838325</xdr:colOff>
          <xdr:row>173</xdr:row>
          <xdr:rowOff>9525</xdr:rowOff>
        </xdr:from>
        <xdr:to>
          <xdr:col>17</xdr:col>
          <xdr:colOff>514350</xdr:colOff>
          <xdr:row>173</xdr:row>
          <xdr:rowOff>257175</xdr:rowOff>
        </xdr:to>
        <xdr:sp macro="" textlink="">
          <xdr:nvSpPr>
            <xdr:cNvPr id="1032" name="TIButton5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495300</xdr:colOff>
          <xdr:row>173</xdr:row>
          <xdr:rowOff>9525</xdr:rowOff>
        </xdr:from>
        <xdr:to>
          <xdr:col>20</xdr:col>
          <xdr:colOff>1371600</xdr:colOff>
          <xdr:row>173</xdr:row>
          <xdr:rowOff>257175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533400</xdr:colOff>
          <xdr:row>173</xdr:row>
          <xdr:rowOff>9525</xdr:rowOff>
        </xdr:from>
        <xdr:to>
          <xdr:col>17</xdr:col>
          <xdr:colOff>1819275</xdr:colOff>
          <xdr:row>173</xdr:row>
          <xdr:rowOff>257175</xdr:rowOff>
        </xdr:to>
        <xdr:sp macro="" textlink="">
          <xdr:nvSpPr>
            <xdr:cNvPr id="1035" name="TIButton7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476250</xdr:colOff>
          <xdr:row>173</xdr:row>
          <xdr:rowOff>9525</xdr:rowOff>
        </xdr:from>
        <xdr:to>
          <xdr:col>18</xdr:col>
          <xdr:colOff>1152525</xdr:colOff>
          <xdr:row>173</xdr:row>
          <xdr:rowOff>257175</xdr:rowOff>
        </xdr:to>
        <xdr:sp macro="" textlink="">
          <xdr:nvSpPr>
            <xdr:cNvPr id="1036" name="TIButton8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1171575</xdr:colOff>
          <xdr:row>173</xdr:row>
          <xdr:rowOff>9525</xdr:rowOff>
        </xdr:from>
        <xdr:to>
          <xdr:col>19</xdr:col>
          <xdr:colOff>695325</xdr:colOff>
          <xdr:row>173</xdr:row>
          <xdr:rowOff>257175</xdr:rowOff>
        </xdr:to>
        <xdr:sp macro="" textlink="">
          <xdr:nvSpPr>
            <xdr:cNvPr id="1037" name="TIButton9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714375</xdr:colOff>
          <xdr:row>173</xdr:row>
          <xdr:rowOff>9525</xdr:rowOff>
        </xdr:from>
        <xdr:to>
          <xdr:col>20</xdr:col>
          <xdr:colOff>466725</xdr:colOff>
          <xdr:row>173</xdr:row>
          <xdr:rowOff>257175</xdr:rowOff>
        </xdr:to>
        <xdr:sp macro="" textlink="">
          <xdr:nvSpPr>
            <xdr:cNvPr id="1038" name="TIButton10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1857375</xdr:colOff>
          <xdr:row>173</xdr:row>
          <xdr:rowOff>9525</xdr:rowOff>
        </xdr:from>
        <xdr:to>
          <xdr:col>18</xdr:col>
          <xdr:colOff>447675</xdr:colOff>
          <xdr:row>173</xdr:row>
          <xdr:rowOff>257175</xdr:rowOff>
        </xdr:to>
        <xdr:sp macro="" textlink="">
          <xdr:nvSpPr>
            <xdr:cNvPr id="1039" name="TIButton11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266700</xdr:colOff>
          <xdr:row>189</xdr:row>
          <xdr:rowOff>133350</xdr:rowOff>
        </xdr:from>
        <xdr:to>
          <xdr:col>31</xdr:col>
          <xdr:colOff>66675</xdr:colOff>
          <xdr:row>191</xdr:row>
          <xdr:rowOff>0</xdr:rowOff>
        </xdr:to>
        <xdr:sp macro="" textlink="">
          <xdr:nvSpPr>
            <xdr:cNvPr id="1041" name="TIButton12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26" Type="http://schemas.openxmlformats.org/officeDocument/2006/relationships/control" Target="../activeX/activeX12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5" Type="http://schemas.openxmlformats.org/officeDocument/2006/relationships/image" Target="../media/image11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24" Type="http://schemas.openxmlformats.org/officeDocument/2006/relationships/control" Target="../activeX/activeX11.xml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23" Type="http://schemas.openxmlformats.org/officeDocument/2006/relationships/image" Target="../media/image10.emf"/><Relationship Id="rId28" Type="http://schemas.openxmlformats.org/officeDocument/2006/relationships/comments" Target="../comments1.xml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Relationship Id="rId22" Type="http://schemas.openxmlformats.org/officeDocument/2006/relationships/control" Target="../activeX/activeX10.xml"/><Relationship Id="rId27" Type="http://schemas.openxmlformats.org/officeDocument/2006/relationships/image" Target="../media/image12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outlinePr showOutlineSymbols="0"/>
  </sheetPr>
  <dimension ref="A1:AL208"/>
  <sheetViews>
    <sheetView showGridLines="0" tabSelected="1" showOutlineSymbols="0" topLeftCell="P172" zoomScale="98" zoomScaleNormal="98" workbookViewId="0">
      <pane xSplit="9" ySplit="23" topLeftCell="Y195" activePane="bottomRight" state="frozen"/>
      <selection activeCell="P172" sqref="P172"/>
      <selection pane="topRight" activeCell="Y172" sqref="Y172"/>
      <selection pane="bottomLeft" activeCell="P195" sqref="P195"/>
      <selection pane="bottomRight" activeCell="R172" sqref="R172"/>
    </sheetView>
  </sheetViews>
  <sheetFormatPr defaultRowHeight="14.45" customHeight="1" outlineLevelRow="1" outlineLevelCol="1" x14ac:dyDescent="0.25"/>
  <cols>
    <col min="1" max="1" width="18.5703125" hidden="1" customWidth="1" outlineLevel="1"/>
    <col min="2" max="2" width="25.7109375" hidden="1" customWidth="1" outlineLevel="1"/>
    <col min="3" max="3" width="30.7109375" hidden="1" customWidth="1" outlineLevel="1"/>
    <col min="4" max="4" width="25.7109375" hidden="1" customWidth="1" outlineLevel="1"/>
    <col min="5" max="5" width="36.7109375" hidden="1" customWidth="1" outlineLevel="1"/>
    <col min="6" max="6" width="29.7109375" hidden="1" customWidth="1" outlineLevel="1"/>
    <col min="7" max="7" width="24.7109375" hidden="1" customWidth="1" outlineLevel="1"/>
    <col min="8" max="9" width="20.7109375" hidden="1" customWidth="1" outlineLevel="1"/>
    <col min="10" max="11" width="19.7109375" hidden="1" customWidth="1" outlineLevel="1"/>
    <col min="12" max="12" width="20.28515625" hidden="1" customWidth="1" outlineLevel="1"/>
    <col min="13" max="13" width="11.7109375" hidden="1" customWidth="1" outlineLevel="1"/>
    <col min="14" max="14" width="10.7109375" hidden="1" customWidth="1" outlineLevel="1"/>
    <col min="15" max="15" width="9.140625" hidden="1" customWidth="1" outlineLevel="1"/>
    <col min="16" max="16" width="0.85546875" customWidth="1" collapsed="1"/>
    <col min="17" max="18" width="35.7109375" customWidth="1"/>
    <col min="19" max="19" width="20.7109375" customWidth="1"/>
    <col min="20" max="20" width="15.7109375" customWidth="1"/>
    <col min="21" max="21" width="38.7109375" customWidth="1"/>
    <col min="22" max="22" width="9.7109375" customWidth="1"/>
    <col min="23" max="23" width="10.7109375" customWidth="1"/>
    <col min="24" max="24" width="2.7109375" customWidth="1"/>
    <col min="25" max="37" width="12.7109375" customWidth="1"/>
    <col min="38" max="38" width="12.7109375" hidden="1" customWidth="1"/>
  </cols>
  <sheetData>
    <row r="1" spans="1:38" s="3" customFormat="1" ht="12" hidden="1" customHeight="1" outlineLevel="1" x14ac:dyDescent="0.2">
      <c r="A1" s="3" t="s">
        <v>0</v>
      </c>
    </row>
    <row r="2" spans="1:38" s="3" customFormat="1" ht="12" hidden="1" customHeight="1" outlineLevel="1" x14ac:dyDescent="0.2">
      <c r="A2" s="3">
        <f>0</f>
        <v>0</v>
      </c>
      <c r="B2" s="20"/>
      <c r="C2" s="1"/>
      <c r="D2" s="1"/>
      <c r="E2" s="1"/>
      <c r="F2" s="1"/>
      <c r="G2" s="1"/>
      <c r="H2" s="1"/>
      <c r="I2" s="1"/>
      <c r="J2" s="1"/>
    </row>
    <row r="3" spans="1:38" s="3" customFormat="1" ht="12" hidden="1" customHeight="1" outlineLevel="1" x14ac:dyDescent="0.2">
      <c r="A3" s="3">
        <f>1</f>
        <v>1</v>
      </c>
      <c r="B3" s="21"/>
      <c r="C3" s="2"/>
      <c r="D3" s="2"/>
      <c r="E3" s="2"/>
      <c r="F3" s="2"/>
      <c r="G3" s="2"/>
      <c r="H3" s="2"/>
      <c r="I3" s="2"/>
      <c r="J3" s="2"/>
    </row>
    <row r="4" spans="1:38" s="3" customFormat="1" ht="12" hidden="1" customHeight="1" outlineLevel="1" x14ac:dyDescent="0.2">
      <c r="A4" s="3">
        <f>2</f>
        <v>2</v>
      </c>
      <c r="B4" s="21"/>
      <c r="C4" s="2"/>
      <c r="D4" s="2"/>
      <c r="E4" s="2"/>
      <c r="F4" s="2"/>
      <c r="G4" s="2"/>
      <c r="H4" s="2"/>
      <c r="I4" s="2"/>
      <c r="J4" s="2"/>
    </row>
    <row r="5" spans="1:38" s="3" customFormat="1" ht="12" hidden="1" customHeight="1" outlineLevel="1" x14ac:dyDescent="0.2">
      <c r="A5" s="3">
        <f>3</f>
        <v>3</v>
      </c>
      <c r="B5" s="21"/>
      <c r="C5" s="2"/>
      <c r="D5" s="2"/>
      <c r="E5" s="2"/>
      <c r="F5" s="2"/>
      <c r="G5" s="2"/>
      <c r="H5" s="2"/>
      <c r="I5" s="2"/>
      <c r="J5" s="2"/>
    </row>
    <row r="6" spans="1:38" s="3" customFormat="1" ht="12" hidden="1" customHeight="1" outlineLevel="1" x14ac:dyDescent="0.2">
      <c r="A6" s="3" t="s">
        <v>122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Q6" s="57"/>
      <c r="R6" s="57"/>
      <c r="S6" s="22"/>
      <c r="T6" s="23"/>
      <c r="U6" s="57"/>
      <c r="V6" s="22"/>
      <c r="W6" s="22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36"/>
    </row>
    <row r="7" spans="1:38" s="3" customFormat="1" ht="12" hidden="1" customHeight="1" outlineLevel="1" x14ac:dyDescent="0.2">
      <c r="A7" s="3" t="s">
        <v>1</v>
      </c>
      <c r="B7" s="27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Q7" s="58"/>
      <c r="R7" s="58"/>
      <c r="S7" s="24"/>
      <c r="T7" s="25"/>
      <c r="U7" s="58"/>
      <c r="V7" s="25"/>
      <c r="W7" s="25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36"/>
    </row>
    <row r="8" spans="1:38" ht="14.45" hidden="1" customHeight="1" outlineLevel="1" x14ac:dyDescent="0.25">
      <c r="A8" t="s">
        <v>126</v>
      </c>
      <c r="X8" s="3"/>
    </row>
    <row r="9" spans="1:38" ht="14.45" hidden="1" customHeight="1" outlineLevel="1" x14ac:dyDescent="0.25">
      <c r="X9" s="3"/>
    </row>
    <row r="10" spans="1:38" ht="14.45" hidden="1" customHeight="1" outlineLevel="1" x14ac:dyDescent="0.25"/>
    <row r="11" spans="1:38" ht="14.45" hidden="1" customHeight="1" outlineLevel="1" x14ac:dyDescent="0.25">
      <c r="B11" s="66" t="s">
        <v>116</v>
      </c>
      <c r="C11" s="67"/>
      <c r="D11" s="68"/>
    </row>
    <row r="12" spans="1:38" ht="14.45" hidden="1" customHeight="1" outlineLevel="1" x14ac:dyDescent="0.25">
      <c r="B12" s="4" t="s">
        <v>117</v>
      </c>
      <c r="C12" s="5" t="s">
        <v>560</v>
      </c>
      <c r="D12" s="6"/>
    </row>
    <row r="13" spans="1:38" ht="14.45" hidden="1" customHeight="1" outlineLevel="1" x14ac:dyDescent="0.25">
      <c r="B13" s="4" t="s">
        <v>2</v>
      </c>
      <c r="C13" s="7" t="str">
        <f ca="1">_xll.VIEW((db_name&amp;":}ElementAttributes_}Clients"),"!","!")</f>
        <v>dcceew_geus:}ElementAttributes_}Clients</v>
      </c>
      <c r="D13" s="6"/>
    </row>
    <row r="14" spans="1:38" ht="14.45" hidden="1" customHeight="1" outlineLevel="1" x14ac:dyDescent="0.25">
      <c r="B14" s="4" t="s">
        <v>3</v>
      </c>
      <c r="C14" s="5" t="str">
        <f ca="1">_xll.TM1USER(db_name)</f>
        <v>CAMID("pans:u:kgimena@excelerated.com.au")</v>
      </c>
      <c r="D14" s="6"/>
    </row>
    <row r="15" spans="1:38" ht="14.45" hidden="1" customHeight="1" outlineLevel="1" x14ac:dyDescent="0.25">
      <c r="B15" s="4" t="s">
        <v>108</v>
      </c>
      <c r="C15" s="5" t="str">
        <f ca="1">_xll.DBR($C$13,$C$14,$B15)</f>
        <v>Business Analytics/Khristian Gimena</v>
      </c>
      <c r="D15" s="6"/>
    </row>
    <row r="16" spans="1:38" ht="14.45" hidden="1" customHeight="1" outlineLevel="1" x14ac:dyDescent="0.25">
      <c r="B16" s="4" t="s">
        <v>4</v>
      </c>
      <c r="C16" s="5" t="str">
        <f ca="1">_xll.DBR($C$13,$C$14,$B16)</f>
        <v>Khristian Gimena</v>
      </c>
      <c r="D16" s="6"/>
    </row>
    <row r="17" spans="2:4" ht="14.45" hidden="1" customHeight="1" outlineLevel="1" x14ac:dyDescent="0.25">
      <c r="B17" s="4" t="s">
        <v>5</v>
      </c>
      <c r="C17" s="5" t="str">
        <f ca="1">IF((LEFT($C$15,6)="CAM_AD"),$C$16,$C$15)</f>
        <v>Business Analytics/Khristian Gimena</v>
      </c>
      <c r="D17" s="8"/>
    </row>
    <row r="18" spans="2:4" ht="14.45" hidden="1" customHeight="1" outlineLevel="1" x14ac:dyDescent="0.25"/>
    <row r="19" spans="2:4" ht="14.45" hidden="1" customHeight="1" outlineLevel="1" x14ac:dyDescent="0.25">
      <c r="B19" s="66" t="s">
        <v>124</v>
      </c>
      <c r="C19" s="67"/>
      <c r="D19" s="68"/>
    </row>
    <row r="20" spans="2:4" ht="14.45" hidden="1" customHeight="1" outlineLevel="1" x14ac:dyDescent="0.25">
      <c r="B20" s="4" t="s">
        <v>6</v>
      </c>
      <c r="C20" s="8" t="str">
        <f ca="1">_xll.VIEW((db_name&amp;":}ElementAttributes_variables"),"!","!")</f>
        <v>dcceew_geus:}ElementAttributes_variables</v>
      </c>
      <c r="D20" s="8"/>
    </row>
    <row r="21" spans="2:4" ht="14.45" hidden="1" customHeight="1" outlineLevel="1" x14ac:dyDescent="0.25">
      <c r="B21" s="4" t="s">
        <v>7</v>
      </c>
      <c r="C21" s="8" t="str">
        <f ca="1">_xll.DBR($C$20,$B21,"value")</f>
        <v>HL2024-2025</v>
      </c>
      <c r="D21" s="8"/>
    </row>
    <row r="22" spans="2:4" ht="14.45" hidden="1" customHeight="1" outlineLevel="1" x14ac:dyDescent="0.25">
      <c r="B22" s="4" t="s">
        <v>8</v>
      </c>
      <c r="C22" s="8" t="str">
        <f ca="1">_xll.DBR($C$20,$B22,"value")</f>
        <v>current</v>
      </c>
      <c r="D22" s="8"/>
    </row>
    <row r="23" spans="2:4" ht="14.45" hidden="1" customHeight="1" outlineLevel="1" x14ac:dyDescent="0.25">
      <c r="B23" s="4" t="s">
        <v>9</v>
      </c>
      <c r="C23" s="8" t="str">
        <f ca="1">_xll.DBR($C$20,$B23,"value")</f>
        <v>No_Mvt</v>
      </c>
      <c r="D23" s="8"/>
    </row>
    <row r="24" spans="2:4" ht="14.45" hidden="1" customHeight="1" outlineLevel="1" x14ac:dyDescent="0.25">
      <c r="B24" s="4" t="s">
        <v>10</v>
      </c>
      <c r="C24" s="8" t="str">
        <f ca="1">_xll.DBR($C$20,$B24,"value")</f>
        <v>No_interagency</v>
      </c>
      <c r="D24" s="8"/>
    </row>
    <row r="25" spans="2:4" ht="14.45" hidden="1" customHeight="1" outlineLevel="1" x14ac:dyDescent="0.25">
      <c r="B25" s="4" t="s">
        <v>11</v>
      </c>
      <c r="C25" s="8" t="str">
        <f ca="1">_xll.DBR($C$20,$B25,"value")</f>
        <v>No_Jurisdiction</v>
      </c>
      <c r="D25" s="8"/>
    </row>
    <row r="26" spans="2:4" ht="14.45" hidden="1" customHeight="1" outlineLevel="1" x14ac:dyDescent="0.25">
      <c r="B26" s="4" t="s">
        <v>14</v>
      </c>
      <c r="C26" s="8" t="str">
        <f ca="1">_xll.DBR($C$20,$B26,"value")</f>
        <v>-</v>
      </c>
      <c r="D26" s="8"/>
    </row>
    <row r="27" spans="2:4" ht="15" hidden="1" customHeight="1" outlineLevel="1" x14ac:dyDescent="0.25">
      <c r="B27" s="8" t="s">
        <v>15</v>
      </c>
      <c r="C27" s="8" t="str">
        <f ca="1">_xll.DBR($C$20,$B27,"value")</f>
        <v>9000701</v>
      </c>
    </row>
    <row r="28" spans="2:4" ht="15" hidden="1" customHeight="1" outlineLevel="1" x14ac:dyDescent="0.25">
      <c r="B28" s="8" t="s">
        <v>16</v>
      </c>
      <c r="C28" s="8" t="str">
        <f ca="1">_xll.DBR($C$20,$B28,"value")</f>
        <v>9000702</v>
      </c>
    </row>
    <row r="29" spans="2:4" ht="14.45" hidden="1" customHeight="1" outlineLevel="1" x14ac:dyDescent="0.25"/>
    <row r="30" spans="2:4" ht="14.45" hidden="1" customHeight="1" outlineLevel="1" x14ac:dyDescent="0.25">
      <c r="B30" s="66" t="s">
        <v>17</v>
      </c>
      <c r="C30" s="67"/>
      <c r="D30" s="68"/>
    </row>
    <row r="31" spans="2:4" ht="14.45" hidden="1" customHeight="1" outlineLevel="1" x14ac:dyDescent="0.25">
      <c r="B31" s="8" t="s">
        <v>18</v>
      </c>
      <c r="C31" s="8" t="str">
        <f ca="1">_xll.VIEW((db_name&amp;":sys_Application"),"!","!")</f>
        <v>dcceew_geus:sys_Application</v>
      </c>
    </row>
    <row r="32" spans="2:4" ht="14.45" hidden="1" customHeight="1" outlineLevel="1" x14ac:dyDescent="0.25">
      <c r="B32" s="8" t="s">
        <v>19</v>
      </c>
      <c r="C32" s="8" t="s">
        <v>20</v>
      </c>
    </row>
    <row r="33" spans="2:8" ht="14.45" hidden="1" customHeight="1" outlineLevel="1" x14ac:dyDescent="0.25">
      <c r="B33" s="9" t="s">
        <v>21</v>
      </c>
      <c r="C33" s="10" t="s">
        <v>22</v>
      </c>
      <c r="D33" s="10" t="s">
        <v>23</v>
      </c>
      <c r="E33" s="10" t="s">
        <v>24</v>
      </c>
      <c r="F33" s="10" t="s">
        <v>25</v>
      </c>
      <c r="G33" s="10" t="s">
        <v>26</v>
      </c>
      <c r="H33" s="10" t="s">
        <v>27</v>
      </c>
    </row>
    <row r="34" spans="2:8" ht="14.45" hidden="1" customHeight="1" outlineLevel="1" x14ac:dyDescent="0.25">
      <c r="B34" s="8" t="s">
        <v>28</v>
      </c>
      <c r="C34" s="8" t="str">
        <f ca="1">_xll.DBR($C$31,$B34,C$33)</f>
        <v>TM1HomeCAP</v>
      </c>
      <c r="D34" s="8" t="str">
        <f ca="1">_xll.DBR($C$31,$B34,D$33)</f>
        <v>Home</v>
      </c>
      <c r="E34" s="8" t="str">
        <f ca="1">_xll.DBR($C$31,$B34,E$33)</f>
        <v>TM1HomeWB</v>
      </c>
      <c r="F34" s="8" t="str">
        <f ca="1">_xll.DBR($C$31,$B34,F$33)</f>
        <v>PRIMUS\GEUS WEB\Homepage\sys_Home.xlsx</v>
      </c>
      <c r="G34" s="8" t="str">
        <f ca="1">_xll.DBR($C$31,$B34,G$33)</f>
        <v>TM1HomeWS</v>
      </c>
      <c r="H34" s="8" t="str">
        <f ca="1">_xll.DBR($C$31,$B34,H$33)</f>
        <v>home</v>
      </c>
    </row>
    <row r="35" spans="2:8" ht="14.45" hidden="1" customHeight="1" outlineLevel="1" x14ac:dyDescent="0.25">
      <c r="B35" s="8" t="s">
        <v>29</v>
      </c>
      <c r="C35" s="8" t="str">
        <f ca="1">_xll.DBR($C$31,$B35,C$33)</f>
        <v>TM1HomeAECAP</v>
      </c>
      <c r="D35" s="8" t="str">
        <f ca="1">_xll.DBR($C$31,$B35,D$33)</f>
        <v>Annual Estimates</v>
      </c>
      <c r="E35" s="8" t="str">
        <f ca="1">_xll.DBR($C$31,$B35,E$33)</f>
        <v>TM1HomeAEWB</v>
      </c>
      <c r="F35" s="8" t="str">
        <f ca="1">_xll.DBR($C$31,$B35,F$33)</f>
        <v>PRIMUS\GEUS WEB\Homepage\sys_Home - Annual Estimates - Data Entry.xlsx</v>
      </c>
      <c r="G35" s="8" t="str">
        <f ca="1">_xll.DBR($C$31,$B35,G$33)</f>
        <v>TM1HomeAEWS</v>
      </c>
      <c r="H35" s="8" t="str">
        <f ca="1">_xll.DBR($C$31,$B35,H$33)</f>
        <v>Menu</v>
      </c>
    </row>
    <row r="36" spans="2:8" ht="14.45" hidden="1" customHeight="1" outlineLevel="1" x14ac:dyDescent="0.25">
      <c r="B36" s="8" t="s">
        <v>30</v>
      </c>
      <c r="C36" s="8" t="str">
        <f ca="1">_xll.DBR($C$31,$B36,C$33)</f>
        <v>TM1HomeAEDataEntryCAP</v>
      </c>
      <c r="D36" s="8" t="str">
        <f ca="1">_xll.DBR($C$31,$B36,D$33)</f>
        <v>Data Entry Menu</v>
      </c>
      <c r="E36" s="8" t="str">
        <f ca="1">_xll.DBR($C$31,$B36,E$33)</f>
        <v>TM1HomeAEDataEntryWB</v>
      </c>
      <c r="F36" s="8" t="str">
        <f ca="1">_xll.DBR($C$31,$B36,F$33)</f>
        <v>PRIMUS\GEUS WEB\Homepage\sys_Home - Annual Estimates - Data Entry.xlsx</v>
      </c>
      <c r="G36" s="8" t="str">
        <f ca="1">_xll.DBR($C$31,$B36,G$33)</f>
        <v>TM1HomeAEDataEntryWS</v>
      </c>
      <c r="H36" s="8" t="str">
        <f ca="1">_xll.DBR($C$31,$B36,H$33)</f>
        <v>Menu</v>
      </c>
    </row>
    <row r="37" spans="2:8" ht="14.45" hidden="1" customHeight="1" outlineLevel="1" x14ac:dyDescent="0.25">
      <c r="B37" s="8" t="s">
        <v>31</v>
      </c>
      <c r="C37" s="8" t="str">
        <f ca="1">_xll.DBR($C$31,$B37,C$33)</f>
        <v>TM1AdjIDListCAP</v>
      </c>
      <c r="D37" s="8" t="str">
        <f ca="1">_xll.DBR($C$31,$B37,D$33)</f>
        <v>Adj List</v>
      </c>
      <c r="E37" s="8" t="str">
        <f ca="1">_xll.DBR($C$31,$B37,E$33)</f>
        <v>TM1AdjIDListWB</v>
      </c>
      <c r="F37" s="8" t="str">
        <f ca="1">_xll.DBR($C$31,$B37,F$33)</f>
        <v>PRIMUS\GEUS WEB\Annual Estimates\Adjustment\adj_id list.xlsx</v>
      </c>
      <c r="G37" s="8" t="str">
        <f ca="1">_xll.DBR($C$31,$B37,G$33)</f>
        <v>TM1IDListWS</v>
      </c>
      <c r="H37" s="8" t="str">
        <f ca="1">_xll.DBR($C$31,$B37,H$33)</f>
        <v>ID List</v>
      </c>
    </row>
    <row r="38" spans="2:8" ht="14.45" hidden="1" customHeight="1" outlineLevel="1" x14ac:dyDescent="0.25">
      <c r="B38" s="8" t="s">
        <v>32</v>
      </c>
      <c r="C38" s="8" t="str">
        <f ca="1">_xll.DBR($C$31,$B38,C$33)</f>
        <v>TM1NewAdj02DataEntryCAP</v>
      </c>
      <c r="D38" s="8" t="str">
        <f ca="1">_xll.DBR($C$31,$B38,D$33)</f>
        <v>Adjustment Entry</v>
      </c>
      <c r="E38" s="8" t="str">
        <f ca="1">_xll.DBR($C$31,$B38,E$33)</f>
        <v>TM1NewAdj02DataEntryWB</v>
      </c>
      <c r="F38" s="8" t="str">
        <f ca="1">_xll.DBR($C$31,$B38,F$33)</f>
        <v>PRIMUS\GEUS WEB\Annual Estimates\Data Entry\new adj 02 - adjustment data entry.xlsx</v>
      </c>
      <c r="G38" s="8" t="str">
        <f ca="1">_xll.DBR($C$31,$B38,G$33)</f>
        <v>TM1NewAdj02DataEntryWS</v>
      </c>
      <c r="H38" s="8" t="str">
        <f ca="1">_xll.DBR($C$31,$B38,H$33)</f>
        <v>data entry</v>
      </c>
    </row>
    <row r="39" spans="2:8" ht="14.45" hidden="1" customHeight="1" outlineLevel="1" x14ac:dyDescent="0.25">
      <c r="B39" s="8" t="s">
        <v>34</v>
      </c>
      <c r="C39" s="8" t="str">
        <f ca="1">_xll.DBR($C$31,$B39,C$33)</f>
        <v>TM1NewAdj03AuthCAP</v>
      </c>
      <c r="D39" s="8" t="str">
        <f ca="1">_xll.DBR($C$31,$B39,D$33)</f>
        <v>Authorise</v>
      </c>
      <c r="E39" s="8" t="str">
        <f ca="1">_xll.DBR($C$31,$B39,E$33)</f>
        <v>TM1NewAdj03AuthWB</v>
      </c>
      <c r="F39" s="8" t="str">
        <f ca="1">_xll.DBR($C$31,$B39,F$33)</f>
        <v>PRIMUS\GEUS WEB\Annual Estimates\Data Entry\new adj 03 - authorise.xlsx</v>
      </c>
      <c r="G39" s="8" t="str">
        <f ca="1">_xll.DBR($C$31,$B39,G$33)</f>
        <v>TM1NewAdj03AuthWS</v>
      </c>
      <c r="H39" s="8" t="str">
        <f ca="1">_xll.DBR($C$31,$B39,H$33)</f>
        <v>authorise</v>
      </c>
    </row>
    <row r="40" spans="2:8" ht="14.45" hidden="1" customHeight="1" outlineLevel="1" x14ac:dyDescent="0.25">
      <c r="B40" s="8" t="s">
        <v>33</v>
      </c>
      <c r="C40" s="8" t="str">
        <f ca="1">_xll.DBR($C$31,$B40,C$33)</f>
        <v>TM1NewAdj04CopyCAP</v>
      </c>
      <c r="D40" s="8" t="str">
        <f ca="1">_xll.DBR($C$31,$B40,D$33)</f>
        <v>Copy/Reverse/Delete</v>
      </c>
      <c r="E40" s="8" t="str">
        <f ca="1">_xll.DBR($C$31,$B40,E$33)</f>
        <v>TM1NewAdj04CopyWB</v>
      </c>
      <c r="F40" s="8" t="str">
        <f ca="1">_xll.DBR($C$31,$B40,F$33)</f>
        <v>PRIMUS\GEUS WEB\Annual Estimates\Data Entry\new adj 04 - copy reverse delete.xlsx</v>
      </c>
      <c r="G40" s="8" t="str">
        <f ca="1">_xll.DBR($C$31,$B40,G$33)</f>
        <v>TM1NewAdj04CopyWS</v>
      </c>
      <c r="H40" s="8" t="str">
        <f ca="1">_xll.DBR($C$31,$B40,H$33)</f>
        <v>copy</v>
      </c>
    </row>
    <row r="41" spans="2:8" ht="14.45" hidden="1" customHeight="1" outlineLevel="1" x14ac:dyDescent="0.25">
      <c r="B41" s="8" t="s">
        <v>35</v>
      </c>
      <c r="C41" s="8" t="str">
        <f ca="1">_xll.DBR($C$31,$B41,C$33)</f>
        <v>TM1NewAdj96ExtractCAP</v>
      </c>
      <c r="D41" s="8" t="str">
        <f ca="1">_xll.DBR($C$31,$B41,D$33)</f>
        <v>Extract</v>
      </c>
      <c r="E41" s="8" t="str">
        <f ca="1">_xll.DBR($C$31,$B41,E$33)</f>
        <v>TM1NewAdj96ExtractWB</v>
      </c>
      <c r="F41" s="8" t="str">
        <f ca="1">_xll.DBR($C$31,$B41,F$33)</f>
        <v>PRIMUS\GEUS WEB\Annual Estimates\Data Entry\new adj 96 - extract adj.xlsx</v>
      </c>
      <c r="G41" s="8" t="str">
        <f ca="1">_xll.DBR($C$31,$B41,G$33)</f>
        <v>TM1NewAdj96ExtractWS</v>
      </c>
      <c r="H41" s="8" t="str">
        <f ca="1">_xll.DBR($C$31,$B41,H$33)</f>
        <v>extract adj</v>
      </c>
    </row>
    <row r="42" spans="2:8" ht="14.45" hidden="1" customHeight="1" outlineLevel="1" x14ac:dyDescent="0.25">
      <c r="B42" s="8" t="s">
        <v>36</v>
      </c>
      <c r="C42" s="8" t="str">
        <f ca="1">_xll.DBR($C$31,$B42,C$33)</f>
        <v>TM1NewAdj98AttachCAP</v>
      </c>
      <c r="D42" s="8" t="str">
        <f ca="1">_xll.DBR($C$31,$B42,D$33)</f>
        <v>Attachments</v>
      </c>
      <c r="E42" s="8" t="str">
        <f ca="1">_xll.DBR($C$31,$B42,E$33)</f>
        <v>TM1NewAdj98AttachWB</v>
      </c>
      <c r="F42" s="8" t="str">
        <f ca="1">_xll.DBR($C$31,$B42,F$33)</f>
        <v>PRIMUS\GEUS WEB\Annual Estimates\Data Entry\new adj 98 - attachments.xlsx</v>
      </c>
      <c r="G42" s="8" t="str">
        <f ca="1">_xll.DBR($C$31,$B42,G$33)</f>
        <v>TM1NewAdj98AttachWS</v>
      </c>
      <c r="H42" s="8" t="str">
        <f ca="1">_xll.DBR($C$31,$B42,H$33)</f>
        <v>attachment</v>
      </c>
    </row>
    <row r="43" spans="2:8" ht="14.45" hidden="1" customHeight="1" outlineLevel="1" x14ac:dyDescent="0.25">
      <c r="B43" s="8" t="s">
        <v>41</v>
      </c>
      <c r="C43" s="8" t="str">
        <f ca="1">_xll.DBR($C$31,$B43,C$33)</f>
        <v>TM1NewAdj99ValidCAP</v>
      </c>
      <c r="D43" s="8" t="str">
        <f ca="1">_xll.DBR($C$31,$B43,D$33)</f>
        <v>Validate</v>
      </c>
      <c r="E43" s="8" t="str">
        <f ca="1">_xll.DBR($C$31,$B43,E$33)</f>
        <v>TM1NewAdj99ValidWB</v>
      </c>
      <c r="F43" s="8" t="str">
        <f ca="1">_xll.DBR($C$31,$B43,F$33)</f>
        <v>PRIMUS\GEUS WEB\Annual Estimates\Data Entry\new adj 99 - validations.xlsx</v>
      </c>
      <c r="G43" s="8" t="str">
        <f ca="1">_xll.DBR($C$31,$B43,G$33)</f>
        <v>TM1NewAdj99ValidWS</v>
      </c>
      <c r="H43" s="8" t="str">
        <f ca="1">_xll.DBR($C$31,$B43,H$33)</f>
        <v>validations</v>
      </c>
    </row>
    <row r="44" spans="2:8" ht="14.45" hidden="1" customHeight="1" outlineLevel="1" x14ac:dyDescent="0.25">
      <c r="B44" s="8" t="s">
        <v>37</v>
      </c>
      <c r="C44" s="8" t="str">
        <f ca="1">_xll.DBR($C$31,$B44,C$33)</f>
        <v>TM1EditAdj01CAP</v>
      </c>
      <c r="D44" s="8" t="str">
        <f ca="1">_xll.DBR($C$31,$B44,D$33)</f>
        <v>Edit Adj Details</v>
      </c>
      <c r="E44" s="8" t="str">
        <f ca="1">_xll.DBR($C$31,$B44,E$33)</f>
        <v>TM1EditAdj01WB</v>
      </c>
      <c r="F44" s="8" t="str">
        <f ca="1">_xll.DBR($C$31,$B44,F$33)</f>
        <v>PRIMUS\GEUS WEB\Annual Estimates\Data Entry\edit adj 01 - header details.xlsx</v>
      </c>
      <c r="G44" s="8" t="str">
        <f ca="1">_xll.DBR($C$31,$B44,G$33)</f>
        <v>TM1EditAdj01WS</v>
      </c>
      <c r="H44" s="8" t="str">
        <f ca="1">_xll.DBR($C$31,$B44,H$33)</f>
        <v>header</v>
      </c>
    </row>
    <row r="45" spans="2:8" ht="14.45" hidden="1" customHeight="1" outlineLevel="1" x14ac:dyDescent="0.25">
      <c r="B45" s="8" t="s">
        <v>38</v>
      </c>
      <c r="C45" s="8" t="str">
        <f ca="1">_xll.DBR($C$31,$B45,C$33)</f>
        <v>TM1ViewAdj01HeaderCAP</v>
      </c>
      <c r="D45" s="8" t="str">
        <f ca="1">_xll.DBR($C$31,$B45,D$33)</f>
        <v>Edit Adj Details</v>
      </c>
      <c r="E45" s="8" t="str">
        <f ca="1">_xll.DBR($C$31,$B45,E$33)</f>
        <v>TM1ViewAdj01HeaderWB</v>
      </c>
      <c r="F45" s="8" t="str">
        <f ca="1">_xll.DBR($C$31,$B45,F$33)</f>
        <v>PRIMUS\GEUS WEB\Annual Estimates\Data Entry\view adj 01 - header details.xlsx</v>
      </c>
      <c r="G45" s="8" t="str">
        <f ca="1">_xll.DBR($C$31,$B45,G$33)</f>
        <v>TM1ViewAdj01HeaderWS</v>
      </c>
      <c r="H45" s="8" t="str">
        <f ca="1">_xll.DBR($C$31,$B45,H$33)</f>
        <v>header</v>
      </c>
    </row>
    <row r="46" spans="2:8" ht="14.45" hidden="1" customHeight="1" outlineLevel="1" x14ac:dyDescent="0.25"/>
    <row r="47" spans="2:8" ht="14.45" hidden="1" customHeight="1" outlineLevel="1" x14ac:dyDescent="0.25">
      <c r="B47" s="66" t="s">
        <v>39</v>
      </c>
      <c r="C47" s="67"/>
      <c r="D47" s="68"/>
    </row>
    <row r="48" spans="2:8" ht="14.45" hidden="1" customHeight="1" outlineLevel="1" x14ac:dyDescent="0.25">
      <c r="B48" s="4" t="s">
        <v>6</v>
      </c>
      <c r="C48" s="8" t="str">
        <f ca="1">_xll.VIEW((db_name&amp;":sys_client preference"),"!","!","!")</f>
        <v>dcceew_geus:sys_client preference</v>
      </c>
      <c r="D48" s="8"/>
    </row>
    <row r="49" spans="2:9" ht="14.45" hidden="1" customHeight="1" outlineLevel="1" x14ac:dyDescent="0.25">
      <c r="B49" s="4"/>
      <c r="C49" s="11" t="s">
        <v>40</v>
      </c>
      <c r="D49" s="11" t="s">
        <v>42</v>
      </c>
    </row>
    <row r="50" spans="2:9" ht="14.45" hidden="1" customHeight="1" outlineLevel="1" x14ac:dyDescent="0.25">
      <c r="B50" s="4" t="s">
        <v>43</v>
      </c>
      <c r="C50" s="8" t="str">
        <f ca="1">_xll.SUBNM((db_name&amp;":sys_client preference measure"),"","value")</f>
        <v>value</v>
      </c>
      <c r="D50" s="11"/>
    </row>
    <row r="51" spans="2:9" ht="14.45" hidden="1" customHeight="1" outlineLevel="1" x14ac:dyDescent="0.25">
      <c r="B51" s="4" t="s">
        <v>44</v>
      </c>
      <c r="C51" s="8" t="str">
        <f ca="1">_xll.DBR($C$48,psUser,$B51,"value")</f>
        <v>HL2024-2025</v>
      </c>
      <c r="D51" s="8"/>
    </row>
    <row r="52" spans="2:9" ht="14.45" hidden="1" customHeight="1" outlineLevel="1" x14ac:dyDescent="0.25">
      <c r="B52" s="51" t="s">
        <v>12</v>
      </c>
      <c r="C52" s="53" t="str">
        <f ca="1">_xll.DBR($C$48,psUser,$B52,"value")</f>
        <v>current</v>
      </c>
      <c r="D52" s="53"/>
      <c r="E52" s="52"/>
      <c r="F52" s="52"/>
      <c r="G52" s="52"/>
      <c r="H52" s="52"/>
      <c r="I52" s="52"/>
    </row>
    <row r="53" spans="2:9" ht="14.45" hidden="1" customHeight="1" outlineLevel="1" x14ac:dyDescent="0.25">
      <c r="B53" s="4" t="s">
        <v>45</v>
      </c>
      <c r="C53" s="8" t="str">
        <f ca="1">_xll.DBR($C$48,psUser,$B53,"value")</f>
        <v>00115</v>
      </c>
      <c r="D53" s="8"/>
    </row>
    <row r="54" spans="2:9" ht="14.45" hidden="1" customHeight="1" outlineLevel="1" x14ac:dyDescent="0.25">
      <c r="B54" s="4" t="s">
        <v>46</v>
      </c>
      <c r="C54" s="8" t="str">
        <f ca="1">_xll.DBR($C$48,psUser,$B54,C$49)</f>
        <v/>
      </c>
      <c r="D54" s="8" t="str">
        <f ca="1">_xll.DBR($C$48,psUser,$B54,D$49)</f>
        <v/>
      </c>
    </row>
    <row r="55" spans="2:9" ht="14.45" hidden="1" customHeight="1" outlineLevel="1" x14ac:dyDescent="0.25">
      <c r="B55" s="4" t="s">
        <v>49</v>
      </c>
      <c r="C55" s="8" t="str">
        <f ca="1">_xll.DBR($C$48,psUser,$B55,C$49)</f>
        <v>4100001</v>
      </c>
      <c r="D55" s="8" t="str">
        <f ca="1">_xll.DBR($C$48,psUser,$B55,D$49)</f>
        <v/>
      </c>
    </row>
    <row r="56" spans="2:9" ht="14.45" hidden="1" customHeight="1" outlineLevel="1" x14ac:dyDescent="0.25">
      <c r="B56" s="4" t="s">
        <v>50</v>
      </c>
      <c r="C56" s="8" t="str">
        <f ca="1">_xll.DBR($C$48,psUser,$B56,C$49)</f>
        <v>7205 - Other movements</v>
      </c>
      <c r="D56" s="8" t="str">
        <f ca="1">_xll.DBR($C$48,psUser,$B56,D$49)</f>
        <v/>
      </c>
    </row>
    <row r="57" spans="2:9" ht="14.45" hidden="1" customHeight="1" outlineLevel="1" x14ac:dyDescent="0.25">
      <c r="B57" s="4" t="s">
        <v>47</v>
      </c>
      <c r="C57" s="8" t="str">
        <f ca="1">_xll.DBR($C$48,psUser,$B57,C$49)</f>
        <v>No_interagency</v>
      </c>
      <c r="D57" s="8" t="str">
        <f ca="1">_xll.DBR($C$48,psUser,$B57,D$49)</f>
        <v/>
      </c>
    </row>
    <row r="58" spans="2:9" ht="14.45" hidden="1" customHeight="1" outlineLevel="1" x14ac:dyDescent="0.25">
      <c r="B58" s="4" t="s">
        <v>67</v>
      </c>
      <c r="C58" s="8" t="str">
        <f ca="1">_xll.DBR($C$48,psUser,$B58,C$49)</f>
        <v/>
      </c>
      <c r="D58" s="8" t="str">
        <f ca="1">_xll.DBR($C$48,psUser,$B58,D$49)</f>
        <v/>
      </c>
    </row>
    <row r="59" spans="2:9" ht="14.45" hidden="1" customHeight="1" outlineLevel="1" x14ac:dyDescent="0.25">
      <c r="B59" s="4" t="s">
        <v>68</v>
      </c>
      <c r="C59" s="8" t="str">
        <f ca="1">_xll.DBR($C$48,psUser,$B59,C$49)</f>
        <v>A001-00001-05000</v>
      </c>
      <c r="D59" s="8" t="str">
        <f ca="1">_xll.DBR($C$48,psUser,$B59,D$49)</f>
        <v/>
      </c>
    </row>
    <row r="60" spans="2:9" ht="14.45" hidden="1" customHeight="1" outlineLevel="1" x14ac:dyDescent="0.25">
      <c r="B60" s="4" t="s">
        <v>69</v>
      </c>
      <c r="C60" s="8" t="str">
        <f ca="1">_xll.DBR($C$48,psUser,$B60,C$49)</f>
        <v>-</v>
      </c>
      <c r="D60" s="8" t="str">
        <f ca="1">_xll.DBR($C$48,psUser,$B60,D$49)</f>
        <v/>
      </c>
    </row>
    <row r="61" spans="2:9" ht="14.45" hidden="1" customHeight="1" outlineLevel="1" x14ac:dyDescent="0.25">
      <c r="B61" s="4" t="s">
        <v>51</v>
      </c>
      <c r="C61" s="8" t="str">
        <f ca="1">_xll.DBR($C$48,psUser,$B61,C$49)</f>
        <v>N</v>
      </c>
      <c r="D61" s="8" t="str">
        <f ca="1">_xll.DBR($C$48,psUser,$B61,D$49)</f>
        <v/>
      </c>
    </row>
    <row r="62" spans="2:9" ht="14.45" hidden="1" customHeight="1" outlineLevel="1" x14ac:dyDescent="0.25">
      <c r="B62" s="4" t="s">
        <v>79</v>
      </c>
      <c r="C62" s="8" t="str">
        <f ca="1">_xll.DBR($C$48,psUser,$B62,C$49)</f>
        <v/>
      </c>
      <c r="D62" s="8" t="str">
        <f ca="1">_xll.DBR($C$48,psUser,$B62,D$49)</f>
        <v/>
      </c>
    </row>
    <row r="63" spans="2:9" ht="14.45" hidden="1" customHeight="1" outlineLevel="1" x14ac:dyDescent="0.25">
      <c r="B63" s="38"/>
    </row>
    <row r="64" spans="2:9" ht="14.45" hidden="1" customHeight="1" outlineLevel="1" x14ac:dyDescent="0.25">
      <c r="B64" s="69" t="s">
        <v>52</v>
      </c>
      <c r="C64" s="70"/>
      <c r="D64" s="71"/>
    </row>
    <row r="65" spans="2:9" ht="14.45" hidden="1" customHeight="1" outlineLevel="1" x14ac:dyDescent="0.25">
      <c r="B65" s="8" t="s">
        <v>53</v>
      </c>
      <c r="C65" s="46" t="str">
        <f ca="1">_xll.DIMNM((db_name&amp;":account"),_xll.DIMIX((db_name&amp;":account"),$Q$191))</f>
        <v>4100001</v>
      </c>
      <c r="D65" s="46" t="s">
        <v>199</v>
      </c>
    </row>
    <row r="66" spans="2:9" ht="14.45" hidden="1" customHeight="1" outlineLevel="1" x14ac:dyDescent="0.25">
      <c r="B66" s="8" t="s">
        <v>54</v>
      </c>
      <c r="C66" s="8" t="str">
        <f ca="1">_xll.DIMNM((db_name&amp;":movement account"),_xll.DIMIX((db_name&amp;":movement account"),psMA))</f>
        <v>7205</v>
      </c>
      <c r="D66" s="8"/>
      <c r="H66" s="35" t="s">
        <v>55</v>
      </c>
    </row>
    <row r="67" spans="2:9" ht="14.45" hidden="1" customHeight="1" outlineLevel="1" x14ac:dyDescent="0.25">
      <c r="B67" s="8" t="s">
        <v>56</v>
      </c>
      <c r="C67" s="8" t="str">
        <f ca="1">_xll.DBSS($C$65,$C$48,$C$14,$B55,C$49)</f>
        <v>4100001</v>
      </c>
      <c r="D67" s="8"/>
      <c r="F67" s="69" t="s">
        <v>57</v>
      </c>
      <c r="G67" s="70"/>
      <c r="H67" s="71"/>
    </row>
    <row r="68" spans="2:9" ht="14.45" hidden="1" customHeight="1" outlineLevel="1" x14ac:dyDescent="0.25">
      <c r="B68" s="8" t="s">
        <v>58</v>
      </c>
      <c r="C68" s="8" t="str">
        <f ca="1">_xll.DBSS($G$68,$C$48,$C$14,$B56,C$49)</f>
        <v>7205 - Other movements</v>
      </c>
      <c r="D68" s="8" t="s">
        <v>59</v>
      </c>
      <c r="F68" s="8" t="s">
        <v>71</v>
      </c>
      <c r="G68" s="8" t="str">
        <f ca="1">$C$99</f>
        <v>7205 - Other movements</v>
      </c>
      <c r="H68" s="8"/>
    </row>
    <row r="69" spans="2:9" ht="14.45" hidden="1" customHeight="1" outlineLevel="1" x14ac:dyDescent="0.25">
      <c r="B69" s="8" t="s">
        <v>101</v>
      </c>
      <c r="C69" s="8" t="str">
        <f ca="1">IF(($G$69=""),"",_xll.DBSS($G69,$C$48,$C$14,$B57,C$49))</f>
        <v/>
      </c>
      <c r="F69" s="8" t="s">
        <v>73</v>
      </c>
      <c r="G69" t="str">
        <f ca="1">H69</f>
        <v/>
      </c>
      <c r="H69" s="8" t="str">
        <f ca="1">IF(($C$78=""),IF(($C$79=""),$C$24,IF((psRE=""),$D$80,IF((psRE=$D$80),$D$80,""))),IF(($C$88=""),$C$24,IF(OR((psRE=""),(psRE=$D$89)),$D$89,"")))</f>
        <v/>
      </c>
      <c r="I69" s="8" t="str">
        <f ca="1">IF(($C$88=""),$C$24,IF(OR((psRE=""),(psRE=$D$89)),$D$89,""))</f>
        <v/>
      </c>
    </row>
    <row r="70" spans="2:9" ht="14.45" hidden="1" customHeight="1" outlineLevel="1" x14ac:dyDescent="0.25">
      <c r="B70" s="8" t="s">
        <v>60</v>
      </c>
      <c r="C70" s="63" t="s">
        <v>61</v>
      </c>
      <c r="D70" t="s">
        <v>62</v>
      </c>
      <c r="F70" s="8" t="s">
        <v>63</v>
      </c>
      <c r="G70" s="8" t="str">
        <f ca="1">IF(($C$81=""),$C$25,"")</f>
        <v>No_Jurisdiction</v>
      </c>
      <c r="H70" s="8"/>
    </row>
    <row r="71" spans="2:9" ht="14.45" hidden="1" customHeight="1" outlineLevel="1" x14ac:dyDescent="0.25">
      <c r="B71" s="8" t="s">
        <v>64</v>
      </c>
      <c r="C71" s="8" t="str">
        <f ca="1">IF((psAcc&lt;&gt;""),_xll.DBSS($G71,$C$48,$C$14,$B59,C$49),"")</f>
        <v/>
      </c>
      <c r="F71" s="8" t="s">
        <v>65</v>
      </c>
      <c r="G71" s="8" t="str">
        <f ca="1">IF(($C$107&lt;&gt;"multiple"),IF((psItem=$D107),$D107,psItem),$D$121)</f>
        <v>A001-00001-05000</v>
      </c>
      <c r="H71" s="8"/>
    </row>
    <row r="72" spans="2:9" ht="14.45" hidden="1" customHeight="1" outlineLevel="1" x14ac:dyDescent="0.25">
      <c r="B72" s="8" t="s">
        <v>66</v>
      </c>
      <c r="C72" s="46" t="s">
        <v>561</v>
      </c>
      <c r="F72" s="8" t="s">
        <v>75</v>
      </c>
      <c r="G72" s="8" t="str">
        <f ca="1">IF((_xll.DIMIX((db_name&amp;":spp"),$C$108)&lt;&gt;0),$C$108,$C$122)</f>
        <v>-</v>
      </c>
      <c r="H72" s="8"/>
    </row>
    <row r="73" spans="2:9" ht="14.45" hidden="1" customHeight="1" outlineLevel="1" x14ac:dyDescent="0.25">
      <c r="B73" s="8" t="s">
        <v>77</v>
      </c>
      <c r="C73" s="8" t="str">
        <f ca="1">IF((psAcc&lt;&gt;""),_xll.DBSS($G73,$C$48,$C$14,$B61,C$49),"")</f>
        <v>N</v>
      </c>
      <c r="F73" s="8" t="s">
        <v>80</v>
      </c>
      <c r="G73" s="8" t="str">
        <f ca="1">IF((psByPass=""),"N",psByPass)</f>
        <v>N</v>
      </c>
      <c r="H73" s="8"/>
    </row>
    <row r="74" spans="2:9" ht="14.45" hidden="1" customHeight="1" outlineLevel="1" x14ac:dyDescent="0.25">
      <c r="B74" s="8" t="s">
        <v>81</v>
      </c>
      <c r="C74" s="8" t="str">
        <f ca="1">IF((psAcc&lt;&gt;""),_xll.DBSS($G74,$C$48,$C$14,$B62,C$49),"")</f>
        <v/>
      </c>
      <c r="F74" s="8" t="s">
        <v>82</v>
      </c>
      <c r="G74" s="8" t="str">
        <f ca="1">IF((psFavID=""),$D$123,psFavID)</f>
        <v/>
      </c>
      <c r="H74" s="8"/>
    </row>
    <row r="75" spans="2:9" ht="14.45" hidden="1" customHeight="1" outlineLevel="1" x14ac:dyDescent="0.25">
      <c r="B75" s="38"/>
    </row>
    <row r="76" spans="2:9" ht="14.45" hidden="1" customHeight="1" outlineLevel="1" x14ac:dyDescent="0.25">
      <c r="B76" s="66" t="s">
        <v>83</v>
      </c>
      <c r="C76" s="67"/>
      <c r="D76" s="68"/>
      <c r="F76" s="66" t="s">
        <v>84</v>
      </c>
      <c r="G76" s="67"/>
    </row>
    <row r="77" spans="2:9" ht="14.45" hidden="1" customHeight="1" outlineLevel="1" x14ac:dyDescent="0.25">
      <c r="B77" s="8" t="s">
        <v>85</v>
      </c>
      <c r="C77" s="8" t="str">
        <f ca="1">_xll.VIEW((db_name&amp;":}ElementAttributes_account"),"!","!")</f>
        <v>dcceew_geus:}ElementAttributes_account</v>
      </c>
      <c r="D77" s="8"/>
    </row>
    <row r="78" spans="2:9" ht="14.45" hidden="1" customHeight="1" outlineLevel="1" x14ac:dyDescent="0.25">
      <c r="B78" s="8" t="s">
        <v>87</v>
      </c>
      <c r="C78" s="8" t="str">
        <f ca="1">_xll.DBR($C$77,$C$65,$B78)</f>
        <v>Y</v>
      </c>
      <c r="D78" s="8"/>
      <c r="F78" s="8" t="s">
        <v>89</v>
      </c>
      <c r="G78" s="8" t="str">
        <f ca="1">_xll.VIEW((db_name&amp;":}ElementAttributes_reason"),"!","!")</f>
        <v>dcceew_geus:}ElementAttributes_reason</v>
      </c>
    </row>
    <row r="79" spans="2:9" ht="14.45" hidden="1" customHeight="1" outlineLevel="1" x14ac:dyDescent="0.25">
      <c r="B79" s="8" t="s">
        <v>91</v>
      </c>
      <c r="C79" s="8" t="str">
        <f ca="1">_xll.DBR($C$77,$C$65,$B79)</f>
        <v>Y</v>
      </c>
      <c r="D79" s="8"/>
      <c r="F79" s="8" t="s">
        <v>92</v>
      </c>
      <c r="G79" s="8" t="str">
        <f ca="1">_xll.VIEW((db_name&amp;":}ElementAttributes_measure code"),"!","!")</f>
        <v>dcceew_geus:}ElementAttributes_measure code</v>
      </c>
    </row>
    <row r="80" spans="2:9" ht="14.45" hidden="1" customHeight="1" outlineLevel="1" x14ac:dyDescent="0.25">
      <c r="B80" s="8" t="s">
        <v>94</v>
      </c>
      <c r="C80" s="8" t="str">
        <f ca="1">_xll.DBR($C$77,$C$65,$B80)</f>
        <v/>
      </c>
      <c r="D80" s="8" t="str">
        <f ca="1">_xll.DBR($G$82,$C$80,"code and description")</f>
        <v>*KEY_ERR</v>
      </c>
      <c r="F80" s="8" t="s">
        <v>95</v>
      </c>
      <c r="G80" s="8" t="str">
        <f ca="1">_xll.VIEW((db_name&amp;":}ElementAttributes_programme"),"!","!")</f>
        <v>dcceew_geus:}ElementAttributes_programme</v>
      </c>
    </row>
    <row r="81" spans="2:7" ht="14.45" hidden="1" customHeight="1" outlineLevel="1" x14ac:dyDescent="0.25">
      <c r="B81" s="8" t="s">
        <v>104</v>
      </c>
      <c r="C81" s="8" t="str">
        <f ca="1">_xll.DBR($C$77,$C$65,$B81)</f>
        <v/>
      </c>
      <c r="D81" s="8"/>
      <c r="F81" s="8" t="s">
        <v>106</v>
      </c>
      <c r="G81" s="8" t="str">
        <f ca="1">_xll.VIEW((db_name&amp;":}ElementAttributes_appropriation item"),"!","!")</f>
        <v>dcceew_geus:}ElementAttributes_appropriation item</v>
      </c>
    </row>
    <row r="82" spans="2:7" ht="14.45" hidden="1" customHeight="1" outlineLevel="1" x14ac:dyDescent="0.25">
      <c r="B82" s="8" t="s">
        <v>96</v>
      </c>
      <c r="C82" s="8" t="str">
        <f ca="1">_xll.DBR($C$77,$C$65,$B82)</f>
        <v/>
      </c>
      <c r="D82" s="8"/>
      <c r="F82" s="26" t="s">
        <v>97</v>
      </c>
      <c r="G82" s="47" t="str">
        <f ca="1">_xll.VIEW((db_name&amp;":}ElementAttributes_related entity"),"!","!")</f>
        <v>dcceew_geus:}ElementAttributes_related entity</v>
      </c>
    </row>
    <row r="83" spans="2:7" ht="14.45" hidden="1" customHeight="1" outlineLevel="1" x14ac:dyDescent="0.25">
      <c r="B83" s="8" t="s">
        <v>98</v>
      </c>
      <c r="C83" s="8" t="str">
        <f ca="1">_xll.DBR($C$77,$C$65,$B83)</f>
        <v/>
      </c>
      <c r="D83" s="8"/>
      <c r="F83" s="8" t="s">
        <v>99</v>
      </c>
      <c r="G83" s="8" t="str">
        <f ca="1">_xll.VIEW((db_name&amp;":}ElementAttributes_favourites_id"),"!","!")</f>
        <v>dcceew_geus:}ElementAttributes_favourites_id</v>
      </c>
    </row>
    <row r="84" spans="2:7" ht="14.45" hidden="1" customHeight="1" outlineLevel="1" x14ac:dyDescent="0.25">
      <c r="B84" s="8" t="s">
        <v>100</v>
      </c>
      <c r="C84" s="8" t="str">
        <f ca="1">_xll.DBR($C$77,$C$65,$B84)</f>
        <v>7593</v>
      </c>
      <c r="D84" s="8" t="str">
        <f ca="1">_xll.DBR($C$87,$C$84,"code and description")</f>
        <v>7593 - Administered Appropriations from the OPA (Admin Only) - agreed</v>
      </c>
    </row>
    <row r="85" spans="2:7" ht="14.45" hidden="1" customHeight="1" outlineLevel="1" x14ac:dyDescent="0.25">
      <c r="B85" s="38"/>
    </row>
    <row r="86" spans="2:7" ht="14.45" hidden="1" customHeight="1" outlineLevel="1" x14ac:dyDescent="0.25">
      <c r="B86" s="66" t="s">
        <v>88</v>
      </c>
      <c r="C86" s="67"/>
      <c r="D86" s="68"/>
    </row>
    <row r="87" spans="2:7" ht="14.45" hidden="1" customHeight="1" outlineLevel="1" x14ac:dyDescent="0.25">
      <c r="B87" s="8" t="s">
        <v>90</v>
      </c>
      <c r="C87" s="8" t="str">
        <f ca="1">_xll.VIEW((db_name&amp;":}ElementAttributes_movement account"),"!","!")</f>
        <v>dcceew_geus:}ElementAttributes_movement account</v>
      </c>
    </row>
    <row r="88" spans="2:7" ht="14.45" hidden="1" customHeight="1" outlineLevel="1" x14ac:dyDescent="0.25">
      <c r="B88" s="8" t="s">
        <v>91</v>
      </c>
      <c r="C88" s="8" t="str">
        <f ca="1">_xll.DBR($C$87,$C$66,$B88)</f>
        <v>Y</v>
      </c>
    </row>
    <row r="89" spans="2:7" ht="14.45" hidden="1" customHeight="1" outlineLevel="1" x14ac:dyDescent="0.25">
      <c r="B89" s="8" t="s">
        <v>94</v>
      </c>
      <c r="C89" s="8" t="str">
        <f ca="1">_xll.DBR($C$87,$C$66,$B89)</f>
        <v/>
      </c>
      <c r="D89" s="8" t="str">
        <f ca="1">_xll.DBR($G$82,$C$89,"code and description")</f>
        <v>*KEY_ERR</v>
      </c>
    </row>
    <row r="90" spans="2:7" ht="14.45" hidden="1" customHeight="1" outlineLevel="1" x14ac:dyDescent="0.25">
      <c r="B90" s="38"/>
    </row>
    <row r="91" spans="2:7" ht="14.45" hidden="1" customHeight="1" outlineLevel="1" x14ac:dyDescent="0.25">
      <c r="B91" s="69" t="s">
        <v>102</v>
      </c>
      <c r="C91" s="70"/>
      <c r="D91" s="71"/>
    </row>
    <row r="92" spans="2:7" ht="14.45" hidden="1" customHeight="1" outlineLevel="1" x14ac:dyDescent="0.25">
      <c r="B92" s="72" t="s">
        <v>103</v>
      </c>
      <c r="C92" s="73"/>
      <c r="D92" s="73"/>
    </row>
    <row r="93" spans="2:7" ht="14.45" hidden="1" customHeight="1" outlineLevel="1" x14ac:dyDescent="0.25">
      <c r="B93" s="4" t="s">
        <v>105</v>
      </c>
      <c r="C93" s="8" t="str">
        <f ca="1">_xll.VIEW((db_name&amp;":sys_movement account mapping"),"!","!",$C$94)</f>
        <v>dcceew_geus:sys_movement account mapping</v>
      </c>
      <c r="D93" s="8"/>
    </row>
    <row r="94" spans="2:7" ht="14.45" hidden="1" customHeight="1" outlineLevel="1" x14ac:dyDescent="0.25">
      <c r="B94" s="8" t="s">
        <v>107</v>
      </c>
      <c r="C94" s="8" t="str">
        <f ca="1">_xll.SUBNM((db_name&amp;":sys_mapping measure"),"","flag")</f>
        <v>flag</v>
      </c>
      <c r="D94" s="8"/>
    </row>
    <row r="95" spans="2:7" ht="14.45" hidden="1" customHeight="1" outlineLevel="1" x14ac:dyDescent="0.25">
      <c r="B95" s="8" t="s">
        <v>109</v>
      </c>
      <c r="C95" s="8">
        <f ca="1">_xll.DBR($C$93,psAcc,"Total movement",$C$94)</f>
        <v>40</v>
      </c>
      <c r="D95" s="8"/>
    </row>
    <row r="96" spans="2:7" ht="14.45" hidden="1" customHeight="1" outlineLevel="1" x14ac:dyDescent="0.25">
      <c r="B96" s="8" t="s">
        <v>110</v>
      </c>
      <c r="C96" s="8" t="str">
        <f ca="1">("sys_"&amp;$C$65)</f>
        <v>sys_4100001</v>
      </c>
      <c r="D96" s="8"/>
    </row>
    <row r="97" spans="2:4" ht="14.45" hidden="1" customHeight="1" outlineLevel="1" x14ac:dyDescent="0.25">
      <c r="B97" s="8" t="s">
        <v>111</v>
      </c>
      <c r="C97" s="8" t="str">
        <f ca="1">_xll.SUBNM((db_name&amp;":}movement account mapping"),$C$96,1)</f>
        <v>7205 - Other movements</v>
      </c>
      <c r="D97" s="8"/>
    </row>
    <row r="98" spans="2:4" ht="14.45" hidden="1" customHeight="1" outlineLevel="1" x14ac:dyDescent="0.25">
      <c r="B98" s="8" t="s">
        <v>112</v>
      </c>
      <c r="C98" s="8" t="str">
        <f ca="1">IF((psAcc=""),"",IF(($C$78=""),$C$23,IF(OR((psMA=""),(psMA=$C$23)),$C$97,psMA)))</f>
        <v>7205 - Other movements</v>
      </c>
      <c r="D98" s="8"/>
    </row>
    <row r="99" spans="2:4" ht="14.45" hidden="1" customHeight="1" outlineLevel="1" x14ac:dyDescent="0.25">
      <c r="B99" s="8" t="s">
        <v>114</v>
      </c>
      <c r="C99" s="45" t="str">
        <f ca="1">_xll.DBR($C$87,$C$98,"code and description")</f>
        <v>7205 - Other movements</v>
      </c>
      <c r="D99" s="8"/>
    </row>
    <row r="100" spans="2:4" ht="14.45" hidden="1" customHeight="1" outlineLevel="1" x14ac:dyDescent="0.25"/>
    <row r="101" spans="2:4" ht="14.45" hidden="1" customHeight="1" outlineLevel="1" x14ac:dyDescent="0.25">
      <c r="B101" s="66" t="s">
        <v>115</v>
      </c>
      <c r="C101" s="67"/>
      <c r="D101" s="68"/>
    </row>
    <row r="102" spans="2:4" ht="14.45" hidden="1" customHeight="1" outlineLevel="1" x14ac:dyDescent="0.25">
      <c r="B102" s="4" t="s">
        <v>121</v>
      </c>
      <c r="C102" s="8" t="str">
        <f ca="1">_xll.VIEW((db_name&amp;":AE id details"),$C$51,$C$52,$C$53,"!")</f>
        <v>dcceew_geus:AE id details</v>
      </c>
      <c r="D102" s="4" t="s">
        <v>123</v>
      </c>
    </row>
    <row r="103" spans="2:4" ht="14.45" hidden="1" customHeight="1" outlineLevel="1" x14ac:dyDescent="0.25">
      <c r="B103" s="4" t="s">
        <v>125</v>
      </c>
      <c r="C103" s="8" t="str">
        <f ca="1">_xll.DBR($C$102,$C$51,$C$52,$C$53,$B103)</f>
        <v>unauthorised</v>
      </c>
      <c r="D103" s="8"/>
    </row>
    <row r="104" spans="2:4" ht="14.45" hidden="1" customHeight="1" outlineLevel="1" x14ac:dyDescent="0.25">
      <c r="B104" s="4" t="s">
        <v>559</v>
      </c>
      <c r="C104" s="12" t="str">
        <f ca="1">IF(OR(($C$103="unauthorised"),($C$103="draft"),($C$103="unbalanced")),"data",$C$103)</f>
        <v>data</v>
      </c>
      <c r="D104" s="8"/>
    </row>
    <row r="105" spans="2:4" ht="14.45" hidden="1" customHeight="1" outlineLevel="1" x14ac:dyDescent="0.25">
      <c r="B105" s="4" t="s">
        <v>558</v>
      </c>
      <c r="C105" s="8" t="str">
        <f ca="1">_xll.DBR($C$102,$C$51,$C$52,$C$53,$B105)</f>
        <v>1070</v>
      </c>
      <c r="D105" s="8" t="str">
        <f ca="1">_xll.DBR($G$80,$C105,"Code and description")</f>
        <v>1070 - CCEEW - Departmental - Outcome 1.1</v>
      </c>
    </row>
    <row r="106" spans="2:4" ht="14.45" hidden="1" customHeight="1" outlineLevel="1" x14ac:dyDescent="0.25">
      <c r="B106" s="4" t="s">
        <v>127</v>
      </c>
      <c r="C106" s="8" t="str">
        <f ca="1">_xll.DBR($C$102,$C$51,$C$52,$C$53,$B106)</f>
        <v>A001</v>
      </c>
      <c r="D106" s="8"/>
    </row>
    <row r="107" spans="2:4" ht="14.45" hidden="1" customHeight="1" outlineLevel="1" x14ac:dyDescent="0.25">
      <c r="B107" s="4" t="s">
        <v>106</v>
      </c>
      <c r="C107" s="8" t="str">
        <f ca="1">_xll.DBR($C$102,$C$51,$C$52,$C$53,$B107)</f>
        <v>A001-00001-05000</v>
      </c>
      <c r="D107" s="8" t="str">
        <f ca="1">_xll.DBR($G$81,$C107,"code and description")</f>
        <v>A001-00001-05000 - Ordinary Annual Services of the Government - Appropriation Act (No. 1) - Operating</v>
      </c>
    </row>
    <row r="108" spans="2:4" ht="14.45" hidden="1" customHeight="1" outlineLevel="1" x14ac:dyDescent="0.25">
      <c r="B108" s="4" t="s">
        <v>93</v>
      </c>
      <c r="C108" s="8" t="str">
        <f ca="1">_xll.DBR($C$102,$C$51,$C$52,$C$53,$B108)</f>
        <v>-</v>
      </c>
      <c r="D108" s="8"/>
    </row>
    <row r="109" spans="2:4" ht="14.45" hidden="1" customHeight="1" outlineLevel="1" x14ac:dyDescent="0.25">
      <c r="B109" s="4" t="s">
        <v>128</v>
      </c>
      <c r="C109" s="8" t="str">
        <f ca="1">_xll.DBR($C$102,$C$51,$C$52,$C$53,$B109)</f>
        <v>12554</v>
      </c>
      <c r="D109" s="8"/>
    </row>
    <row r="110" spans="2:4" ht="14.45" hidden="1" customHeight="1" outlineLevel="1" x14ac:dyDescent="0.25">
      <c r="B110" s="4" t="s">
        <v>129</v>
      </c>
      <c r="C110" s="8" t="str">
        <f ca="1">_xll.DBR($C$102,$C$51,$C$52,$C$53,$B110)</f>
        <v>2107</v>
      </c>
      <c r="D110" s="8"/>
    </row>
    <row r="111" spans="2:4" ht="14.45" hidden="1" customHeight="1" outlineLevel="1" x14ac:dyDescent="0.25">
      <c r="B111" s="4" t="s">
        <v>130</v>
      </c>
      <c r="C111" s="8" t="str">
        <f ca="1">_xll.DBR($C$102,$C$51,$C$52,$C$53,$B111)</f>
        <v>1019</v>
      </c>
      <c r="D111" s="8" t="str">
        <f ca="1">_xll.DBR($G$78,$C111,"CBMS code and description")</f>
        <v>1019 - Self balancing transfers</v>
      </c>
    </row>
    <row r="112" spans="2:4" ht="14.45" hidden="1" customHeight="1" outlineLevel="1" x14ac:dyDescent="0.25">
      <c r="B112" s="4" t="s">
        <v>131</v>
      </c>
      <c r="C112" s="8" t="str">
        <f ca="1">_xll.DBR($C$102,$C$51,$C$52,$C$53,$B112)</f>
        <v>M00000</v>
      </c>
      <c r="D112" s="8" t="str">
        <f ca="1">_xll.DBR($G$79,$C112,"CBMS code and description")</f>
        <v>No Measure</v>
      </c>
    </row>
    <row r="113" spans="2:6" ht="14.45" hidden="1" customHeight="1" outlineLevel="1" x14ac:dyDescent="0.25">
      <c r="B113" s="4" t="s">
        <v>132</v>
      </c>
      <c r="C113" s="8" t="str">
        <f ca="1">_xll.DBR($C$102,$C$51,$C$52,$C$53,$B113)</f>
        <v>No Measure</v>
      </c>
      <c r="D113" s="8"/>
    </row>
    <row r="114" spans="2:6" ht="14.45" hidden="1" customHeight="1" outlineLevel="1" x14ac:dyDescent="0.25">
      <c r="B114" s="4" t="s">
        <v>133</v>
      </c>
      <c r="C114" s="8" t="str">
        <f ca="1">_xll.DBR($C$102,$C$51,$C$52,$C$53,$B114)</f>
        <v>CCEEW - Departmental - Outcome 1.1 - FBO Adjustment</v>
      </c>
      <c r="D114" s="8"/>
    </row>
    <row r="115" spans="2:6" ht="14.45" hidden="1" customHeight="1" outlineLevel="1" x14ac:dyDescent="0.25">
      <c r="B115" s="4" t="s">
        <v>13</v>
      </c>
      <c r="C115" s="8" t="str">
        <f ca="1">_xll.DBR($C$102,$C$51,$C$52,$C$53,$B115)</f>
        <v>(00115) CCEEW - Departmental - Outcome 1.1 - FBO Adjustment</v>
      </c>
      <c r="D115" s="8"/>
    </row>
    <row r="116" spans="2:6" ht="14.45" hidden="1" customHeight="1" outlineLevel="1" x14ac:dyDescent="0.25">
      <c r="B116" s="4" t="s">
        <v>134</v>
      </c>
      <c r="C116" s="8" t="str">
        <f ca="1">_xll.DBR($C$102,$C$51,$C$52,$C$53,$B116)</f>
        <v>Y</v>
      </c>
      <c r="D116" s="8" t="str">
        <f ca="1">IF(OR(($C$116=""),($C$116="*KEY_ERR")),"System Derived","Agency Entered")</f>
        <v>Agency Entered</v>
      </c>
      <c r="E116" s="8" t="str">
        <f ca="1">("sys_"&amp;$D$116)</f>
        <v>sys_Agency Entered</v>
      </c>
      <c r="F116" s="8" t="str">
        <f ca="1">IF(OR(($C$103="unauthorised"),($C$103="draft"),($C$103="unbalanced")),"sys_all-n",$E$116)</f>
        <v>sys_all-n</v>
      </c>
    </row>
    <row r="117" spans="2:6" ht="14.45" hidden="1" customHeight="1" outlineLevel="1" x14ac:dyDescent="0.25"/>
    <row r="118" spans="2:6" ht="14.45" hidden="1" customHeight="1" outlineLevel="1" x14ac:dyDescent="0.25">
      <c r="B118" s="66" t="s">
        <v>135</v>
      </c>
      <c r="C118" s="67"/>
      <c r="D118" s="68"/>
    </row>
    <row r="119" spans="2:6" ht="14.45" hidden="1" customHeight="1" outlineLevel="1" x14ac:dyDescent="0.25">
      <c r="B119" s="4" t="s">
        <v>113</v>
      </c>
      <c r="C119" s="8" t="str">
        <f ca="1">_xll.VIEW((db_name&amp;":programme details"),$C$51,$C$52,"!","!")</f>
        <v>dcceew_geus:programme details</v>
      </c>
      <c r="D119" s="8"/>
    </row>
    <row r="120" spans="2:6" ht="14.45" hidden="1" customHeight="1" outlineLevel="1" x14ac:dyDescent="0.25">
      <c r="B120" s="4" t="s">
        <v>127</v>
      </c>
      <c r="C120" s="8" t="str">
        <f ca="1">_xll.DBR($C$119,$C$51,$C$52,$C$105,$B120)</f>
        <v/>
      </c>
      <c r="D120" s="8"/>
    </row>
    <row r="121" spans="2:6" ht="14.45" hidden="1" customHeight="1" outlineLevel="1" x14ac:dyDescent="0.25">
      <c r="B121" s="4" t="s">
        <v>106</v>
      </c>
      <c r="C121" s="8" t="str">
        <f ca="1">_xll.DBR($C$119,$C$51,$C$52,$C$105,$B121)</f>
        <v/>
      </c>
      <c r="D121" s="8" t="str">
        <f ca="1">_xll.DBR($G$81,$C121,"code and description")</f>
        <v>*KEY_ERR</v>
      </c>
    </row>
    <row r="122" spans="2:6" ht="14.45" hidden="1" customHeight="1" outlineLevel="1" x14ac:dyDescent="0.25">
      <c r="B122" s="4" t="s">
        <v>93</v>
      </c>
      <c r="C122" s="8" t="str">
        <f ca="1">_xll.DBR($C$119,$C$51,$C$52,$C$105,$B122)</f>
        <v/>
      </c>
      <c r="D122" s="8"/>
    </row>
    <row r="123" spans="2:6" ht="14.45" hidden="1" customHeight="1" outlineLevel="1" x14ac:dyDescent="0.25">
      <c r="B123" s="4" t="s">
        <v>136</v>
      </c>
      <c r="C123" s="8" t="str">
        <f ca="1">_xll.DBR($C$119,$C$51,$C$52,$C$105,$B123)</f>
        <v/>
      </c>
      <c r="D123" s="8" t="str">
        <f ca="1">IF(($C123=""),"",_xll.DBR($G$83,$C123,"code and description"))</f>
        <v/>
      </c>
    </row>
    <row r="124" spans="2:6" ht="14.45" hidden="1" customHeight="1" outlineLevel="1" x14ac:dyDescent="0.25">
      <c r="B124" s="82" t="s">
        <v>562</v>
      </c>
      <c r="C124" s="8" t="str">
        <f ca="1">IF(LEFT($C111,4) = "1040","Yes","No")</f>
        <v>No</v>
      </c>
      <c r="D124" s="8"/>
    </row>
    <row r="125" spans="2:6" ht="14.45" hidden="1" customHeight="1" outlineLevel="1" x14ac:dyDescent="0.25"/>
    <row r="126" spans="2:6" ht="14.45" hidden="1" customHeight="1" outlineLevel="1" x14ac:dyDescent="0.25"/>
    <row r="127" spans="2:6" ht="14.45" hidden="1" customHeight="1" outlineLevel="1" x14ac:dyDescent="0.25"/>
    <row r="128" spans="2:6" ht="14.45" hidden="1" customHeight="1" outlineLevel="1" x14ac:dyDescent="0.25">
      <c r="B128" s="66" t="s">
        <v>118</v>
      </c>
      <c r="C128" s="67"/>
      <c r="D128" s="68"/>
    </row>
    <row r="129" spans="2:5" ht="14.45" hidden="1" customHeight="1" outlineLevel="1" x14ac:dyDescent="0.25">
      <c r="B129" s="4" t="s">
        <v>119</v>
      </c>
      <c r="C129" s="8" t="str">
        <f ca="1">_xll.TM1RPTVIEW((db_name&amp;":AE adjustments:1"),1,_xll.TM1RPTTITLE((db_name&amp;":headline year"),$C$133),_xll.TM1RPTTITLE((db_name&amp;":scenario"),$C$134),_xll.TM1RPTTITLE((db_name&amp;":status"),$C$136),_xll.TM1RPTTITLE((db_name&amp;":outcome"),$C$138),_xll.TM1RPTTITLE((db_name&amp;":function"),$C$139),_xll.TM1RPTTITLE((db_name&amp;":reason"),$C$140),_xll.TM1RPTTITLE((db_name&amp;":measure code"),$C$141),_xll.TM1RPTTITLE((db_name&amp;":id"),$C$135),TM1RPTFMTRNG,TM1RPTFMTIDCOL)</f>
        <v>dcceew_geus:AE adjustments:1</v>
      </c>
    </row>
    <row r="130" spans="2:5" ht="14.45" hidden="1" customHeight="1" outlineLevel="1" x14ac:dyDescent="0.25">
      <c r="B130" s="4" t="s">
        <v>120</v>
      </c>
      <c r="C130" t="str">
        <f ca="1">_xll.TM1RPTVIEW((db_name&amp;":AE adjustments:ARPT1"),1,_xll.TM1RPTTITLE((db_name&amp;":headline year"),$C$133),_xll.TM1RPTTITLE((db_name&amp;":scenario"),$C$134),_xll.TM1RPTTITLE((db_name&amp;":status"),$C$137),_xll.TM1RPTTITLE((db_name&amp;":outcome"),$C$138),_xll.TM1RPTTITLE((db_name&amp;":function"),$C$139),_xll.TM1RPTTITLE((db_name&amp;":reason"),$C$140),_xll.TM1RPTTITLE((db_name&amp;":measure code"),$C$141),_xll.TM1RPTTITLE((db_name&amp;":id"),$C$135),TM1RPTFMTRNG,TM1RPTFMTIDCOL)</f>
        <v>dcceew_geus:AE adjustments:ARPT1</v>
      </c>
    </row>
    <row r="131" spans="2:5" ht="14.45" hidden="1" customHeight="1" outlineLevel="1" x14ac:dyDescent="0.25">
      <c r="B131" s="4" t="s">
        <v>137</v>
      </c>
      <c r="C131" t="str">
        <f ca="1">_xll.TM1RPTVIEW((db_name&amp;":AE adjustments:ARPT2"),1,_xll.TM1RPTTITLE((db_name&amp;":headline year"),$C$133),_xll.TM1RPTTITLE((db_name&amp;":scenario"),$C$134),_xll.TM1RPTTITLE((db_name&amp;":status"),$E$137),_xll.TM1RPTTITLE((db_name&amp;":outcome"),$C$138),_xll.TM1RPTTITLE((db_name&amp;":function"),$C$139),_xll.TM1RPTTITLE((db_name&amp;":reason"),$C$140),_xll.TM1RPTTITLE((db_name&amp;":measure code"),$C$141),_xll.TM1RPTTITLE((db_name&amp;":id"),$C$135),TM1RPTFMTRNG,TM1RPTFMTIDCOL)</f>
        <v>dcceew_geus:AE adjustments:ARPT2</v>
      </c>
    </row>
    <row r="132" spans="2:5" ht="14.45" hidden="1" customHeight="1" outlineLevel="1" x14ac:dyDescent="0.25">
      <c r="B132" s="4" t="s">
        <v>138</v>
      </c>
      <c r="C132" s="8" t="str">
        <f ca="1">_xll.VIEW((db_name&amp;":AE adjustments"),$C$133,$C$134,$C$136,$C$138,"!",$C$139,$C$140,"!",$C$141,"!","!","!","!","!",$C$135,"!","!")</f>
        <v>dcceew_geus:AE adjustments</v>
      </c>
    </row>
    <row r="133" spans="2:5" ht="14.45" hidden="1" customHeight="1" outlineLevel="1" x14ac:dyDescent="0.25">
      <c r="B133" s="4" t="s">
        <v>7</v>
      </c>
      <c r="C133" s="8" t="str">
        <f ca="1">_xll.SUBNM((db_name&amp;":headline year"),"",$C$51)</f>
        <v>HL2024-2025</v>
      </c>
    </row>
    <row r="134" spans="2:5" ht="14.45" hidden="1" customHeight="1" outlineLevel="1" x14ac:dyDescent="0.25">
      <c r="B134" s="4" t="s">
        <v>139</v>
      </c>
      <c r="C134" s="8" t="str">
        <f ca="1">_xll.SUBNM((db_name&amp;":scenario"),"",$C$52)</f>
        <v>current</v>
      </c>
    </row>
    <row r="135" spans="2:5" ht="14.45" hidden="1" customHeight="1" outlineLevel="1" x14ac:dyDescent="0.25">
      <c r="B135" s="4" t="s">
        <v>140</v>
      </c>
      <c r="C135" s="8" t="str">
        <f ca="1">_xll.SUBNM((db_name&amp;":id"),"",$C$53)</f>
        <v>00115</v>
      </c>
    </row>
    <row r="136" spans="2:5" ht="14.45" hidden="1" customHeight="1" outlineLevel="1" x14ac:dyDescent="0.25">
      <c r="B136" s="4" t="s">
        <v>125</v>
      </c>
      <c r="C136" s="8" t="str">
        <f ca="1">_xll.SUBNM((db_name&amp;":status"),"",$C$104)</f>
        <v>data</v>
      </c>
    </row>
    <row r="137" spans="2:5" ht="14.45" hidden="1" customHeight="1" outlineLevel="1" x14ac:dyDescent="0.25">
      <c r="B137" s="4" t="s">
        <v>141</v>
      </c>
      <c r="C137" s="8" t="str">
        <f ca="1">_xll.SUBNM((db_name&amp;":status"),"","cash flow")</f>
        <v>cash flow</v>
      </c>
      <c r="D137" s="8" t="str">
        <f ca="1">IF((psCFFlag="Agency Entered"),"data","cash flow")</f>
        <v>data</v>
      </c>
      <c r="E137" s="8" t="str">
        <f ca="1">_xll.SUBNM((db_name&amp;":status"),"","sys_cash flow adjustment")</f>
        <v>sys_cash flow adjustment</v>
      </c>
    </row>
    <row r="138" spans="2:5" ht="14.45" hidden="1" customHeight="1" outlineLevel="1" x14ac:dyDescent="0.25">
      <c r="B138" s="4" t="s">
        <v>128</v>
      </c>
      <c r="C138" s="8" t="str">
        <f ca="1">_xll.SUBNM((db_name&amp;":outcome"),"",$C$109)</f>
        <v>12554</v>
      </c>
    </row>
    <row r="139" spans="2:5" ht="14.45" hidden="1" customHeight="1" outlineLevel="1" x14ac:dyDescent="0.25">
      <c r="B139" s="4" t="s">
        <v>129</v>
      </c>
      <c r="C139" s="8" t="str">
        <f ca="1">_xll.SUBNM((db_name&amp;":function"),"",$C$110)</f>
        <v>2107</v>
      </c>
    </row>
    <row r="140" spans="2:5" ht="14.45" hidden="1" customHeight="1" outlineLevel="1" x14ac:dyDescent="0.25">
      <c r="B140" s="4" t="s">
        <v>130</v>
      </c>
      <c r="C140" s="8" t="str">
        <f ca="1">_xll.SUBNM((db_name&amp;":reason"),"",$C$111,"CBMS code and description")</f>
        <v>1019 - Self balancing transfers</v>
      </c>
    </row>
    <row r="141" spans="2:5" ht="14.45" hidden="1" customHeight="1" outlineLevel="1" x14ac:dyDescent="0.25">
      <c r="B141" s="4" t="s">
        <v>150</v>
      </c>
      <c r="C141" s="8" t="str">
        <f ca="1">_xll.SUBNM((db_name&amp;":measure code"),"",$C$112,"CBMS code and description")</f>
        <v>No Measure</v>
      </c>
    </row>
    <row r="142" spans="2:5" ht="14.45" hidden="1" customHeight="1" outlineLevel="1" x14ac:dyDescent="0.25"/>
    <row r="143" spans="2:5" ht="14.45" hidden="1" customHeight="1" outlineLevel="1" x14ac:dyDescent="0.25">
      <c r="B143" s="66" t="s">
        <v>142</v>
      </c>
      <c r="C143" s="67"/>
      <c r="D143" s="68"/>
    </row>
    <row r="144" spans="2:5" ht="14.45" hidden="1" customHeight="1" outlineLevel="1" x14ac:dyDescent="0.25">
      <c r="B144" s="4" t="s">
        <v>144</v>
      </c>
      <c r="C144" s="8" t="str">
        <f ca="1">("{TM1FILTERBYLEVEL( {TM1DRILLDOWNMEMBER( {[programme].["&amp;($C$105&amp;"]}, ALL, RECURSIVE )}, 0)}"))</f>
        <v>{TM1FILTERBYLEVEL( {TM1DRILLDOWNMEMBER( {[programme].[1070]}, ALL, RECURSIVE )}, 0)}</v>
      </c>
      <c r="D144" s="8"/>
    </row>
    <row r="145" spans="2:37" ht="14.45" hidden="1" customHeight="1" outlineLevel="1" x14ac:dyDescent="0.25">
      <c r="B145" s="4" t="s">
        <v>153</v>
      </c>
      <c r="C145" s="13" t="s">
        <v>154</v>
      </c>
      <c r="D145" s="8"/>
    </row>
    <row r="146" spans="2:37" ht="14.45" hidden="1" customHeight="1" outlineLevel="1" x14ac:dyDescent="0.25">
      <c r="B146" s="4" t="s">
        <v>155</v>
      </c>
      <c r="C146" s="13" t="s">
        <v>143</v>
      </c>
      <c r="D146" s="8"/>
    </row>
    <row r="147" spans="2:37" ht="14.45" hidden="1" customHeight="1" outlineLevel="1" x14ac:dyDescent="0.25">
      <c r="B147" s="4" t="s">
        <v>151</v>
      </c>
      <c r="C147" s="8" t="str">
        <f ca="1">IF((psCFFlag="Agency Entered"),$E$147,$D$147)</f>
        <v>{ EXCEPT( {TM1SORT( {TM1FILTERBYLEVEL( {TM1SUBSETALL( [account] )}, 0)}, ASC)}, {[account].[9000520], [account].[9000525], [account].[9000510], [account].[9000515], [account].[9000701], [account].[9000702],[account].[6100001], [account].[account template] }) }}</v>
      </c>
      <c r="D147" s="8" t="s">
        <v>145</v>
      </c>
      <c r="E147" t="s">
        <v>146</v>
      </c>
    </row>
    <row r="148" spans="2:37" ht="14.45" hidden="1" customHeight="1" outlineLevel="1" x14ac:dyDescent="0.25">
      <c r="B148" s="4" t="s">
        <v>147</v>
      </c>
      <c r="C148" s="8" t="s">
        <v>148</v>
      </c>
      <c r="D148" s="8"/>
    </row>
    <row r="149" spans="2:37" ht="14.45" hidden="1" customHeight="1" outlineLevel="1" x14ac:dyDescent="0.25">
      <c r="B149" s="4" t="s">
        <v>149</v>
      </c>
      <c r="C149" s="8" t="s">
        <v>152</v>
      </c>
      <c r="D149" s="8"/>
    </row>
    <row r="150" spans="2:37" ht="14.45" hidden="1" customHeight="1" outlineLevel="1" x14ac:dyDescent="0.25">
      <c r="B150" s="4" t="s">
        <v>156</v>
      </c>
      <c r="C150" s="13" t="s">
        <v>157</v>
      </c>
      <c r="D150" s="8"/>
    </row>
    <row r="151" spans="2:37" ht="14.45" hidden="1" customHeight="1" outlineLevel="1" x14ac:dyDescent="0.25">
      <c r="B151" s="4" t="s">
        <v>158</v>
      </c>
      <c r="C151" s="13" t="s">
        <v>159</v>
      </c>
      <c r="D151" s="8"/>
    </row>
    <row r="152" spans="2:37" ht="14.45" hidden="1" customHeight="1" outlineLevel="1" x14ac:dyDescent="0.25">
      <c r="B152" s="4" t="s">
        <v>161</v>
      </c>
      <c r="C152" s="13" t="s">
        <v>200</v>
      </c>
      <c r="D152" s="8"/>
      <c r="W152" s="16" t="s">
        <v>162</v>
      </c>
    </row>
    <row r="153" spans="2:37" ht="14.45" hidden="1" customHeight="1" outlineLevel="1" x14ac:dyDescent="0.25">
      <c r="V153" t="s">
        <v>162</v>
      </c>
      <c r="W153" s="17" t="str">
        <f ca="1">RIGHT($C$133,9)</f>
        <v>2024-2025</v>
      </c>
      <c r="Y153" s="18" t="str">
        <f ca="1">_xll.DIMNM((db_name&amp;":period"),(_xll.DIMIX((db_name&amp;":period"),$W$153)+Y$154))</f>
        <v>2023-2024</v>
      </c>
      <c r="Z153" s="18" t="str">
        <f ca="1">_xll.DIMNM((db_name&amp;":period"),(_xll.DIMIX((db_name&amp;":period"),$W$153)+Z$154))</f>
        <v>2024-2025</v>
      </c>
      <c r="AA153" s="18" t="str">
        <f ca="1">_xll.DIMNM((db_name&amp;":period"),(_xll.DIMIX((db_name&amp;":period"),$W$153)+AA$154))</f>
        <v>2025-2026</v>
      </c>
      <c r="AB153" s="18" t="str">
        <f ca="1">_xll.DIMNM((db_name&amp;":period"),(_xll.DIMIX((db_name&amp;":period"),$W$153)+AB$154))</f>
        <v>2026-2027</v>
      </c>
      <c r="AC153" s="18" t="str">
        <f ca="1">_xll.DIMNM((db_name&amp;":period"),(_xll.DIMIX((db_name&amp;":period"),$W$153)+AC$154))</f>
        <v>2027-2028</v>
      </c>
      <c r="AD153" s="18" t="str">
        <f ca="1">_xll.DIMNM((db_name&amp;":period"),(_xll.DIMIX((db_name&amp;":period"),$W$153)+AD$154))</f>
        <v>2028-2029</v>
      </c>
      <c r="AE153" s="18" t="str">
        <f ca="1">_xll.DIMNM((db_name&amp;":period"),(_xll.DIMIX((db_name&amp;":period"),$W$153)+AE$154))</f>
        <v>2029-2030</v>
      </c>
      <c r="AF153" s="18" t="str">
        <f ca="1">_xll.DIMNM((db_name&amp;":period"),(_xll.DIMIX((db_name&amp;":period"),$W$153)+AF$154))</f>
        <v>2030-2031</v>
      </c>
      <c r="AG153" s="18" t="str">
        <f ca="1">_xll.DIMNM((db_name&amp;":period"),(_xll.DIMIX((db_name&amp;":period"),$W$153)+AG$154))</f>
        <v>2031-2032</v>
      </c>
      <c r="AH153" s="18" t="str">
        <f ca="1">_xll.DIMNM((db_name&amp;":period"),(_xll.DIMIX((db_name&amp;":period"),$W$153)+AH$154))</f>
        <v>2032-2033</v>
      </c>
      <c r="AI153" s="18" t="str">
        <f ca="1">_xll.DIMNM((db_name&amp;":period"),(_xll.DIMIX((db_name&amp;":period"),$W$153)+AI$154))</f>
        <v>2033-2034</v>
      </c>
      <c r="AJ153" s="18" t="str">
        <f ca="1">_xll.DIMNM((db_name&amp;":period"),(_xll.DIMIX((db_name&amp;":period"),$W$153)+AJ$154))</f>
        <v>2034-2035</v>
      </c>
      <c r="AK153" s="19" t="str">
        <f ca="1">_xll.DIMNM((db_name&amp;":period"),(_xll.DIMIX((db_name&amp;":period"),$W$153)+AK$154))</f>
        <v>2035-2036</v>
      </c>
    </row>
    <row r="154" spans="2:37" ht="14.45" hidden="1" customHeight="1" outlineLevel="1" x14ac:dyDescent="0.25">
      <c r="B154" s="66" t="s">
        <v>163</v>
      </c>
      <c r="C154" s="67"/>
      <c r="W154" s="17" t="s">
        <v>164</v>
      </c>
      <c r="Y154" s="17">
        <f t="shared" ref="Y154:AK154" ca="1" si="0">IF(($AC188="No"),Y$156,Y$155)</f>
        <v>-1</v>
      </c>
      <c r="Z154" s="17">
        <f t="shared" ca="1" si="0"/>
        <v>0</v>
      </c>
      <c r="AA154" s="17">
        <f t="shared" ca="1" si="0"/>
        <v>1</v>
      </c>
      <c r="AB154" s="17">
        <f t="shared" ca="1" si="0"/>
        <v>2</v>
      </c>
      <c r="AC154" s="17">
        <f t="shared" ca="1" si="0"/>
        <v>3</v>
      </c>
      <c r="AD154" s="17">
        <f t="shared" ca="1" si="0"/>
        <v>4</v>
      </c>
      <c r="AE154" s="17">
        <f t="shared" ca="1" si="0"/>
        <v>5</v>
      </c>
      <c r="AF154" s="17">
        <f t="shared" ca="1" si="0"/>
        <v>6</v>
      </c>
      <c r="AG154" s="17">
        <f t="shared" ca="1" si="0"/>
        <v>7</v>
      </c>
      <c r="AH154" s="17">
        <f t="shared" ca="1" si="0"/>
        <v>8</v>
      </c>
      <c r="AI154" s="17">
        <f t="shared" ca="1" si="0"/>
        <v>9</v>
      </c>
      <c r="AJ154" s="17">
        <f t="shared" ca="1" si="0"/>
        <v>10</v>
      </c>
      <c r="AK154" s="17">
        <f t="shared" ca="1" si="0"/>
        <v>11</v>
      </c>
    </row>
    <row r="155" spans="2:37" ht="14.45" hidden="1" customHeight="1" outlineLevel="1" x14ac:dyDescent="0.25">
      <c r="B155" s="4" t="s">
        <v>160</v>
      </c>
      <c r="C155" s="8" t="str">
        <f ca="1">_xll.VIEW((db_name&amp;":AE validation"),$C$133,$C$134,"!",$C$135,"!")</f>
        <v>dcceew_geus:AE validation</v>
      </c>
      <c r="W155" s="8" t="s">
        <v>165</v>
      </c>
      <c r="Y155" s="8">
        <v>-2</v>
      </c>
      <c r="Z155" s="8">
        <v>-1</v>
      </c>
      <c r="AA155" s="8">
        <v>0</v>
      </c>
      <c r="AB155" s="8">
        <v>1</v>
      </c>
      <c r="AC155" s="8">
        <v>2</v>
      </c>
      <c r="AD155" s="8">
        <v>3</v>
      </c>
      <c r="AE155" s="8">
        <v>4</v>
      </c>
      <c r="AF155" s="8">
        <v>5</v>
      </c>
      <c r="AG155" s="8">
        <v>6</v>
      </c>
      <c r="AH155" s="8">
        <v>7</v>
      </c>
      <c r="AI155" s="8">
        <v>8</v>
      </c>
      <c r="AJ155" s="8">
        <v>9</v>
      </c>
      <c r="AK155" s="8">
        <v>10</v>
      </c>
    </row>
    <row r="156" spans="2:37" ht="14.45" hidden="1" customHeight="1" outlineLevel="1" x14ac:dyDescent="0.25">
      <c r="B156" s="4" t="s">
        <v>166</v>
      </c>
      <c r="C156" s="8">
        <f ca="1">_xll.DBR((db_name&amp;":AE validations"),$C$133,$C$134,"Total",$C$135,"Total Years")</f>
        <v>0</v>
      </c>
      <c r="W156" s="8" t="s">
        <v>175</v>
      </c>
      <c r="Y156" s="8">
        <v>-1</v>
      </c>
      <c r="Z156" s="8">
        <v>0</v>
      </c>
      <c r="AA156" s="8">
        <v>1</v>
      </c>
      <c r="AB156" s="8">
        <v>2</v>
      </c>
      <c r="AC156" s="8">
        <v>3</v>
      </c>
      <c r="AD156" s="8">
        <v>4</v>
      </c>
      <c r="AE156" s="8">
        <v>5</v>
      </c>
      <c r="AF156" s="8">
        <v>6</v>
      </c>
      <c r="AG156" s="8">
        <v>7</v>
      </c>
      <c r="AH156" s="8">
        <v>8</v>
      </c>
      <c r="AI156" s="8">
        <v>9</v>
      </c>
      <c r="AJ156" s="8">
        <v>10</v>
      </c>
      <c r="AK156" s="8">
        <v>11</v>
      </c>
    </row>
    <row r="157" spans="2:37" ht="14.45" hidden="1" customHeight="1" outlineLevel="1" x14ac:dyDescent="0.25"/>
    <row r="158" spans="2:37" ht="14.45" hidden="1" customHeight="1" outlineLevel="1" x14ac:dyDescent="0.25">
      <c r="B158" s="66" t="s">
        <v>174</v>
      </c>
      <c r="C158" s="67"/>
    </row>
    <row r="159" spans="2:37" ht="14.45" hidden="1" customHeight="1" outlineLevel="1" x14ac:dyDescent="0.25">
      <c r="B159" s="4" t="s">
        <v>160</v>
      </c>
      <c r="C159" s="8" t="str">
        <f ca="1">_xll.VIEW((db_name&amp;":sys_account approp mapping"),"!","!","!",$C$160)</f>
        <v>dcceew_geus:sys_account approp mapping</v>
      </c>
    </row>
    <row r="160" spans="2:37" ht="14.45" hidden="1" customHeight="1" outlineLevel="1" x14ac:dyDescent="0.25">
      <c r="B160" s="4" t="s">
        <v>176</v>
      </c>
      <c r="C160" s="8" t="str">
        <f ca="1">_xll.SUBNM((db_name&amp;":sys_account approp mapping measure"),"","flag")</f>
        <v>flag</v>
      </c>
    </row>
    <row r="161" spans="2:38" ht="14.45" hidden="1" customHeight="1" outlineLevel="1" x14ac:dyDescent="0.25"/>
    <row r="162" spans="2:38" ht="14.45" hidden="1" customHeight="1" outlineLevel="1" x14ac:dyDescent="0.25"/>
    <row r="163" spans="2:38" ht="14.45" hidden="1" customHeight="1" outlineLevel="1" x14ac:dyDescent="0.25"/>
    <row r="164" spans="2:38" ht="14.45" hidden="1" customHeight="1" outlineLevel="1" x14ac:dyDescent="0.25"/>
    <row r="165" spans="2:38" ht="14.45" hidden="1" customHeight="1" outlineLevel="1" x14ac:dyDescent="0.25">
      <c r="B165" s="38" t="s">
        <v>177</v>
      </c>
    </row>
    <row r="166" spans="2:38" ht="14.45" hidden="1" customHeight="1" outlineLevel="1" x14ac:dyDescent="0.25">
      <c r="B166" s="17" t="str">
        <f ca="1">$C$105</f>
        <v>1070</v>
      </c>
      <c r="C166" s="17" t="s">
        <v>167</v>
      </c>
      <c r="D166" s="17" t="s">
        <v>168</v>
      </c>
      <c r="E166" s="40" t="s">
        <v>169</v>
      </c>
      <c r="F166" s="17" t="s">
        <v>170</v>
      </c>
      <c r="G166" s="17" t="s">
        <v>171</v>
      </c>
      <c r="H166" s="17" t="s">
        <v>172</v>
      </c>
      <c r="I166" s="17" t="s">
        <v>173</v>
      </c>
      <c r="W166" s="34" t="s">
        <v>178</v>
      </c>
      <c r="Y166" s="37">
        <f ca="1">_xll.DBRW($C$132,$C$133,$C$134,$C$136,$C$138,$G166,$C$139,$C$140,$I166,$C$141,$C166,$F166,$D166,$B166,$E166,$C$135,$H166,Y$153)</f>
        <v>11557</v>
      </c>
      <c r="Z166" s="37">
        <f ca="1">_xll.DBRW($C$132,$C$133,$C$134,$C$136,$C$138,$G166,$C$139,$C$140,$I166,$C$141,$C166,$F166,$D166,$B166,$E166,$C$135,$H166,Z$153)</f>
        <v>11557</v>
      </c>
      <c r="AA166" s="37">
        <f ca="1">_xll.DBRW($C$132,$C$133,$C$134,$C$136,$C$138,$G166,$C$139,$C$140,$I166,$C$141,$C166,$F166,$D166,$B166,$E166,$C$135,$H166,AA$153)</f>
        <v>11557</v>
      </c>
      <c r="AB166" s="37">
        <f ca="1">_xll.DBRW($C$132,$C$133,$C$134,$C$136,$C$138,$G166,$C$139,$C$140,$I166,$C$141,$C166,$F166,$D166,$B166,$E166,$C$135,$H166,AB$153)</f>
        <v>11557</v>
      </c>
      <c r="AC166" s="37">
        <f ca="1">_xll.DBRW($C$132,$C$133,$C$134,$C$136,$C$138,$G166,$C$139,$C$140,$I166,$C$141,$C166,$F166,$D166,$B166,$E166,$C$135,$H166,AC$153)</f>
        <v>11557</v>
      </c>
      <c r="AD166" s="37">
        <f ca="1">_xll.DBRW($C$132,$C$133,$C$134,$C$136,$C$138,$G166,$C$139,$C$140,$I166,$C$141,$C166,$F166,$D166,$B166,$E166,$C$135,$H166,AD$153)</f>
        <v>11557</v>
      </c>
      <c r="AE166" s="37">
        <f ca="1">_xll.DBRW($C$132,$C$133,$C$134,$C$136,$C$138,$G166,$C$139,$C$140,$I166,$C$141,$C166,$F166,$D166,$B166,$E166,$C$135,$H166,AE$153)</f>
        <v>11557</v>
      </c>
      <c r="AF166" s="37">
        <f ca="1">_xll.DBRW($C$132,$C$133,$C$134,$C$136,$C$138,$G166,$C$139,$C$140,$I166,$C$141,$C166,$F166,$D166,$B166,$E166,$C$135,$H166,AF$153)</f>
        <v>11557</v>
      </c>
      <c r="AG166" s="37">
        <f ca="1">_xll.DBRW($C$132,$C$133,$C$134,$C$136,$C$138,$G166,$C$139,$C$140,$I166,$C$141,$C166,$F166,$D166,$B166,$E166,$C$135,$H166,AG$153)</f>
        <v>11557</v>
      </c>
      <c r="AH166" s="37">
        <f ca="1">_xll.DBRW($C$132,$C$133,$C$134,$C$136,$C$138,$G166,$C$139,$C$140,$I166,$C$141,$C166,$F166,$D166,$B166,$E166,$C$135,$H166,AH$153)</f>
        <v>11557</v>
      </c>
      <c r="AI166" s="37">
        <f ca="1">_xll.DBRW($C$132,$C$133,$C$134,$C$136,$C$138,$G166,$C$139,$C$140,$I166,$C$141,$C166,$F166,$D166,$B166,$E166,$C$135,$H166,AI$153)</f>
        <v>11557</v>
      </c>
      <c r="AJ166" s="37">
        <f ca="1">_xll.DBRW($C$132,$C$133,$C$134,$C$136,$C$138,$G166,$C$139,$C$140,$I166,$C$141,$C166,$F166,$D166,$B166,$E166,$C$135,$H166,AJ$153)</f>
        <v>11557</v>
      </c>
      <c r="AK166" s="37">
        <f ca="1">_xll.DBRW($C$132,$C$133,$C$134,$C$136,$C$138,$G166,$C$139,$C$140,$I166,$C$141,$C166,$F166,$D166,$B166,$E166,$C$135,$H166,AK$153)</f>
        <v>11557</v>
      </c>
      <c r="AL166" s="22"/>
    </row>
    <row r="167" spans="2:38" ht="14.45" hidden="1" customHeight="1" outlineLevel="1" x14ac:dyDescent="0.25">
      <c r="B167" s="17" t="str">
        <f ca="1">$C$105</f>
        <v>1070</v>
      </c>
      <c r="C167" s="17" t="s">
        <v>167</v>
      </c>
      <c r="D167" s="17" t="s">
        <v>168</v>
      </c>
      <c r="E167" s="40" t="s">
        <v>179</v>
      </c>
      <c r="F167" s="17" t="s">
        <v>170</v>
      </c>
      <c r="G167" s="17" t="s">
        <v>171</v>
      </c>
      <c r="H167" s="17" t="s">
        <v>172</v>
      </c>
      <c r="I167" s="17" t="s">
        <v>173</v>
      </c>
      <c r="W167" s="34" t="s">
        <v>178</v>
      </c>
      <c r="Y167" s="37">
        <f ca="1">_xll.DBRW($C$132,$C$133,$C$134,$C$136,$C$138,$G167,$C$139,$C$140,$I167,$C$141,$C167,$F167,$D167,$B167,$E167,$C$135,$H167,Y$153)</f>
        <v>11557</v>
      </c>
      <c r="Z167" s="37">
        <f ca="1">_xll.DBRW($C$132,$C$133,$C$134,$C$136,$C$138,$G167,$C$139,$C$140,$I167,$C$141,$C167,$F167,$D167,$B167,$E167,$C$135,$H167,Z$153)</f>
        <v>11557</v>
      </c>
      <c r="AA167" s="37">
        <f ca="1">_xll.DBRW($C$132,$C$133,$C$134,$C$136,$C$138,$G167,$C$139,$C$140,$I167,$C$141,$C167,$F167,$D167,$B167,$E167,$C$135,$H167,AA$153)</f>
        <v>11557</v>
      </c>
      <c r="AB167" s="37">
        <f ca="1">_xll.DBRW($C$132,$C$133,$C$134,$C$136,$C$138,$G167,$C$139,$C$140,$I167,$C$141,$C167,$F167,$D167,$B167,$E167,$C$135,$H167,AB$153)</f>
        <v>11557</v>
      </c>
      <c r="AC167" s="37">
        <f ca="1">_xll.DBRW($C$132,$C$133,$C$134,$C$136,$C$138,$G167,$C$139,$C$140,$I167,$C$141,$C167,$F167,$D167,$B167,$E167,$C$135,$H167,AC$153)</f>
        <v>11557</v>
      </c>
      <c r="AD167" s="37">
        <f ca="1">_xll.DBRW($C$132,$C$133,$C$134,$C$136,$C$138,$G167,$C$139,$C$140,$I167,$C$141,$C167,$F167,$D167,$B167,$E167,$C$135,$H167,AD$153)</f>
        <v>11557</v>
      </c>
      <c r="AE167" s="37">
        <f ca="1">_xll.DBRW($C$132,$C$133,$C$134,$C$136,$C$138,$G167,$C$139,$C$140,$I167,$C$141,$C167,$F167,$D167,$B167,$E167,$C$135,$H167,AE$153)</f>
        <v>11557</v>
      </c>
      <c r="AF167" s="37">
        <f ca="1">_xll.DBRW($C$132,$C$133,$C$134,$C$136,$C$138,$G167,$C$139,$C$140,$I167,$C$141,$C167,$F167,$D167,$B167,$E167,$C$135,$H167,AF$153)</f>
        <v>11557</v>
      </c>
      <c r="AG167" s="37">
        <f ca="1">_xll.DBRW($C$132,$C$133,$C$134,$C$136,$C$138,$G167,$C$139,$C$140,$I167,$C$141,$C167,$F167,$D167,$B167,$E167,$C$135,$H167,AG$153)</f>
        <v>11557</v>
      </c>
      <c r="AH167" s="37">
        <f ca="1">_xll.DBRW($C$132,$C$133,$C$134,$C$136,$C$138,$G167,$C$139,$C$140,$I167,$C$141,$C167,$F167,$D167,$B167,$E167,$C$135,$H167,AH$153)</f>
        <v>11557</v>
      </c>
      <c r="AI167" s="37">
        <f ca="1">_xll.DBRW($C$132,$C$133,$C$134,$C$136,$C$138,$G167,$C$139,$C$140,$I167,$C$141,$C167,$F167,$D167,$B167,$E167,$C$135,$H167,AI$153)</f>
        <v>11557</v>
      </c>
      <c r="AJ167" s="37">
        <f ca="1">_xll.DBRW($C$132,$C$133,$C$134,$C$136,$C$138,$G167,$C$139,$C$140,$I167,$C$141,$C167,$F167,$D167,$B167,$E167,$C$135,$H167,AJ$153)</f>
        <v>11557</v>
      </c>
      <c r="AK167" s="37">
        <f ca="1">_xll.DBRW($C$132,$C$133,$C$134,$C$136,$C$138,$G167,$C$139,$C$140,$I167,$C$141,$C167,$F167,$D167,$B167,$E167,$C$135,$H167,AK$153)</f>
        <v>11557</v>
      </c>
      <c r="AL167" s="22"/>
    </row>
    <row r="168" spans="2:38" ht="14.45" hidden="1" customHeight="1" outlineLevel="1" x14ac:dyDescent="0.25"/>
    <row r="169" spans="2:38" ht="14.45" hidden="1" customHeight="1" outlineLevel="1" x14ac:dyDescent="0.25"/>
    <row r="170" spans="2:38" ht="14.45" hidden="1" customHeight="1" outlineLevel="1" x14ac:dyDescent="0.25"/>
    <row r="171" spans="2:38" ht="14.45" hidden="1" customHeight="1" outlineLevel="1" x14ac:dyDescent="0.25"/>
    <row r="172" spans="2:38" ht="39.75" customHeight="1" collapsed="1" x14ac:dyDescent="0.25">
      <c r="P172" s="28"/>
      <c r="Q172" s="28"/>
      <c r="R172" s="28"/>
      <c r="S172" s="28"/>
      <c r="T172" s="28"/>
      <c r="U172" s="28"/>
      <c r="V172" s="28"/>
      <c r="W172" s="28" t="s">
        <v>180</v>
      </c>
      <c r="X172" s="28"/>
      <c r="Y172" s="28"/>
      <c r="Z172" s="28"/>
      <c r="AA172" s="28"/>
      <c r="AB172" s="28"/>
      <c r="AC172" s="28"/>
      <c r="AD172" s="29"/>
      <c r="AE172" s="28"/>
      <c r="AF172" s="28"/>
      <c r="AG172" s="28"/>
      <c r="AH172" s="28"/>
      <c r="AI172" s="28"/>
      <c r="AJ172" s="28"/>
      <c r="AK172" s="28"/>
      <c r="AL172" s="28"/>
    </row>
    <row r="173" spans="2:38" ht="4.5" customHeight="1" x14ac:dyDescent="0.25"/>
    <row r="174" spans="2:38" ht="24" customHeight="1" x14ac:dyDescent="0.25"/>
    <row r="175" spans="2:38" ht="1.5" customHeight="1" x14ac:dyDescent="0.25"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  <c r="AC175" s="28"/>
      <c r="AD175" s="28"/>
      <c r="AE175" s="28"/>
      <c r="AF175" s="28"/>
      <c r="AG175" s="28"/>
      <c r="AH175" s="28"/>
      <c r="AI175" s="28"/>
      <c r="AJ175" s="28"/>
      <c r="AK175" s="28"/>
      <c r="AL175" s="28"/>
    </row>
    <row r="176" spans="2:38" ht="4.5" customHeight="1" x14ac:dyDescent="0.25"/>
    <row r="177" spans="2:37" ht="14.45" customHeight="1" x14ac:dyDescent="0.25">
      <c r="Q177" s="55" t="s">
        <v>181</v>
      </c>
      <c r="Y177" s="14" t="str">
        <f t="shared" ref="Y177:AK177" ca="1" si="1">Y$153</f>
        <v>2023-2024</v>
      </c>
      <c r="Z177" s="14" t="str">
        <f t="shared" ca="1" si="1"/>
        <v>2024-2025</v>
      </c>
      <c r="AA177" s="14" t="str">
        <f t="shared" ca="1" si="1"/>
        <v>2025-2026</v>
      </c>
      <c r="AB177" s="14" t="str">
        <f t="shared" ca="1" si="1"/>
        <v>2026-2027</v>
      </c>
      <c r="AC177" s="14" t="str">
        <f t="shared" ca="1" si="1"/>
        <v>2027-2028</v>
      </c>
      <c r="AD177" s="14" t="str">
        <f t="shared" ca="1" si="1"/>
        <v>2028-2029</v>
      </c>
      <c r="AE177" s="14" t="str">
        <f t="shared" ca="1" si="1"/>
        <v>2029-2030</v>
      </c>
      <c r="AF177" s="14" t="str">
        <f t="shared" ca="1" si="1"/>
        <v>2030-2031</v>
      </c>
      <c r="AG177" s="14" t="str">
        <f t="shared" ca="1" si="1"/>
        <v>2031-2032</v>
      </c>
      <c r="AH177" s="14" t="str">
        <f t="shared" ca="1" si="1"/>
        <v>2032-2033</v>
      </c>
      <c r="AI177" s="14" t="str">
        <f t="shared" ca="1" si="1"/>
        <v>2033-2034</v>
      </c>
      <c r="AJ177" s="14" t="str">
        <f t="shared" ca="1" si="1"/>
        <v>2034-2035</v>
      </c>
      <c r="AK177" s="14" t="str">
        <f t="shared" ca="1" si="1"/>
        <v>2035-2036</v>
      </c>
    </row>
    <row r="178" spans="2:37" ht="4.5" customHeight="1" x14ac:dyDescent="0.25"/>
    <row r="179" spans="2:37" ht="14.45" customHeight="1" x14ac:dyDescent="0.25">
      <c r="B179" s="17" t="str">
        <f ca="1">$C$105</f>
        <v>1070</v>
      </c>
      <c r="C179" s="17" t="s">
        <v>167</v>
      </c>
      <c r="D179" s="17" t="s">
        <v>168</v>
      </c>
      <c r="E179" s="40" t="str">
        <f ca="1">C28</f>
        <v>9000702</v>
      </c>
      <c r="F179" s="17" t="s">
        <v>170</v>
      </c>
      <c r="G179" s="17" t="s">
        <v>171</v>
      </c>
      <c r="H179" s="17" t="s">
        <v>172</v>
      </c>
      <c r="I179" s="17" t="s">
        <v>173</v>
      </c>
      <c r="Q179" s="30" t="s">
        <v>182</v>
      </c>
      <c r="R179" s="42" t="str">
        <f ca="1">$C$133</f>
        <v>HL2024-2025</v>
      </c>
      <c r="T179" s="32" t="s">
        <v>183</v>
      </c>
      <c r="U179" s="43" t="str">
        <f ca="1">$C$134</f>
        <v>current</v>
      </c>
      <c r="W179" s="62" t="s">
        <v>184</v>
      </c>
      <c r="Y179" s="36">
        <f ca="1">_xll.DBRW($C$132,$C$133,$C$134,$C$137,$C$138,$G179,$C$139,$C$140,$I179,$C$141,$C179,$F179,$D179,$B179,$E179,$C$135,$H179,Y$153)</f>
        <v>0</v>
      </c>
      <c r="Z179" s="36">
        <f ca="1">_xll.DBRW($C$132,$C$133,$C$134,$C$137,$C$138,$G179,$C$139,$C$140,$I179,$C$141,$C179,$F179,$D179,$B179,$E179,$C$135,$H179,Z$153)</f>
        <v>0</v>
      </c>
      <c r="AA179" s="36">
        <f ca="1">_xll.DBRW($C$132,$C$133,$C$134,$C$137,$C$138,$G179,$C$139,$C$140,$I179,$C$141,$C179,$F179,$D179,$B179,$E179,$C$135,$H179,AA$153)</f>
        <v>0</v>
      </c>
      <c r="AB179" s="36">
        <f ca="1">_xll.DBRW($C$132,$C$133,$C$134,$C$137,$C$138,$G179,$C$139,$C$140,$I179,$C$141,$C179,$F179,$D179,$B179,$E179,$C$135,$H179,AB$153)</f>
        <v>0</v>
      </c>
      <c r="AC179" s="36">
        <f ca="1">_xll.DBRW($C$132,$C$133,$C$134,$C$137,$C$138,$G179,$C$139,$C$140,$I179,$C$141,$C179,$F179,$D179,$B179,$E179,$C$135,$H179,AC$153)</f>
        <v>0</v>
      </c>
      <c r="AD179" s="36">
        <f ca="1">_xll.DBRW($C$132,$C$133,$C$134,$C$137,$C$138,$G179,$C$139,$C$140,$I179,$C$141,$C179,$F179,$D179,$B179,$E179,$C$135,$H179,AD$153)</f>
        <v>0</v>
      </c>
      <c r="AE179" s="36">
        <f ca="1">_xll.DBRW($C$132,$C$133,$C$134,$C$137,$C$138,$G179,$C$139,$C$140,$I179,$C$141,$C179,$F179,$D179,$B179,$E179,$C$135,$H179,AE$153)</f>
        <v>0</v>
      </c>
      <c r="AF179" s="36">
        <f ca="1">_xll.DBRW($C$132,$C$133,$C$134,$C$137,$C$138,$G179,$C$139,$C$140,$I179,$C$141,$C179,$F179,$D179,$B179,$E179,$C$135,$H179,AF$153)</f>
        <v>0</v>
      </c>
      <c r="AG179" s="36">
        <f ca="1">_xll.DBRW($C$132,$C$133,$C$134,$C$137,$C$138,$G179,$C$139,$C$140,$I179,$C$141,$C179,$F179,$D179,$B179,$E179,$C$135,$H179,AG$153)</f>
        <v>0</v>
      </c>
      <c r="AH179" s="36">
        <f ca="1">_xll.DBRW($C$132,$C$133,$C$134,$C$137,$C$138,$G179,$C$139,$C$140,$I179,$C$141,$C179,$F179,$D179,$B179,$E179,$C$135,$H179,AH$153)</f>
        <v>0</v>
      </c>
      <c r="AI179" s="36">
        <f ca="1">_xll.DBRW($C$132,$C$133,$C$134,$C$137,$C$138,$G179,$C$139,$C$140,$I179,$C$141,$C179,$F179,$D179,$B179,$E179,$C$135,$H179,AI$153)</f>
        <v>0</v>
      </c>
      <c r="AJ179" s="36">
        <f ca="1">_xll.DBRW($C$132,$C$133,$C$134,$C$137,$C$138,$G179,$C$139,$C$140,$I179,$C$141,$C179,$F179,$D179,$B179,$E179,$C$135,$H179,AJ$153)</f>
        <v>0</v>
      </c>
      <c r="AK179" s="36">
        <f ca="1">_xll.DBRW($C$132,$C$133,$C$134,$C$137,$C$138,$G179,$C$139,$C$140,$I179,$C$141,$C179,$F179,$D179,$B179,$E179,$C$135,$H179,AK$153)</f>
        <v>0</v>
      </c>
    </row>
    <row r="180" spans="2:37" ht="3" customHeight="1" x14ac:dyDescent="0.25">
      <c r="B180" s="8"/>
      <c r="C180" s="8"/>
      <c r="D180" s="8"/>
      <c r="E180" s="46"/>
      <c r="F180" s="8"/>
      <c r="G180" s="8"/>
      <c r="H180" s="8"/>
      <c r="I180" s="8"/>
    </row>
    <row r="181" spans="2:37" ht="14.45" customHeight="1" x14ac:dyDescent="0.25">
      <c r="B181" s="17" t="str">
        <f ca="1">$C$105</f>
        <v>1070</v>
      </c>
      <c r="C181" s="17" t="s">
        <v>167</v>
      </c>
      <c r="D181" s="17" t="s">
        <v>168</v>
      </c>
      <c r="E181" s="40" t="str">
        <f ca="1">$C$27</f>
        <v>9000701</v>
      </c>
      <c r="F181" s="17" t="s">
        <v>170</v>
      </c>
      <c r="G181" s="17" t="s">
        <v>171</v>
      </c>
      <c r="H181" s="17" t="s">
        <v>172</v>
      </c>
      <c r="I181" s="17" t="s">
        <v>173</v>
      </c>
      <c r="Q181" s="30" t="s">
        <v>185</v>
      </c>
      <c r="R181" s="31" t="str">
        <f ca="1">$C$135</f>
        <v>00115</v>
      </c>
      <c r="T181" s="32" t="s">
        <v>186</v>
      </c>
      <c r="U181" s="33" t="str">
        <f ca="1">$C$103</f>
        <v>unauthorised</v>
      </c>
      <c r="W181" s="62" t="s">
        <v>187</v>
      </c>
      <c r="Y181" s="36">
        <f ca="1">_xll.DBRW($C$132,$C$133,$C$134,$C$137,$C$138,$G181,$C$139,$C$140,$I181,$C$141,$C181,$F181,$D181,$B181,$E181,$C$135,$H181,Y$153)</f>
        <v>0</v>
      </c>
      <c r="Z181" s="36">
        <f ca="1">_xll.DBRW($C$132,$C$133,$C$134,$C$137,$C$138,$G181,$C$139,$C$140,$I181,$C$141,$C181,$F181,$D181,$B181,$E181,$C$135,$H181,Z$153)</f>
        <v>0</v>
      </c>
      <c r="AA181" s="36">
        <f ca="1">_xll.DBRW($C$132,$C$133,$C$134,$C$137,$C$138,$G181,$C$139,$C$140,$I181,$C$141,$C181,$F181,$D181,$B181,$E181,$C$135,$H181,AA$153)</f>
        <v>0</v>
      </c>
      <c r="AB181" s="36">
        <f ca="1">_xll.DBRW($C$132,$C$133,$C$134,$C$137,$C$138,$G181,$C$139,$C$140,$I181,$C$141,$C181,$F181,$D181,$B181,$E181,$C$135,$H181,AB$153)</f>
        <v>0</v>
      </c>
      <c r="AC181" s="36">
        <f ca="1">_xll.DBRW($C$132,$C$133,$C$134,$C$137,$C$138,$G181,$C$139,$C$140,$I181,$C$141,$C181,$F181,$D181,$B181,$E181,$C$135,$H181,AC$153)</f>
        <v>0</v>
      </c>
      <c r="AD181" s="36">
        <f ca="1">_xll.DBRW($C$132,$C$133,$C$134,$C$137,$C$138,$G181,$C$139,$C$140,$I181,$C$141,$C181,$F181,$D181,$B181,$E181,$C$135,$H181,AD$153)</f>
        <v>0</v>
      </c>
      <c r="AE181" s="36">
        <f ca="1">_xll.DBRW($C$132,$C$133,$C$134,$C$137,$C$138,$G181,$C$139,$C$140,$I181,$C$141,$C181,$F181,$D181,$B181,$E181,$C$135,$H181,AE$153)</f>
        <v>0</v>
      </c>
      <c r="AF181" s="36">
        <f ca="1">_xll.DBRW($C$132,$C$133,$C$134,$C$137,$C$138,$G181,$C$139,$C$140,$I181,$C$141,$C181,$F181,$D181,$B181,$E181,$C$135,$H181,AF$153)</f>
        <v>0</v>
      </c>
      <c r="AG181" s="36">
        <f ca="1">_xll.DBRW($C$132,$C$133,$C$134,$C$137,$C$138,$G181,$C$139,$C$140,$I181,$C$141,$C181,$F181,$D181,$B181,$E181,$C$135,$H181,AG$153)</f>
        <v>0</v>
      </c>
      <c r="AH181" s="36">
        <f ca="1">_xll.DBRW($C$132,$C$133,$C$134,$C$137,$C$138,$G181,$C$139,$C$140,$I181,$C$141,$C181,$F181,$D181,$B181,$E181,$C$135,$H181,AH$153)</f>
        <v>0</v>
      </c>
      <c r="AI181" s="36">
        <f ca="1">_xll.DBRW($C$132,$C$133,$C$134,$C$137,$C$138,$G181,$C$139,$C$140,$I181,$C$141,$C181,$F181,$D181,$B181,$E181,$C$135,$H181,AI$153)</f>
        <v>0</v>
      </c>
      <c r="AJ181" s="36">
        <f ca="1">_xll.DBRW($C$132,$C$133,$C$134,$C$137,$C$138,$G181,$C$139,$C$140,$I181,$C$141,$C181,$F181,$D181,$B181,$E181,$C$135,$H181,AJ$153)</f>
        <v>0</v>
      </c>
      <c r="AK181" s="36">
        <f ca="1">_xll.DBRW($C$132,$C$133,$C$134,$C$137,$C$138,$G181,$C$139,$C$140,$I181,$C$141,$C181,$F181,$D181,$B181,$E181,$C$135,$H181,AK$153)</f>
        <v>0</v>
      </c>
    </row>
    <row r="182" spans="2:37" ht="3" customHeight="1" x14ac:dyDescent="0.25"/>
    <row r="183" spans="2:37" ht="14.45" customHeight="1" x14ac:dyDescent="0.25">
      <c r="Q183" s="30" t="s">
        <v>188</v>
      </c>
      <c r="R183" s="74" t="str">
        <f ca="1">$C$114</f>
        <v>CCEEW - Departmental - Outcome 1.1 - FBO Adjustment</v>
      </c>
      <c r="S183" s="74"/>
      <c r="T183" s="74"/>
      <c r="U183" s="74"/>
      <c r="V183" s="74"/>
      <c r="W183" s="74"/>
    </row>
    <row r="184" spans="2:37" ht="3" customHeight="1" x14ac:dyDescent="0.25"/>
    <row r="185" spans="2:37" ht="14.45" customHeight="1" x14ac:dyDescent="0.25">
      <c r="Q185" s="30" t="s">
        <v>189</v>
      </c>
      <c r="R185" s="79" t="str">
        <f ca="1">$D$105</f>
        <v>1070 - CCEEW - Departmental - Outcome 1.1</v>
      </c>
      <c r="S185" s="80"/>
      <c r="T185" s="32" t="s">
        <v>190</v>
      </c>
      <c r="U185" s="81" t="str">
        <f ca="1">$C$140</f>
        <v>1019 - Self balancing transfers</v>
      </c>
      <c r="V185" s="81"/>
      <c r="W185" s="81"/>
    </row>
    <row r="186" spans="2:37" ht="3" customHeight="1" x14ac:dyDescent="0.25"/>
    <row r="187" spans="2:37" ht="14.45" customHeight="1" x14ac:dyDescent="0.25">
      <c r="Q187" s="30" t="s">
        <v>191</v>
      </c>
      <c r="R187" s="56" t="s">
        <v>192</v>
      </c>
      <c r="S187" s="56" t="s">
        <v>193</v>
      </c>
      <c r="T187" s="56" t="s">
        <v>194</v>
      </c>
    </row>
    <row r="188" spans="2:37" ht="14.45" customHeight="1" x14ac:dyDescent="0.25">
      <c r="Q188" s="30"/>
      <c r="R188" s="50" t="str">
        <f ca="1">$C$112</f>
        <v>M00000</v>
      </c>
      <c r="S188" s="50" t="str">
        <f ca="1">$C$113</f>
        <v>No Measure</v>
      </c>
      <c r="T188" s="74" t="str">
        <f ca="1">$D$112</f>
        <v>No Measure</v>
      </c>
      <c r="U188" s="74"/>
      <c r="V188" s="74"/>
      <c r="W188" s="74"/>
      <c r="AB188" s="30" t="s">
        <v>195</v>
      </c>
      <c r="AC188" s="61" t="str">
        <f ca="1">_xll.SUBNM((db_name&amp;":sys_YesNo"),"",$C$124)</f>
        <v>No</v>
      </c>
    </row>
    <row r="189" spans="2:37" ht="4.5" customHeight="1" x14ac:dyDescent="0.25"/>
    <row r="190" spans="2:37" ht="14.45" customHeight="1" x14ac:dyDescent="0.25">
      <c r="Q190" s="14" t="s">
        <v>196</v>
      </c>
      <c r="R190" s="14" t="s">
        <v>197</v>
      </c>
      <c r="S190" s="14" t="s">
        <v>198</v>
      </c>
      <c r="T190" s="14" t="s">
        <v>76</v>
      </c>
      <c r="U190" s="14" t="s">
        <v>201</v>
      </c>
      <c r="V190" s="14" t="s">
        <v>75</v>
      </c>
      <c r="W190" s="14" t="s">
        <v>202</v>
      </c>
      <c r="AA190" s="75" t="s">
        <v>86</v>
      </c>
      <c r="AB190" s="75"/>
      <c r="AC190" s="75"/>
    </row>
    <row r="191" spans="2:37" ht="14.45" customHeight="1" x14ac:dyDescent="0.25">
      <c r="Q191" s="60" t="str">
        <f ca="1">_xll.SUBNM((db_name&amp;":account"),"","4100001","code and description")</f>
        <v>4100001 - Accumulated results</v>
      </c>
      <c r="R191" s="60" t="str">
        <f ca="1">_xll.DBR($C$48,$C$14,$B$56,$C$49)</f>
        <v>7205 - Other movements</v>
      </c>
      <c r="S191" s="60" t="str">
        <f ca="1">_xll.DBR($C$48,$C$14,$B$57,$C$49)</f>
        <v>No_interagency</v>
      </c>
      <c r="T191" s="61" t="str">
        <f ca="1">_xll.DBR($C$48,$C$14,$B$58,$C$49)</f>
        <v/>
      </c>
      <c r="U191" s="60" t="str">
        <f ca="1">_xll.DBR($C$48,$C$14,$B$59,$C$49)</f>
        <v>A001-00001-05000</v>
      </c>
      <c r="V191" s="61" t="str">
        <f ca="1">_xll.DBR($C$48,$C$14,$B$60,$C$49)</f>
        <v>-</v>
      </c>
      <c r="W191" s="61" t="str">
        <f ca="1">_xll.DBR($C$48,$C$14,$B$61,$C$49)</f>
        <v>N</v>
      </c>
      <c r="AA191" s="76" t="str">
        <f ca="1">_xll.DBR($C$48,psUser,$B62,C$49)</f>
        <v/>
      </c>
      <c r="AB191" s="77"/>
      <c r="AC191" s="78"/>
    </row>
    <row r="192" spans="2:37" ht="30" customHeight="1" x14ac:dyDescent="0.25">
      <c r="Q192" s="48" t="str">
        <f ca="1">$D$55</f>
        <v/>
      </c>
      <c r="R192" s="48" t="str">
        <f ca="1">$D$56</f>
        <v/>
      </c>
      <c r="S192" s="48" t="str">
        <f ca="1">$D$57</f>
        <v/>
      </c>
      <c r="T192" s="48" t="str">
        <f ca="1">$D$58</f>
        <v/>
      </c>
      <c r="U192" s="48" t="str">
        <f ca="1">$D$59</f>
        <v/>
      </c>
      <c r="V192" s="48" t="str">
        <f ca="1">$D$60</f>
        <v/>
      </c>
      <c r="W192" s="49"/>
    </row>
    <row r="193" spans="1:38" ht="1.5" customHeight="1" x14ac:dyDescent="0.25"/>
    <row r="194" spans="1:38" ht="14.45" customHeight="1" x14ac:dyDescent="0.25">
      <c r="B194" s="14" t="s">
        <v>203</v>
      </c>
      <c r="C194" s="14" t="s">
        <v>204</v>
      </c>
      <c r="D194" s="14" t="s">
        <v>65</v>
      </c>
      <c r="E194" s="14" t="s">
        <v>550</v>
      </c>
      <c r="F194" s="14" t="s">
        <v>71</v>
      </c>
      <c r="G194" s="14" t="s">
        <v>73</v>
      </c>
      <c r="H194" s="14" t="s">
        <v>63</v>
      </c>
      <c r="I194" s="14" t="s">
        <v>75</v>
      </c>
      <c r="J194" s="14" t="s">
        <v>70</v>
      </c>
      <c r="K194" s="14" t="s">
        <v>72</v>
      </c>
      <c r="L194" s="15" t="s">
        <v>87</v>
      </c>
      <c r="M194" s="14" t="s">
        <v>74</v>
      </c>
      <c r="N194" s="14" t="s">
        <v>205</v>
      </c>
      <c r="Q194" s="14" t="s">
        <v>550</v>
      </c>
      <c r="R194" s="14" t="s">
        <v>71</v>
      </c>
      <c r="S194" s="14" t="s">
        <v>73</v>
      </c>
      <c r="T194" s="14" t="s">
        <v>63</v>
      </c>
      <c r="U194" s="14" t="s">
        <v>78</v>
      </c>
      <c r="V194" s="14" t="s">
        <v>75</v>
      </c>
      <c r="W194" s="14" t="s">
        <v>206</v>
      </c>
      <c r="Y194" s="14" t="str">
        <f t="shared" ref="Y194:AK194" ca="1" si="2">Y$153</f>
        <v>2023-2024</v>
      </c>
      <c r="Z194" s="14" t="str">
        <f t="shared" ca="1" si="2"/>
        <v>2024-2025</v>
      </c>
      <c r="AA194" s="14" t="str">
        <f t="shared" ca="1" si="2"/>
        <v>2025-2026</v>
      </c>
      <c r="AB194" s="14" t="str">
        <f t="shared" ca="1" si="2"/>
        <v>2026-2027</v>
      </c>
      <c r="AC194" s="14" t="str">
        <f t="shared" ca="1" si="2"/>
        <v>2027-2028</v>
      </c>
      <c r="AD194" s="14" t="str">
        <f t="shared" ca="1" si="2"/>
        <v>2028-2029</v>
      </c>
      <c r="AE194" s="14" t="str">
        <f t="shared" ca="1" si="2"/>
        <v>2029-2030</v>
      </c>
      <c r="AF194" s="14" t="str">
        <f t="shared" ca="1" si="2"/>
        <v>2030-2031</v>
      </c>
      <c r="AG194" s="14" t="str">
        <f t="shared" ca="1" si="2"/>
        <v>2031-2032</v>
      </c>
      <c r="AH194" s="14" t="str">
        <f t="shared" ca="1" si="2"/>
        <v>2032-2033</v>
      </c>
      <c r="AI194" s="14" t="str">
        <f t="shared" ca="1" si="2"/>
        <v>2033-2034</v>
      </c>
      <c r="AJ194" s="14" t="str">
        <f t="shared" ca="1" si="2"/>
        <v>2034-2035</v>
      </c>
      <c r="AK194" s="14" t="str">
        <f t="shared" ca="1" si="2"/>
        <v>2035-2036</v>
      </c>
    </row>
    <row r="195" spans="1:38" ht="12" customHeight="1" x14ac:dyDescent="0.25">
      <c r="A195" s="3" t="str">
        <f ca="1">IF(_xll.TM1RPTELISCONSOLIDATED($I$195,$I195),IF((_xll.TM1RPTELLEV($I$195,$I195)&lt;=3),_xll.TM1RPTELLEV($I$195,$I195),"D"),"N")</f>
        <v>N</v>
      </c>
      <c r="B195" s="64" t="str">
        <f ca="1">_xll.TM1RPTROW($C$129,(db_name&amp;":programme"),"","","code and description",0,$C$144)</f>
        <v/>
      </c>
      <c r="C195" s="65" t="str">
        <f ca="1">_xll.TM1RPTROW($C$129,(db_name&amp;":appropriation type"),"","","code and description",0,$C$145)</f>
        <v/>
      </c>
      <c r="D195" s="65" t="str">
        <f ca="1">_xll.TM1RPTROW($C$129,(db_name&amp;":appropriation item"),"","","code and description",0,$C$146)</f>
        <v/>
      </c>
      <c r="E195" s="65" t="str">
        <f ca="1">_xll.TM1RPTROW($C$129,(db_name&amp;":account"),"","","code and description",0,$C$147)</f>
        <v/>
      </c>
      <c r="F195" s="65" t="str">
        <f ca="1">_xll.TM1RPTROW($C$129,(db_name&amp;":movement account"),"","","code and description",0,$C$149)</f>
        <v/>
      </c>
      <c r="G195" s="65" t="str">
        <f ca="1">_xll.TM1RPTROW($C$129,(db_name&amp;":related entity"),"","","code and description",0,$C$150)</f>
        <v/>
      </c>
      <c r="H195" s="65" t="str">
        <f ca="1">_xll.TM1RPTROW($C$129,(db_name&amp;":jurisdiction"),"","","description",0,$C$151)</f>
        <v/>
      </c>
      <c r="I195" s="65" t="str">
        <f ca="1">_xll.TM1RPTROW($C$129,(db_name&amp;":spp"),"","","code and description",0,$C$152)</f>
        <v/>
      </c>
      <c r="J195" s="22" t="str">
        <f ca="1">_xll.DBRW($C$129,$C$133,$C$134,$C$136,$C$138,$G195,$C$139,$C$140,$I195,$C$141,$C195,$F195,$D195,$B195,$E195,$C$135,$H195,J$194)</f>
        <v/>
      </c>
      <c r="K195" s="22" t="str">
        <f ca="1">IF(($L195=""),_xll.DBR($C$77,$E195,"DR/CR"),_xll.DBR($C$87,$F195,"DR/CR"))</f>
        <v>*KEY_ERR</v>
      </c>
      <c r="L195" s="22" t="str">
        <f ca="1">_xll.DBR($C$77,$E195,L$194)</f>
        <v>*KEY_ERR</v>
      </c>
      <c r="M195" s="22" t="str">
        <f ca="1">_xll.DBR($C$77,$E195,M$194)</f>
        <v>*KEY_ERR</v>
      </c>
      <c r="N195" s="22" t="str">
        <f ca="1">_xll.DBR($C$159,$E195,$F195,$D195,C$160)</f>
        <v>*KEY_ERR</v>
      </c>
      <c r="O195" s="3"/>
      <c r="P195" s="3"/>
      <c r="Q195" s="58" t="str">
        <f ca="1">$E195</f>
        <v/>
      </c>
      <c r="R195" s="58" t="str">
        <f ca="1">$F195</f>
        <v/>
      </c>
      <c r="S195" s="24" t="str">
        <f ca="1">$G195</f>
        <v/>
      </c>
      <c r="T195" s="25" t="str">
        <f ca="1">$H195</f>
        <v/>
      </c>
      <c r="U195" s="58" t="str">
        <f ca="1">$D195</f>
        <v/>
      </c>
      <c r="V195" s="25" t="str">
        <f ca="1">$I195</f>
        <v/>
      </c>
      <c r="W195" s="25" t="str">
        <f ca="1">$K195</f>
        <v>*KEY_ERR</v>
      </c>
      <c r="X195" s="3"/>
      <c r="Y195" s="59" t="str">
        <f ca="1">_xll.DBRW($C$129,$C$133,$C$134,$C$136,$C$138,$G195,$C$139,$C$140,$I195,$C$141,$C195,$F195,$D195,$B195,$E195,$C$135,$H195,Y$153)</f>
        <v/>
      </c>
      <c r="Z195" s="59" t="str">
        <f ca="1">_xll.DBRW($C$129,$C$133,$C$134,$C$136,$C$138,$G195,$C$139,$C$140,$I195,$C$141,$C195,$F195,$D195,$B195,$E195,$C$135,$H195,Z$153)</f>
        <v/>
      </c>
      <c r="AA195" s="59" t="str">
        <f ca="1">_xll.DBRW($C$129,$C$133,$C$134,$C$136,$C$138,$G195,$C$139,$C$140,$I195,$C$141,$C195,$F195,$D195,$B195,$E195,$C$135,$H195,AA$153)</f>
        <v/>
      </c>
      <c r="AB195" s="59" t="str">
        <f ca="1">_xll.DBRW($C$129,$C$133,$C$134,$C$136,$C$138,$G195,$C$139,$C$140,$I195,$C$141,$C195,$F195,$D195,$B195,$E195,$C$135,$H195,AB$153)</f>
        <v/>
      </c>
      <c r="AC195" s="59" t="str">
        <f ca="1">_xll.DBRW($C$129,$C$133,$C$134,$C$136,$C$138,$G195,$C$139,$C$140,$I195,$C$141,$C195,$F195,$D195,$B195,$E195,$C$135,$H195,AC$153)</f>
        <v/>
      </c>
      <c r="AD195" s="59" t="str">
        <f ca="1">_xll.DBRW($C$129,$C$133,$C$134,$C$136,$C$138,$G195,$C$139,$C$140,$I195,$C$141,$C195,$F195,$D195,$B195,$E195,$C$135,$H195,AD$153)</f>
        <v/>
      </c>
      <c r="AE195" s="59" t="str">
        <f ca="1">_xll.DBRW($C$129,$C$133,$C$134,$C$136,$C$138,$G195,$C$139,$C$140,$I195,$C$141,$C195,$F195,$D195,$B195,$E195,$C$135,$H195,AE$153)</f>
        <v/>
      </c>
      <c r="AF195" s="59" t="str">
        <f ca="1">_xll.DBRW($C$129,$C$133,$C$134,$C$136,$C$138,$G195,$C$139,$C$140,$I195,$C$141,$C195,$F195,$D195,$B195,$E195,$C$135,$H195,AF$153)</f>
        <v/>
      </c>
      <c r="AG195" s="59" t="str">
        <f ca="1">_xll.DBRW($C$129,$C$133,$C$134,$C$136,$C$138,$G195,$C$139,$C$140,$I195,$C$141,$C195,$F195,$D195,$B195,$E195,$C$135,$H195,AG$153)</f>
        <v/>
      </c>
      <c r="AH195" s="59" t="str">
        <f ca="1">_xll.DBRW($C$129,$C$133,$C$134,$C$136,$C$138,$G195,$C$139,$C$140,$I195,$C$141,$C195,$F195,$D195,$B195,$E195,$C$135,$H195,AH$153)</f>
        <v/>
      </c>
      <c r="AI195" s="59" t="str">
        <f ca="1">_xll.DBRW($C$129,$C$133,$C$134,$C$136,$C$138,$G195,$C$139,$C$140,$I195,$C$141,$C195,$F195,$D195,$B195,$E195,$C$135,$H195,AI$153)</f>
        <v/>
      </c>
      <c r="AJ195" s="59" t="str">
        <f ca="1">_xll.DBRW($C$129,$C$133,$C$134,$C$136,$C$138,$G195,$C$139,$C$140,$I195,$C$141,$C195,$F195,$D195,$B195,$E195,$C$135,$H195,AJ$153)</f>
        <v/>
      </c>
      <c r="AK195" s="59" t="str">
        <f ca="1">_xll.DBRW($C$129,$C$133,$C$134,$C$136,$C$138,$G195,$C$139,$C$140,$I195,$C$141,$C195,$F195,$D195,$B195,$E195,$C$135,$H195,AK$153)</f>
        <v/>
      </c>
      <c r="AL195" s="36"/>
    </row>
    <row r="196" spans="1:38" ht="2.1" customHeight="1" x14ac:dyDescent="0.25"/>
    <row r="197" spans="1:38" ht="14.45" customHeight="1" x14ac:dyDescent="0.25">
      <c r="B197" t="str">
        <f ca="1">$C$105</f>
        <v>1070</v>
      </c>
      <c r="C197" t="s">
        <v>167</v>
      </c>
      <c r="D197" t="s">
        <v>168</v>
      </c>
      <c r="E197" s="35" t="s">
        <v>169</v>
      </c>
      <c r="F197" t="s">
        <v>170</v>
      </c>
      <c r="G197" t="s">
        <v>171</v>
      </c>
      <c r="H197" t="s">
        <v>172</v>
      </c>
      <c r="I197" t="s">
        <v>173</v>
      </c>
      <c r="W197" s="34" t="s">
        <v>207</v>
      </c>
      <c r="Y197" s="37">
        <f t="shared" ref="Y197:AK197" ca="1" si="3">(Y$166-Y$167)</f>
        <v>0</v>
      </c>
      <c r="Z197" s="37">
        <f t="shared" ca="1" si="3"/>
        <v>0</v>
      </c>
      <c r="AA197" s="37">
        <f t="shared" ca="1" si="3"/>
        <v>0</v>
      </c>
      <c r="AB197" s="37">
        <f t="shared" ca="1" si="3"/>
        <v>0</v>
      </c>
      <c r="AC197" s="37">
        <f t="shared" ca="1" si="3"/>
        <v>0</v>
      </c>
      <c r="AD197" s="37">
        <f t="shared" ca="1" si="3"/>
        <v>0</v>
      </c>
      <c r="AE197" s="37">
        <f t="shared" ca="1" si="3"/>
        <v>0</v>
      </c>
      <c r="AF197" s="37">
        <f t="shared" ca="1" si="3"/>
        <v>0</v>
      </c>
      <c r="AG197" s="37">
        <f t="shared" ca="1" si="3"/>
        <v>0</v>
      </c>
      <c r="AH197" s="37">
        <f t="shared" ca="1" si="3"/>
        <v>0</v>
      </c>
      <c r="AI197" s="37">
        <f t="shared" ca="1" si="3"/>
        <v>0</v>
      </c>
      <c r="AJ197" s="37">
        <f t="shared" ca="1" si="3"/>
        <v>0</v>
      </c>
      <c r="AK197" s="37">
        <f t="shared" ca="1" si="3"/>
        <v>0</v>
      </c>
      <c r="AL197" s="22"/>
    </row>
    <row r="198" spans="1:38" ht="2.1" customHeight="1" x14ac:dyDescent="0.25">
      <c r="W198" s="39"/>
    </row>
    <row r="199" spans="1:38" ht="14.45" customHeight="1" x14ac:dyDescent="0.25">
      <c r="B199" t="str">
        <f ca="1">$C$105</f>
        <v>1070</v>
      </c>
      <c r="C199" t="s">
        <v>167</v>
      </c>
      <c r="D199" t="s">
        <v>168</v>
      </c>
      <c r="E199" s="35" t="s">
        <v>208</v>
      </c>
      <c r="F199" t="s">
        <v>209</v>
      </c>
      <c r="G199" t="s">
        <v>171</v>
      </c>
      <c r="H199" t="s">
        <v>172</v>
      </c>
      <c r="I199" t="s">
        <v>173</v>
      </c>
      <c r="W199" s="41" t="s">
        <v>210</v>
      </c>
      <c r="Y199" s="37">
        <f ca="1">_xll.DBRW($C$132,$C$133,$C$134,$D$137,$C$138,$G199,$C$139,$C$140,$I199,$C$141,$C199,$F199,$D199,$B199,$E199,$C$135,$H199,Y$153)</f>
        <v>0</v>
      </c>
      <c r="Z199" s="37">
        <f ca="1">_xll.DBRW($C$132,$C$133,$C$134,$D$137,$C$138,$G199,$C$139,$C$140,$I199,$C$141,$C199,$F199,$D199,$B199,$E199,$C$135,$H199,Z$153)</f>
        <v>0</v>
      </c>
      <c r="AA199" s="37">
        <f ca="1">_xll.DBRW($C$132,$C$133,$C$134,$D$137,$C$138,$G199,$C$139,$C$140,$I199,$C$141,$C199,$F199,$D199,$B199,$E199,$C$135,$H199,AA$153)</f>
        <v>0</v>
      </c>
      <c r="AB199" s="37">
        <f ca="1">_xll.DBRW($C$132,$C$133,$C$134,$D$137,$C$138,$G199,$C$139,$C$140,$I199,$C$141,$C199,$F199,$D199,$B199,$E199,$C$135,$H199,AB$153)</f>
        <v>0</v>
      </c>
      <c r="AC199" s="37">
        <f ca="1">_xll.DBRW($C$132,$C$133,$C$134,$D$137,$C$138,$G199,$C$139,$C$140,$I199,$C$141,$C199,$F199,$D199,$B199,$E199,$C$135,$H199,AC$153)</f>
        <v>0</v>
      </c>
      <c r="AD199" s="37">
        <f ca="1">_xll.DBRW($C$132,$C$133,$C$134,$D$137,$C$138,$G199,$C$139,$C$140,$I199,$C$141,$C199,$F199,$D199,$B199,$E199,$C$135,$H199,AD$153)</f>
        <v>0</v>
      </c>
      <c r="AE199" s="37">
        <f ca="1">_xll.DBRW($C$132,$C$133,$C$134,$D$137,$C$138,$G199,$C$139,$C$140,$I199,$C$141,$C199,$F199,$D199,$B199,$E199,$C$135,$H199,AE$153)</f>
        <v>0</v>
      </c>
      <c r="AF199" s="37">
        <f ca="1">_xll.DBRW($C$132,$C$133,$C$134,$D$137,$C$138,$G199,$C$139,$C$140,$I199,$C$141,$C199,$F199,$D199,$B199,$E199,$C$135,$H199,AF$153)</f>
        <v>0</v>
      </c>
      <c r="AG199" s="37">
        <f ca="1">_xll.DBRW($C$132,$C$133,$C$134,$D$137,$C$138,$G199,$C$139,$C$140,$I199,$C$141,$C199,$F199,$D199,$B199,$E199,$C$135,$H199,AG$153)</f>
        <v>0</v>
      </c>
      <c r="AH199" s="37">
        <f ca="1">_xll.DBRW($C$132,$C$133,$C$134,$D$137,$C$138,$G199,$C$139,$C$140,$I199,$C$141,$C199,$F199,$D199,$B199,$E199,$C$135,$H199,AH$153)</f>
        <v>0</v>
      </c>
      <c r="AI199" s="37">
        <f ca="1">_xll.DBRW($C$132,$C$133,$C$134,$D$137,$C$138,$G199,$C$139,$C$140,$I199,$C$141,$C199,$F199,$D199,$B199,$E199,$C$135,$H199,AI$153)</f>
        <v>0</v>
      </c>
      <c r="AJ199" s="37">
        <f ca="1">_xll.DBRW($C$132,$C$133,$C$134,$D$137,$C$138,$G199,$C$139,$C$140,$I199,$C$141,$C199,$F199,$D199,$B199,$E199,$C$135,$H199,AJ$153)</f>
        <v>0</v>
      </c>
      <c r="AK199" s="37">
        <f ca="1">_xll.DBRW($C$132,$C$133,$C$134,$D$137,$C$138,$G199,$C$139,$C$140,$I199,$C$141,$C199,$F199,$D199,$B199,$E199,$C$135,$H199,AK$153)</f>
        <v>0</v>
      </c>
      <c r="AL199" s="22"/>
    </row>
    <row r="200" spans="1:38" ht="2.1" customHeight="1" x14ac:dyDescent="0.25"/>
    <row r="201" spans="1:38" ht="14.45" customHeight="1" x14ac:dyDescent="0.25">
      <c r="Q201" s="38" t="s">
        <v>211</v>
      </c>
      <c r="R201" s="54"/>
      <c r="T201" s="44" t="s">
        <v>212</v>
      </c>
      <c r="U201" s="61" t="str">
        <f ca="1">_xll.SUBNM((db_name&amp;":sys_cash flow"),$F$116,$D$116)</f>
        <v>Agency Entered</v>
      </c>
      <c r="W201" s="54"/>
    </row>
    <row r="202" spans="1:38" ht="5.0999999999999996" customHeight="1" x14ac:dyDescent="0.25">
      <c r="Q202" s="38"/>
    </row>
    <row r="203" spans="1:38" ht="12" customHeight="1" x14ac:dyDescent="0.25">
      <c r="A203" s="3" t="str">
        <f ca="1">IF(_xll.TM1RPTELISCONSOLIDATED($I$203,$I203),IF((_xll.TM1RPTELLEV($I$203,$I203)&lt;=3),_xll.TM1RPTELLEV($I$203,$I203),"D"),"N")</f>
        <v>N</v>
      </c>
      <c r="B203" s="64" t="str">
        <f ca="1">_xll.TM1RPTROW($C$130,(db_name&amp;":programme"),"","","code and description",0,$C$144)</f>
        <v/>
      </c>
      <c r="C203" s="65" t="str">
        <f ca="1">_xll.TM1RPTROW($C$130,(db_name&amp;":appropriation type"),"","","code and description",0,$C$145)</f>
        <v/>
      </c>
      <c r="D203" s="65" t="str">
        <f ca="1">_xll.TM1RPTROW($C$130,(db_name&amp;":appropriation item"),"","","code and description",0,$C$146)</f>
        <v/>
      </c>
      <c r="E203" s="65" t="str">
        <f ca="1">_xll.TM1RPTROW($C$130,(db_name&amp;":account"),"","","code and description",0,$C$148)</f>
        <v/>
      </c>
      <c r="F203" s="65" t="str">
        <f ca="1">_xll.TM1RPTROW($C$130,(db_name&amp;":movement account"),"","","code and description",0,$C$149)</f>
        <v/>
      </c>
      <c r="G203" s="65" t="str">
        <f ca="1">_xll.TM1RPTROW($C$130,(db_name&amp;":related entity"),"","","code and description",0,$C$150)</f>
        <v/>
      </c>
      <c r="H203" s="65" t="str">
        <f ca="1">_xll.TM1RPTROW($C$130,(db_name&amp;":jurisdiction"),"","","description",0,$C$151)</f>
        <v/>
      </c>
      <c r="I203" s="65" t="str">
        <f ca="1">_xll.TM1RPTROW($C$130,(db_name&amp;":spp"),"","","code and description",0,$C$152)</f>
        <v/>
      </c>
      <c r="J203" s="22" t="str">
        <f ca="1">_xll.DBRW($C$130,$C$133,$C$134,$C$136,$C$138,$G203,$C$139,$C$140,$I203,$C$141,$C203,$F203,$D203,$B203,$E203,$C$135,$H203,J$194)</f>
        <v/>
      </c>
      <c r="K203" s="22" t="str">
        <f ca="1">IF(($L203=""),_xll.DBR($C$77,$E203,"DR/CR"),_xll.DBR($C$87,$F203,"DR/CR"))</f>
        <v>*KEY_ERR</v>
      </c>
      <c r="L203" s="22" t="str">
        <f ca="1">_xll.DBR($C$77,$E203,L$194)</f>
        <v>*KEY_ERR</v>
      </c>
      <c r="M203" s="22" t="str">
        <f ca="1">_xll.DBR($C$77,$E203,M$194)</f>
        <v>*KEY_ERR</v>
      </c>
      <c r="N203" s="22" t="str">
        <f ca="1">_xll.DBR($C$159,$E203,$F203,$D203,C$160)</f>
        <v>*KEY_ERR</v>
      </c>
      <c r="O203" s="3"/>
      <c r="P203" s="3"/>
      <c r="Q203" s="58" t="str">
        <f ca="1">$E203</f>
        <v/>
      </c>
      <c r="R203" s="58" t="str">
        <f ca="1">$F203</f>
        <v/>
      </c>
      <c r="S203" s="24" t="str">
        <f ca="1">$G203</f>
        <v/>
      </c>
      <c r="T203" s="25" t="str">
        <f ca="1">$H203</f>
        <v/>
      </c>
      <c r="U203" s="58" t="str">
        <f ca="1">$D203</f>
        <v/>
      </c>
      <c r="V203" s="25" t="str">
        <f ca="1">$I203</f>
        <v/>
      </c>
      <c r="W203" s="25" t="str">
        <f ca="1">$K203</f>
        <v>*KEY_ERR</v>
      </c>
      <c r="X203" s="3"/>
      <c r="Y203" s="59" t="str">
        <f ca="1">_xll.DBRW($C$130,$C$133,$C$134,$C$137,$C$138,$G203,$C$139,$C$140,$I203,$C$141,$C203,$F203,$D203,$B203,$E203,$C$135,$H203,Y$153)</f>
        <v/>
      </c>
      <c r="Z203" s="59" t="str">
        <f ca="1">_xll.DBRW($C$130,$C$133,$C$134,$C$137,$C$138,$G203,$C$139,$C$140,$I203,$C$141,$C203,$F203,$D203,$B203,$E203,$C$135,$H203,Z$153)</f>
        <v/>
      </c>
      <c r="AA203" s="59" t="str">
        <f ca="1">_xll.DBRW($C$130,$C$133,$C$134,$C$137,$C$138,$G203,$C$139,$C$140,$I203,$C$141,$C203,$F203,$D203,$B203,$E203,$C$135,$H203,AA$153)</f>
        <v/>
      </c>
      <c r="AB203" s="59" t="str">
        <f ca="1">_xll.DBRW($C$130,$C$133,$C$134,$C$137,$C$138,$G203,$C$139,$C$140,$I203,$C$141,$C203,$F203,$D203,$B203,$E203,$C$135,$H203,AB$153)</f>
        <v/>
      </c>
      <c r="AC203" s="59" t="str">
        <f ca="1">_xll.DBRW($C$130,$C$133,$C$134,$C$137,$C$138,$G203,$C$139,$C$140,$I203,$C$141,$C203,$F203,$D203,$B203,$E203,$C$135,$H203,AC$153)</f>
        <v/>
      </c>
      <c r="AD203" s="59" t="str">
        <f ca="1">_xll.DBRW($C$130,$C$133,$C$134,$C$137,$C$138,$G203,$C$139,$C$140,$I203,$C$141,$C203,$F203,$D203,$B203,$E203,$C$135,$H203,AD$153)</f>
        <v/>
      </c>
      <c r="AE203" s="59" t="str">
        <f ca="1">_xll.DBRW($C$130,$C$133,$C$134,$C$137,$C$138,$G203,$C$139,$C$140,$I203,$C$141,$C203,$F203,$D203,$B203,$E203,$C$135,$H203,AE$153)</f>
        <v/>
      </c>
      <c r="AF203" s="59" t="str">
        <f ca="1">_xll.DBRW($C$130,$C$133,$C$134,$C$137,$C$138,$G203,$C$139,$C$140,$I203,$C$141,$C203,$F203,$D203,$B203,$E203,$C$135,$H203,AF$153)</f>
        <v/>
      </c>
      <c r="AG203" s="59" t="str">
        <f ca="1">_xll.DBRW($C$130,$C$133,$C$134,$C$137,$C$138,$G203,$C$139,$C$140,$I203,$C$141,$C203,$F203,$D203,$B203,$E203,$C$135,$H203,AG$153)</f>
        <v/>
      </c>
      <c r="AH203" s="59" t="str">
        <f ca="1">_xll.DBRW($C$130,$C$133,$C$134,$C$137,$C$138,$G203,$C$139,$C$140,$I203,$C$141,$C203,$F203,$D203,$B203,$E203,$C$135,$H203,AH$153)</f>
        <v/>
      </c>
      <c r="AI203" s="59" t="str">
        <f ca="1">_xll.DBRW($C$130,$C$133,$C$134,$C$137,$C$138,$G203,$C$139,$C$140,$I203,$C$141,$C203,$F203,$D203,$B203,$E203,$C$135,$H203,AI$153)</f>
        <v/>
      </c>
      <c r="AJ203" s="59" t="str">
        <f ca="1">_xll.DBRW($C$130,$C$133,$C$134,$C$137,$C$138,$G203,$C$139,$C$140,$I203,$C$141,$C203,$F203,$D203,$B203,$E203,$C$135,$H203,AJ$153)</f>
        <v/>
      </c>
      <c r="AK203" s="59" t="str">
        <f ca="1">_xll.DBRW($C$130,$C$133,$C$134,$C$137,$C$138,$G203,$C$139,$C$140,$I203,$C$141,$C203,$F203,$D203,$B203,$E203,$C$135,$H203,AK$153)</f>
        <v/>
      </c>
      <c r="AL203" s="36" t="str">
        <f ca="1">_xll.DBRW($C$130,$C$133,$C$134,$C$137,$C$138,$G203,$C$139,$C$140,$I203,$C$141,$C203,$F203,$D203,$B203,$E203,$C$135,$H203,AL$153)</f>
        <v/>
      </c>
    </row>
    <row r="204" spans="1:38" ht="14.45" customHeight="1" x14ac:dyDescent="0.25">
      <c r="A204" s="35" t="s">
        <v>213</v>
      </c>
    </row>
    <row r="205" spans="1:38" ht="14.45" customHeight="1" x14ac:dyDescent="0.25">
      <c r="Q205" s="38" t="s">
        <v>214</v>
      </c>
    </row>
    <row r="206" spans="1:38" ht="4.5" customHeight="1" x14ac:dyDescent="0.25"/>
    <row r="207" spans="1:38" ht="12" customHeight="1" x14ac:dyDescent="0.25">
      <c r="A207" s="3" t="str">
        <f ca="1">IF(_xll.TM1RPTELISCONSOLIDATED($I$207,$I207),IF((_xll.TM1RPTELLEV($I$207,$I207)&lt;=3),_xll.TM1RPTELLEV($I$207,$I207),"D"),"N")</f>
        <v>N</v>
      </c>
      <c r="B207" s="64" t="str">
        <f ca="1">_xll.TM1RPTROW($C$131,(db_name&amp;":programme"),"","","code and description",0,$C$144)</f>
        <v/>
      </c>
      <c r="C207" s="65" t="str">
        <f ca="1">_xll.TM1RPTROW($C$131,(db_name&amp;":appropriation type"),"","","code and description",0,$C$145)</f>
        <v/>
      </c>
      <c r="D207" s="65" t="str">
        <f ca="1">_xll.TM1RPTROW($C$131,(db_name&amp;":appropriation item"),"","","code and description",0,$C$146)</f>
        <v/>
      </c>
      <c r="E207" s="65" t="str">
        <f ca="1">_xll.TM1RPTROW($C$131,(db_name&amp;":account"),"","","code and description",0,$C$147)</f>
        <v/>
      </c>
      <c r="F207" s="65" t="str">
        <f ca="1">_xll.TM1RPTROW($C$131,(db_name&amp;":movement account"),"","","code and description",0,$C$149)</f>
        <v/>
      </c>
      <c r="G207" s="65" t="str">
        <f ca="1">_xll.TM1RPTROW($C$131,(db_name&amp;":related entity"),"","","code and description",0,$C$150)</f>
        <v/>
      </c>
      <c r="H207" s="65" t="str">
        <f ca="1">_xll.TM1RPTROW($C$131,(db_name&amp;":jurisdiction"),"","","description",0,$C$151)</f>
        <v/>
      </c>
      <c r="I207" s="65" t="str">
        <f ca="1">_xll.TM1RPTROW($C$131,(db_name&amp;":spp"),"","","code and description",0,$C$152)</f>
        <v/>
      </c>
      <c r="J207" s="22" t="str">
        <f ca="1">_xll.DBRW($C$131,$C$133,$C$134,$E$137,$C$138,$G207,$C$139,$C$140,$I207,$C$141,$C207,$F207,$D207,$B207,$E207,$C$135,$H207,J$194)</f>
        <v/>
      </c>
      <c r="K207" s="22" t="str">
        <f ca="1">IF(($L207=""),_xll.DBR($C$77,$E207,"DR/CR"),_xll.DBR($C$87,$F207,"DR/CR"))</f>
        <v>*KEY_ERR</v>
      </c>
      <c r="L207" s="22" t="str">
        <f ca="1">_xll.DBR($C$77,$E207,L$194)</f>
        <v>*KEY_ERR</v>
      </c>
      <c r="M207" s="22" t="str">
        <f ca="1">_xll.DBR($C$77,$E207,M$194)</f>
        <v>*KEY_ERR</v>
      </c>
      <c r="N207" s="22" t="str">
        <f ca="1">_xll.DBR($C$159,$E207,$F207,$D207,C$160)</f>
        <v>*KEY_ERR</v>
      </c>
      <c r="O207" s="3"/>
      <c r="P207" s="3"/>
      <c r="Q207" s="58" t="str">
        <f ca="1">$E207</f>
        <v/>
      </c>
      <c r="R207" s="58" t="str">
        <f ca="1">$F207</f>
        <v/>
      </c>
      <c r="S207" s="24" t="str">
        <f ca="1">$G207</f>
        <v/>
      </c>
      <c r="T207" s="25" t="str">
        <f ca="1">$H207</f>
        <v/>
      </c>
      <c r="U207" s="58" t="str">
        <f ca="1">$D207</f>
        <v/>
      </c>
      <c r="V207" s="25" t="str">
        <f ca="1">$I207</f>
        <v/>
      </c>
      <c r="W207" s="25" t="str">
        <f ca="1">$K207</f>
        <v>*KEY_ERR</v>
      </c>
      <c r="X207" s="3"/>
      <c r="Y207" s="59" t="str">
        <f ca="1">_xll.DBRW($C$131,$C$133,$C$134,$E$137,$C$138,$G207,$C$139,$C$140,$I207,$C$141,$C207,$F207,$D207,$B207,$E207,$C$135,$H207,Y$153)</f>
        <v/>
      </c>
      <c r="Z207" s="59" t="str">
        <f ca="1">_xll.DBRW($C$131,$C$133,$C$134,$E$137,$C$138,$G207,$C$139,$C$140,$I207,$C$141,$C207,$F207,$D207,$B207,$E207,$C$135,$H207,Z$153)</f>
        <v/>
      </c>
      <c r="AA207" s="59" t="str">
        <f ca="1">_xll.DBRW($C$131,$C$133,$C$134,$E$137,$C$138,$G207,$C$139,$C$140,$I207,$C$141,$C207,$F207,$D207,$B207,$E207,$C$135,$H207,AA$153)</f>
        <v/>
      </c>
      <c r="AB207" s="59" t="str">
        <f ca="1">_xll.DBRW($C$131,$C$133,$C$134,$E$137,$C$138,$G207,$C$139,$C$140,$I207,$C$141,$C207,$F207,$D207,$B207,$E207,$C$135,$H207,AB$153)</f>
        <v/>
      </c>
      <c r="AC207" s="59" t="str">
        <f ca="1">_xll.DBRW($C$131,$C$133,$C$134,$E$137,$C$138,$G207,$C$139,$C$140,$I207,$C$141,$C207,$F207,$D207,$B207,$E207,$C$135,$H207,AC$153)</f>
        <v/>
      </c>
      <c r="AD207" s="59" t="str">
        <f ca="1">_xll.DBRW($C$131,$C$133,$C$134,$E$137,$C$138,$G207,$C$139,$C$140,$I207,$C$141,$C207,$F207,$D207,$B207,$E207,$C$135,$H207,AD$153)</f>
        <v/>
      </c>
      <c r="AE207" s="59" t="str">
        <f ca="1">_xll.DBRW($C$131,$C$133,$C$134,$E$137,$C$138,$G207,$C$139,$C$140,$I207,$C$141,$C207,$F207,$D207,$B207,$E207,$C$135,$H207,AE$153)</f>
        <v/>
      </c>
      <c r="AF207" s="59" t="str">
        <f ca="1">_xll.DBRW($C$131,$C$133,$C$134,$E$137,$C$138,$G207,$C$139,$C$140,$I207,$C$141,$C207,$F207,$D207,$B207,$E207,$C$135,$H207,AF$153)</f>
        <v/>
      </c>
      <c r="AG207" s="59" t="str">
        <f ca="1">_xll.DBRW($C$131,$C$133,$C$134,$E$137,$C$138,$G207,$C$139,$C$140,$I207,$C$141,$C207,$F207,$D207,$B207,$E207,$C$135,$H207,AG$153)</f>
        <v/>
      </c>
      <c r="AH207" s="59" t="str">
        <f ca="1">_xll.DBRW($C$131,$C$133,$C$134,$E$137,$C$138,$G207,$C$139,$C$140,$I207,$C$141,$C207,$F207,$D207,$B207,$E207,$C$135,$H207,AH$153)</f>
        <v/>
      </c>
      <c r="AI207" s="59" t="str">
        <f ca="1">_xll.DBRW($C$131,$C$133,$C$134,$E$137,$C$138,$G207,$C$139,$C$140,$I207,$C$141,$C207,$F207,$D207,$B207,$E207,$C$135,$H207,AI$153)</f>
        <v/>
      </c>
      <c r="AJ207" s="59" t="str">
        <f ca="1">_xll.DBRW($C$131,$C$133,$C$134,$E$137,$C$138,$G207,$C$139,$C$140,$I207,$C$141,$C207,$F207,$D207,$B207,$E207,$C$135,$H207,AJ$153)</f>
        <v/>
      </c>
      <c r="AK207" s="59" t="str">
        <f ca="1">_xll.DBRW($C$131,$C$133,$C$134,$E$137,$C$138,$G207,$C$139,$C$140,$I207,$C$141,$C207,$F207,$D207,$B207,$E207,$C$135,$H207,AK$153)</f>
        <v/>
      </c>
      <c r="AL207" s="36" t="str">
        <f ca="1">_xll.DBRW($C$131,$C$133,$C$134,$C$137,$C$138,$G207,$C$139,$C$140,$I207,$C$141,$C207,$F207,$D207,$B207,$E207,$C$135,$H207,AL$153)</f>
        <v/>
      </c>
    </row>
    <row r="208" spans="1:38" ht="14.45" customHeight="1" x14ac:dyDescent="0.25">
      <c r="A208" s="35" t="s">
        <v>213</v>
      </c>
    </row>
  </sheetData>
  <sheetProtection sheet="1" objects="1" scenarios="1"/>
  <mergeCells count="23">
    <mergeCell ref="AA190:AC190"/>
    <mergeCell ref="AA191:AC191"/>
    <mergeCell ref="R185:S185"/>
    <mergeCell ref="U185:W185"/>
    <mergeCell ref="T188:W188"/>
    <mergeCell ref="R183:W183"/>
    <mergeCell ref="B143:D143"/>
    <mergeCell ref="B118:D118"/>
    <mergeCell ref="B86:D86"/>
    <mergeCell ref="B128:D128"/>
    <mergeCell ref="B101:D101"/>
    <mergeCell ref="B91:D91"/>
    <mergeCell ref="B76:D76"/>
    <mergeCell ref="B92:D92"/>
    <mergeCell ref="F67:H67"/>
    <mergeCell ref="B158:C158"/>
    <mergeCell ref="F76:G76"/>
    <mergeCell ref="B154:C154"/>
    <mergeCell ref="B11:D11"/>
    <mergeCell ref="B19:D19"/>
    <mergeCell ref="B30:D30"/>
    <mergeCell ref="B47:D47"/>
    <mergeCell ref="B64:D64"/>
  </mergeCells>
  <conditionalFormatting sqref="U181">
    <cfRule type="containsText" dxfId="1" priority="1" operator="containsText" text="un">
      <formula>NOT(ISERROR(SEARCH("un",U181)))</formula>
    </cfRule>
    <cfRule type="containsText" dxfId="0" priority="2" operator="containsText" text="approve">
      <formula>NOT(ISERROR(SEARCH("approve",U181)))</formula>
    </cfRule>
  </conditionalFormatting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1028" r:id="rId4" name="TIButton1">
          <controlPr defaultSize="0" print="0" autoLine="0" autoPict="0" r:id="rId5">
            <anchor moveWithCells="1" sizeWithCells="1">
              <from>
                <xdr:col>24</xdr:col>
                <xdr:colOff>295275</xdr:colOff>
                <xdr:row>189</xdr:row>
                <xdr:rowOff>133350</xdr:rowOff>
              </from>
              <to>
                <xdr:col>25</xdr:col>
                <xdr:colOff>276225</xdr:colOff>
                <xdr:row>191</xdr:row>
                <xdr:rowOff>0</xdr:rowOff>
              </to>
            </anchor>
          </controlPr>
        </control>
      </mc:Choice>
      <mc:Fallback>
        <control shapeId="1028" r:id="rId4" name="TIButton1"/>
      </mc:Fallback>
    </mc:AlternateContent>
    <mc:AlternateContent xmlns:mc="http://schemas.openxmlformats.org/markup-compatibility/2006">
      <mc:Choice Requires="x14">
        <control shapeId="1029" r:id="rId6" name="TIButton4">
          <controlPr defaultSize="0" print="0" autoLine="0" r:id="rId7">
            <anchor moveWithCells="1" sizeWithCells="1">
              <from>
                <xdr:col>16</xdr:col>
                <xdr:colOff>9525</xdr:colOff>
                <xdr:row>173</xdr:row>
                <xdr:rowOff>9525</xdr:rowOff>
              </from>
              <to>
                <xdr:col>16</xdr:col>
                <xdr:colOff>647700</xdr:colOff>
                <xdr:row>173</xdr:row>
                <xdr:rowOff>257175</xdr:rowOff>
              </to>
            </anchor>
          </controlPr>
        </control>
      </mc:Choice>
      <mc:Fallback>
        <control shapeId="1029" r:id="rId6" name="TIButton4"/>
      </mc:Fallback>
    </mc:AlternateContent>
    <mc:AlternateContent xmlns:mc="http://schemas.openxmlformats.org/markup-compatibility/2006">
      <mc:Choice Requires="x14">
        <control shapeId="1030" r:id="rId8" name="TIButton2">
          <controlPr defaultSize="0" print="0" autoLine="0" r:id="rId9">
            <anchor moveWithCells="1" sizeWithCells="1">
              <from>
                <xdr:col>16</xdr:col>
                <xdr:colOff>685800</xdr:colOff>
                <xdr:row>173</xdr:row>
                <xdr:rowOff>9525</xdr:rowOff>
              </from>
              <to>
                <xdr:col>16</xdr:col>
                <xdr:colOff>1809750</xdr:colOff>
                <xdr:row>173</xdr:row>
                <xdr:rowOff>257175</xdr:rowOff>
              </to>
            </anchor>
          </controlPr>
        </control>
      </mc:Choice>
      <mc:Fallback>
        <control shapeId="1030" r:id="rId8" name="TIButton2"/>
      </mc:Fallback>
    </mc:AlternateContent>
    <mc:AlternateContent xmlns:mc="http://schemas.openxmlformats.org/markup-compatibility/2006">
      <mc:Choice Requires="x14">
        <control shapeId="1031" r:id="rId10" name="TIButton3">
          <controlPr defaultSize="0" print="0" autoLine="0" r:id="rId11">
            <anchor moveWithCells="1" sizeWithCells="1">
              <from>
                <xdr:col>20</xdr:col>
                <xdr:colOff>1409700</xdr:colOff>
                <xdr:row>173</xdr:row>
                <xdr:rowOff>9525</xdr:rowOff>
              </from>
              <to>
                <xdr:col>20</xdr:col>
                <xdr:colOff>2190750</xdr:colOff>
                <xdr:row>173</xdr:row>
                <xdr:rowOff>257175</xdr:rowOff>
              </to>
            </anchor>
          </controlPr>
        </control>
      </mc:Choice>
      <mc:Fallback>
        <control shapeId="1031" r:id="rId10" name="TIButton3"/>
      </mc:Fallback>
    </mc:AlternateContent>
    <mc:AlternateContent xmlns:mc="http://schemas.openxmlformats.org/markup-compatibility/2006">
      <mc:Choice Requires="x14">
        <control shapeId="1032" r:id="rId12" name="TIButton5">
          <controlPr defaultSize="0" print="0" autoLine="0" r:id="rId13">
            <anchor moveWithCells="1" sizeWithCells="1">
              <from>
                <xdr:col>16</xdr:col>
                <xdr:colOff>1838325</xdr:colOff>
                <xdr:row>173</xdr:row>
                <xdr:rowOff>9525</xdr:rowOff>
              </from>
              <to>
                <xdr:col>17</xdr:col>
                <xdr:colOff>514350</xdr:colOff>
                <xdr:row>173</xdr:row>
                <xdr:rowOff>257175</xdr:rowOff>
              </to>
            </anchor>
          </controlPr>
        </control>
      </mc:Choice>
      <mc:Fallback>
        <control shapeId="1032" r:id="rId12" name="TIButton5"/>
      </mc:Fallback>
    </mc:AlternateContent>
    <mc:AlternateContent xmlns:mc="http://schemas.openxmlformats.org/markup-compatibility/2006">
      <mc:Choice Requires="x14">
        <control shapeId="1034" r:id="rId14" name="TIButton6">
          <controlPr defaultSize="0" print="0" autoLine="0" r:id="rId15">
            <anchor moveWithCells="1" sizeWithCells="1">
              <from>
                <xdr:col>20</xdr:col>
                <xdr:colOff>495300</xdr:colOff>
                <xdr:row>173</xdr:row>
                <xdr:rowOff>9525</xdr:rowOff>
              </from>
              <to>
                <xdr:col>20</xdr:col>
                <xdr:colOff>1371600</xdr:colOff>
                <xdr:row>173</xdr:row>
                <xdr:rowOff>257175</xdr:rowOff>
              </to>
            </anchor>
          </controlPr>
        </control>
      </mc:Choice>
      <mc:Fallback>
        <control shapeId="1034" r:id="rId14" name="TIButton6"/>
      </mc:Fallback>
    </mc:AlternateContent>
    <mc:AlternateContent xmlns:mc="http://schemas.openxmlformats.org/markup-compatibility/2006">
      <mc:Choice Requires="x14">
        <control shapeId="1035" r:id="rId16" name="TIButton7">
          <controlPr defaultSize="0" print="0" autoLine="0" r:id="rId17">
            <anchor moveWithCells="1" sizeWithCells="1">
              <from>
                <xdr:col>17</xdr:col>
                <xdr:colOff>533400</xdr:colOff>
                <xdr:row>173</xdr:row>
                <xdr:rowOff>9525</xdr:rowOff>
              </from>
              <to>
                <xdr:col>17</xdr:col>
                <xdr:colOff>1819275</xdr:colOff>
                <xdr:row>173</xdr:row>
                <xdr:rowOff>257175</xdr:rowOff>
              </to>
            </anchor>
          </controlPr>
        </control>
      </mc:Choice>
      <mc:Fallback>
        <control shapeId="1035" r:id="rId16" name="TIButton7"/>
      </mc:Fallback>
    </mc:AlternateContent>
    <mc:AlternateContent xmlns:mc="http://schemas.openxmlformats.org/markup-compatibility/2006">
      <mc:Choice Requires="x14">
        <control shapeId="1036" r:id="rId18" name="TIButton8">
          <controlPr defaultSize="0" print="0" autoLine="0" r:id="rId19">
            <anchor moveWithCells="1" sizeWithCells="1">
              <from>
                <xdr:col>18</xdr:col>
                <xdr:colOff>476250</xdr:colOff>
                <xdr:row>173</xdr:row>
                <xdr:rowOff>9525</xdr:rowOff>
              </from>
              <to>
                <xdr:col>18</xdr:col>
                <xdr:colOff>1152525</xdr:colOff>
                <xdr:row>173</xdr:row>
                <xdr:rowOff>257175</xdr:rowOff>
              </to>
            </anchor>
          </controlPr>
        </control>
      </mc:Choice>
      <mc:Fallback>
        <control shapeId="1036" r:id="rId18" name="TIButton8"/>
      </mc:Fallback>
    </mc:AlternateContent>
    <mc:AlternateContent xmlns:mc="http://schemas.openxmlformats.org/markup-compatibility/2006">
      <mc:Choice Requires="x14">
        <control shapeId="1037" r:id="rId20" name="TIButton9">
          <controlPr defaultSize="0" print="0" autoLine="0" r:id="rId21">
            <anchor moveWithCells="1" sizeWithCells="1">
              <from>
                <xdr:col>18</xdr:col>
                <xdr:colOff>1171575</xdr:colOff>
                <xdr:row>173</xdr:row>
                <xdr:rowOff>9525</xdr:rowOff>
              </from>
              <to>
                <xdr:col>19</xdr:col>
                <xdr:colOff>695325</xdr:colOff>
                <xdr:row>173</xdr:row>
                <xdr:rowOff>257175</xdr:rowOff>
              </to>
            </anchor>
          </controlPr>
        </control>
      </mc:Choice>
      <mc:Fallback>
        <control shapeId="1037" r:id="rId20" name="TIButton9"/>
      </mc:Fallback>
    </mc:AlternateContent>
    <mc:AlternateContent xmlns:mc="http://schemas.openxmlformats.org/markup-compatibility/2006">
      <mc:Choice Requires="x14">
        <control shapeId="1038" r:id="rId22" name="TIButton10">
          <controlPr defaultSize="0" print="0" autoLine="0" r:id="rId23">
            <anchor moveWithCells="1" sizeWithCells="1">
              <from>
                <xdr:col>19</xdr:col>
                <xdr:colOff>714375</xdr:colOff>
                <xdr:row>173</xdr:row>
                <xdr:rowOff>9525</xdr:rowOff>
              </from>
              <to>
                <xdr:col>20</xdr:col>
                <xdr:colOff>466725</xdr:colOff>
                <xdr:row>173</xdr:row>
                <xdr:rowOff>257175</xdr:rowOff>
              </to>
            </anchor>
          </controlPr>
        </control>
      </mc:Choice>
      <mc:Fallback>
        <control shapeId="1038" r:id="rId22" name="TIButton10"/>
      </mc:Fallback>
    </mc:AlternateContent>
    <mc:AlternateContent xmlns:mc="http://schemas.openxmlformats.org/markup-compatibility/2006">
      <mc:Choice Requires="x14">
        <control shapeId="1039" r:id="rId24" name="TIButton11">
          <controlPr defaultSize="0" print="0" autoLine="0" r:id="rId25">
            <anchor moveWithCells="1" sizeWithCells="1">
              <from>
                <xdr:col>17</xdr:col>
                <xdr:colOff>1857375</xdr:colOff>
                <xdr:row>173</xdr:row>
                <xdr:rowOff>9525</xdr:rowOff>
              </from>
              <to>
                <xdr:col>18</xdr:col>
                <xdr:colOff>447675</xdr:colOff>
                <xdr:row>173</xdr:row>
                <xdr:rowOff>257175</xdr:rowOff>
              </to>
            </anchor>
          </controlPr>
        </control>
      </mc:Choice>
      <mc:Fallback>
        <control shapeId="1039" r:id="rId24" name="TIButton11"/>
      </mc:Fallback>
    </mc:AlternateContent>
    <mc:AlternateContent xmlns:mc="http://schemas.openxmlformats.org/markup-compatibility/2006">
      <mc:Choice Requires="x14">
        <control shapeId="1041" r:id="rId26" name="TIButton12">
          <controlPr defaultSize="0" print="0" autoLine="0" autoPict="0" r:id="rId27">
            <anchor moveWithCells="1" sizeWithCells="1">
              <from>
                <xdr:col>29</xdr:col>
                <xdr:colOff>266700</xdr:colOff>
                <xdr:row>189</xdr:row>
                <xdr:rowOff>133350</xdr:rowOff>
              </from>
              <to>
                <xdr:col>31</xdr:col>
                <xdr:colOff>66675</xdr:colOff>
                <xdr:row>191</xdr:row>
                <xdr:rowOff>0</xdr:rowOff>
              </to>
            </anchor>
          </controlPr>
        </control>
      </mc:Choice>
      <mc:Fallback>
        <control shapeId="1041" r:id="rId26" name="TIButton12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344"/>
  <sheetViews>
    <sheetView workbookViewId="0"/>
  </sheetViews>
  <sheetFormatPr defaultRowHeight="14.45" customHeight="1" x14ac:dyDescent="0.25"/>
  <sheetData>
    <row r="1" spans="1:1" ht="14.45" customHeight="1" x14ac:dyDescent="0.25">
      <c r="A1" t="s">
        <v>48</v>
      </c>
    </row>
    <row r="2" spans="1:1" ht="14.45" customHeight="1" x14ac:dyDescent="0.25">
      <c r="A2" t="s">
        <v>1</v>
      </c>
    </row>
    <row r="3" spans="1:1" ht="14.45" customHeight="1" x14ac:dyDescent="0.25">
      <c r="A3" t="s">
        <v>552</v>
      </c>
    </row>
    <row r="4" spans="1:1" ht="14.45" customHeight="1" x14ac:dyDescent="0.25">
      <c r="A4" t="s">
        <v>553</v>
      </c>
    </row>
    <row r="5" spans="1:1" ht="14.45" customHeight="1" x14ac:dyDescent="0.25">
      <c r="A5" t="s">
        <v>554</v>
      </c>
    </row>
    <row r="6" spans="1:1" ht="14.45" customHeight="1" x14ac:dyDescent="0.25">
      <c r="A6" t="s">
        <v>551</v>
      </c>
    </row>
    <row r="7" spans="1:1" ht="14.45" customHeight="1" x14ac:dyDescent="0.25">
      <c r="A7" t="s">
        <v>555</v>
      </c>
    </row>
    <row r="8" spans="1:1" ht="14.45" customHeight="1" x14ac:dyDescent="0.25">
      <c r="A8" t="s">
        <v>556</v>
      </c>
    </row>
    <row r="9" spans="1:1" ht="14.45" customHeight="1" x14ac:dyDescent="0.25">
      <c r="A9" t="s">
        <v>557</v>
      </c>
    </row>
    <row r="10" spans="1:1" ht="14.45" customHeight="1" x14ac:dyDescent="0.25">
      <c r="A10" t="s">
        <v>215</v>
      </c>
    </row>
    <row r="11" spans="1:1" ht="14.45" customHeight="1" x14ac:dyDescent="0.25">
      <c r="A11" t="s">
        <v>216</v>
      </c>
    </row>
    <row r="12" spans="1:1" ht="14.45" customHeight="1" x14ac:dyDescent="0.25">
      <c r="A12" t="s">
        <v>217</v>
      </c>
    </row>
    <row r="13" spans="1:1" ht="14.45" customHeight="1" x14ac:dyDescent="0.25">
      <c r="A13" t="s">
        <v>218</v>
      </c>
    </row>
    <row r="14" spans="1:1" ht="14.45" customHeight="1" x14ac:dyDescent="0.25">
      <c r="A14" t="s">
        <v>219</v>
      </c>
    </row>
    <row r="15" spans="1:1" ht="14.45" customHeight="1" x14ac:dyDescent="0.25">
      <c r="A15" t="s">
        <v>220</v>
      </c>
    </row>
    <row r="16" spans="1:1" ht="14.45" customHeight="1" x14ac:dyDescent="0.25">
      <c r="A16" t="s">
        <v>221</v>
      </c>
    </row>
    <row r="17" spans="1:1" ht="14.45" customHeight="1" x14ac:dyDescent="0.25">
      <c r="A17" t="s">
        <v>222</v>
      </c>
    </row>
    <row r="18" spans="1:1" ht="14.45" customHeight="1" x14ac:dyDescent="0.25">
      <c r="A18" t="s">
        <v>223</v>
      </c>
    </row>
    <row r="19" spans="1:1" ht="14.45" customHeight="1" x14ac:dyDescent="0.25">
      <c r="A19" t="s">
        <v>224</v>
      </c>
    </row>
    <row r="20" spans="1:1" ht="14.45" customHeight="1" x14ac:dyDescent="0.25">
      <c r="A20" t="s">
        <v>225</v>
      </c>
    </row>
    <row r="21" spans="1:1" ht="14.45" customHeight="1" x14ac:dyDescent="0.25">
      <c r="A21" t="s">
        <v>226</v>
      </c>
    </row>
    <row r="22" spans="1:1" ht="14.45" customHeight="1" x14ac:dyDescent="0.25">
      <c r="A22" t="s">
        <v>227</v>
      </c>
    </row>
    <row r="23" spans="1:1" ht="14.45" customHeight="1" x14ac:dyDescent="0.25">
      <c r="A23" t="s">
        <v>228</v>
      </c>
    </row>
    <row r="24" spans="1:1" ht="14.45" customHeight="1" x14ac:dyDescent="0.25">
      <c r="A24" t="s">
        <v>229</v>
      </c>
    </row>
    <row r="25" spans="1:1" ht="14.45" customHeight="1" x14ac:dyDescent="0.25">
      <c r="A25" t="s">
        <v>230</v>
      </c>
    </row>
    <row r="26" spans="1:1" ht="14.45" customHeight="1" x14ac:dyDescent="0.25">
      <c r="A26" t="s">
        <v>231</v>
      </c>
    </row>
    <row r="27" spans="1:1" ht="14.45" customHeight="1" x14ac:dyDescent="0.25">
      <c r="A27" t="s">
        <v>232</v>
      </c>
    </row>
    <row r="28" spans="1:1" ht="14.45" customHeight="1" x14ac:dyDescent="0.25">
      <c r="A28" t="s">
        <v>233</v>
      </c>
    </row>
    <row r="29" spans="1:1" ht="14.45" customHeight="1" x14ac:dyDescent="0.25">
      <c r="A29" t="s">
        <v>234</v>
      </c>
    </row>
    <row r="30" spans="1:1" ht="14.45" customHeight="1" x14ac:dyDescent="0.25">
      <c r="A30" t="s">
        <v>235</v>
      </c>
    </row>
    <row r="31" spans="1:1" ht="14.45" customHeight="1" x14ac:dyDescent="0.25">
      <c r="A31" t="s">
        <v>236</v>
      </c>
    </row>
    <row r="32" spans="1:1" ht="14.45" customHeight="1" x14ac:dyDescent="0.25">
      <c r="A32" t="s">
        <v>237</v>
      </c>
    </row>
    <row r="33" spans="1:1" ht="14.45" customHeight="1" x14ac:dyDescent="0.25">
      <c r="A33" t="s">
        <v>238</v>
      </c>
    </row>
    <row r="34" spans="1:1" ht="14.45" customHeight="1" x14ac:dyDescent="0.25">
      <c r="A34" t="s">
        <v>239</v>
      </c>
    </row>
    <row r="35" spans="1:1" ht="14.45" customHeight="1" x14ac:dyDescent="0.25">
      <c r="A35" t="s">
        <v>240</v>
      </c>
    </row>
    <row r="36" spans="1:1" ht="14.45" customHeight="1" x14ac:dyDescent="0.25">
      <c r="A36" t="s">
        <v>241</v>
      </c>
    </row>
    <row r="37" spans="1:1" ht="14.45" customHeight="1" x14ac:dyDescent="0.25">
      <c r="A37" t="s">
        <v>242</v>
      </c>
    </row>
    <row r="38" spans="1:1" ht="14.45" customHeight="1" x14ac:dyDescent="0.25">
      <c r="A38" t="s">
        <v>243</v>
      </c>
    </row>
    <row r="39" spans="1:1" ht="14.45" customHeight="1" x14ac:dyDescent="0.25">
      <c r="A39" t="s">
        <v>244</v>
      </c>
    </row>
    <row r="40" spans="1:1" ht="14.45" customHeight="1" x14ac:dyDescent="0.25">
      <c r="A40" t="s">
        <v>245</v>
      </c>
    </row>
    <row r="41" spans="1:1" ht="14.45" customHeight="1" x14ac:dyDescent="0.25">
      <c r="A41" t="s">
        <v>246</v>
      </c>
    </row>
    <row r="42" spans="1:1" ht="14.45" customHeight="1" x14ac:dyDescent="0.25">
      <c r="A42" t="s">
        <v>247</v>
      </c>
    </row>
    <row r="43" spans="1:1" ht="14.45" customHeight="1" x14ac:dyDescent="0.25">
      <c r="A43" t="s">
        <v>248</v>
      </c>
    </row>
    <row r="44" spans="1:1" ht="14.45" customHeight="1" x14ac:dyDescent="0.25">
      <c r="A44" t="s">
        <v>249</v>
      </c>
    </row>
    <row r="45" spans="1:1" ht="14.45" customHeight="1" x14ac:dyDescent="0.25">
      <c r="A45" t="s">
        <v>250</v>
      </c>
    </row>
    <row r="46" spans="1:1" ht="14.45" customHeight="1" x14ac:dyDescent="0.25">
      <c r="A46" t="s">
        <v>251</v>
      </c>
    </row>
    <row r="47" spans="1:1" ht="14.45" customHeight="1" x14ac:dyDescent="0.25">
      <c r="A47" t="s">
        <v>252</v>
      </c>
    </row>
    <row r="48" spans="1:1" ht="14.45" customHeight="1" x14ac:dyDescent="0.25">
      <c r="A48" t="s">
        <v>253</v>
      </c>
    </row>
    <row r="49" spans="1:1" ht="14.45" customHeight="1" x14ac:dyDescent="0.25">
      <c r="A49" t="s">
        <v>254</v>
      </c>
    </row>
    <row r="50" spans="1:1" ht="14.45" customHeight="1" x14ac:dyDescent="0.25">
      <c r="A50" t="s">
        <v>255</v>
      </c>
    </row>
    <row r="51" spans="1:1" ht="14.45" customHeight="1" x14ac:dyDescent="0.25">
      <c r="A51" t="s">
        <v>256</v>
      </c>
    </row>
    <row r="52" spans="1:1" ht="14.45" customHeight="1" x14ac:dyDescent="0.25">
      <c r="A52" t="s">
        <v>257</v>
      </c>
    </row>
    <row r="53" spans="1:1" ht="14.45" customHeight="1" x14ac:dyDescent="0.25">
      <c r="A53" t="s">
        <v>258</v>
      </c>
    </row>
    <row r="54" spans="1:1" ht="14.45" customHeight="1" x14ac:dyDescent="0.25">
      <c r="A54" t="s">
        <v>259</v>
      </c>
    </row>
    <row r="55" spans="1:1" ht="14.45" customHeight="1" x14ac:dyDescent="0.25">
      <c r="A55" t="s">
        <v>260</v>
      </c>
    </row>
    <row r="56" spans="1:1" ht="14.45" customHeight="1" x14ac:dyDescent="0.25">
      <c r="A56" t="s">
        <v>261</v>
      </c>
    </row>
    <row r="57" spans="1:1" ht="14.45" customHeight="1" x14ac:dyDescent="0.25">
      <c r="A57" t="s">
        <v>262</v>
      </c>
    </row>
    <row r="58" spans="1:1" ht="14.45" customHeight="1" x14ac:dyDescent="0.25">
      <c r="A58" t="s">
        <v>263</v>
      </c>
    </row>
    <row r="59" spans="1:1" ht="14.45" customHeight="1" x14ac:dyDescent="0.25">
      <c r="A59" t="s">
        <v>264</v>
      </c>
    </row>
    <row r="60" spans="1:1" ht="14.45" customHeight="1" x14ac:dyDescent="0.25">
      <c r="A60" t="s">
        <v>265</v>
      </c>
    </row>
    <row r="61" spans="1:1" ht="14.45" customHeight="1" x14ac:dyDescent="0.25">
      <c r="A61" t="s">
        <v>266</v>
      </c>
    </row>
    <row r="62" spans="1:1" ht="14.45" customHeight="1" x14ac:dyDescent="0.25">
      <c r="A62" t="s">
        <v>267</v>
      </c>
    </row>
    <row r="63" spans="1:1" ht="14.45" customHeight="1" x14ac:dyDescent="0.25">
      <c r="A63" t="s">
        <v>268</v>
      </c>
    </row>
    <row r="64" spans="1:1" ht="14.45" customHeight="1" x14ac:dyDescent="0.25">
      <c r="A64" t="s">
        <v>269</v>
      </c>
    </row>
    <row r="65" spans="1:1" ht="14.45" customHeight="1" x14ac:dyDescent="0.25">
      <c r="A65" t="s">
        <v>270</v>
      </c>
    </row>
    <row r="66" spans="1:1" ht="14.45" customHeight="1" x14ac:dyDescent="0.25">
      <c r="A66" t="s">
        <v>271</v>
      </c>
    </row>
    <row r="67" spans="1:1" ht="14.45" customHeight="1" x14ac:dyDescent="0.25">
      <c r="A67" t="s">
        <v>272</v>
      </c>
    </row>
    <row r="68" spans="1:1" ht="14.45" customHeight="1" x14ac:dyDescent="0.25">
      <c r="A68" t="s">
        <v>273</v>
      </c>
    </row>
    <row r="69" spans="1:1" ht="14.45" customHeight="1" x14ac:dyDescent="0.25">
      <c r="A69" t="s">
        <v>274</v>
      </c>
    </row>
    <row r="70" spans="1:1" ht="14.45" customHeight="1" x14ac:dyDescent="0.25">
      <c r="A70" t="s">
        <v>275</v>
      </c>
    </row>
    <row r="71" spans="1:1" ht="14.45" customHeight="1" x14ac:dyDescent="0.25">
      <c r="A71" t="s">
        <v>276</v>
      </c>
    </row>
    <row r="72" spans="1:1" ht="14.45" customHeight="1" x14ac:dyDescent="0.25">
      <c r="A72" t="s">
        <v>277</v>
      </c>
    </row>
    <row r="73" spans="1:1" ht="14.45" customHeight="1" x14ac:dyDescent="0.25">
      <c r="A73" t="s">
        <v>278</v>
      </c>
    </row>
    <row r="74" spans="1:1" ht="14.45" customHeight="1" x14ac:dyDescent="0.25">
      <c r="A74" t="s">
        <v>279</v>
      </c>
    </row>
    <row r="75" spans="1:1" ht="14.45" customHeight="1" x14ac:dyDescent="0.25">
      <c r="A75" t="s">
        <v>280</v>
      </c>
    </row>
    <row r="76" spans="1:1" ht="14.45" customHeight="1" x14ac:dyDescent="0.25">
      <c r="A76" t="s">
        <v>281</v>
      </c>
    </row>
    <row r="77" spans="1:1" ht="14.45" customHeight="1" x14ac:dyDescent="0.25">
      <c r="A77" t="s">
        <v>282</v>
      </c>
    </row>
    <row r="78" spans="1:1" ht="14.45" customHeight="1" x14ac:dyDescent="0.25">
      <c r="A78" t="s">
        <v>283</v>
      </c>
    </row>
    <row r="79" spans="1:1" ht="14.45" customHeight="1" x14ac:dyDescent="0.25">
      <c r="A79" t="s">
        <v>284</v>
      </c>
    </row>
    <row r="80" spans="1:1" ht="14.45" customHeight="1" x14ac:dyDescent="0.25">
      <c r="A80" t="s">
        <v>285</v>
      </c>
    </row>
    <row r="81" spans="1:1" ht="14.45" customHeight="1" x14ac:dyDescent="0.25">
      <c r="A81" t="s">
        <v>286</v>
      </c>
    </row>
    <row r="82" spans="1:1" ht="14.45" customHeight="1" x14ac:dyDescent="0.25">
      <c r="A82" t="s">
        <v>287</v>
      </c>
    </row>
    <row r="83" spans="1:1" ht="14.45" customHeight="1" x14ac:dyDescent="0.25">
      <c r="A83" t="s">
        <v>288</v>
      </c>
    </row>
    <row r="84" spans="1:1" ht="14.45" customHeight="1" x14ac:dyDescent="0.25">
      <c r="A84" t="s">
        <v>289</v>
      </c>
    </row>
    <row r="85" spans="1:1" ht="14.45" customHeight="1" x14ac:dyDescent="0.25">
      <c r="A85" t="s">
        <v>290</v>
      </c>
    </row>
    <row r="86" spans="1:1" ht="14.45" customHeight="1" x14ac:dyDescent="0.25">
      <c r="A86" t="s">
        <v>291</v>
      </c>
    </row>
    <row r="87" spans="1:1" ht="14.45" customHeight="1" x14ac:dyDescent="0.25">
      <c r="A87" t="s">
        <v>292</v>
      </c>
    </row>
    <row r="88" spans="1:1" ht="14.45" customHeight="1" x14ac:dyDescent="0.25">
      <c r="A88" t="s">
        <v>293</v>
      </c>
    </row>
    <row r="89" spans="1:1" ht="14.45" customHeight="1" x14ac:dyDescent="0.25">
      <c r="A89" t="s">
        <v>294</v>
      </c>
    </row>
    <row r="90" spans="1:1" ht="14.45" customHeight="1" x14ac:dyDescent="0.25">
      <c r="A90" t="s">
        <v>295</v>
      </c>
    </row>
    <row r="91" spans="1:1" ht="14.45" customHeight="1" x14ac:dyDescent="0.25">
      <c r="A91" t="s">
        <v>296</v>
      </c>
    </row>
    <row r="92" spans="1:1" ht="14.45" customHeight="1" x14ac:dyDescent="0.25">
      <c r="A92" t="s">
        <v>297</v>
      </c>
    </row>
    <row r="93" spans="1:1" ht="14.45" customHeight="1" x14ac:dyDescent="0.25">
      <c r="A93" t="s">
        <v>298</v>
      </c>
    </row>
    <row r="94" spans="1:1" ht="14.45" customHeight="1" x14ac:dyDescent="0.25">
      <c r="A94" t="s">
        <v>299</v>
      </c>
    </row>
    <row r="95" spans="1:1" ht="14.45" customHeight="1" x14ac:dyDescent="0.25">
      <c r="A95" t="s">
        <v>300</v>
      </c>
    </row>
    <row r="96" spans="1:1" ht="14.45" customHeight="1" x14ac:dyDescent="0.25">
      <c r="A96" t="s">
        <v>301</v>
      </c>
    </row>
    <row r="97" spans="1:1" ht="14.45" customHeight="1" x14ac:dyDescent="0.25">
      <c r="A97" t="s">
        <v>302</v>
      </c>
    </row>
    <row r="98" spans="1:1" ht="14.45" customHeight="1" x14ac:dyDescent="0.25">
      <c r="A98" t="s">
        <v>303</v>
      </c>
    </row>
    <row r="99" spans="1:1" ht="14.45" customHeight="1" x14ac:dyDescent="0.25">
      <c r="A99" t="s">
        <v>304</v>
      </c>
    </row>
    <row r="100" spans="1:1" ht="14.45" customHeight="1" x14ac:dyDescent="0.25">
      <c r="A100" t="s">
        <v>305</v>
      </c>
    </row>
    <row r="101" spans="1:1" ht="14.45" customHeight="1" x14ac:dyDescent="0.25">
      <c r="A101" t="s">
        <v>306</v>
      </c>
    </row>
    <row r="102" spans="1:1" ht="14.45" customHeight="1" x14ac:dyDescent="0.25">
      <c r="A102" t="s">
        <v>307</v>
      </c>
    </row>
    <row r="103" spans="1:1" ht="14.45" customHeight="1" x14ac:dyDescent="0.25">
      <c r="A103" t="s">
        <v>308</v>
      </c>
    </row>
    <row r="104" spans="1:1" ht="14.45" customHeight="1" x14ac:dyDescent="0.25">
      <c r="A104" t="s">
        <v>309</v>
      </c>
    </row>
    <row r="105" spans="1:1" ht="14.45" customHeight="1" x14ac:dyDescent="0.25">
      <c r="A105" t="s">
        <v>310</v>
      </c>
    </row>
    <row r="106" spans="1:1" ht="14.45" customHeight="1" x14ac:dyDescent="0.25">
      <c r="A106" t="s">
        <v>311</v>
      </c>
    </row>
    <row r="107" spans="1:1" ht="14.45" customHeight="1" x14ac:dyDescent="0.25">
      <c r="A107" t="s">
        <v>312</v>
      </c>
    </row>
    <row r="108" spans="1:1" ht="14.45" customHeight="1" x14ac:dyDescent="0.25">
      <c r="A108" t="s">
        <v>313</v>
      </c>
    </row>
    <row r="109" spans="1:1" ht="14.45" customHeight="1" x14ac:dyDescent="0.25">
      <c r="A109" t="s">
        <v>314</v>
      </c>
    </row>
    <row r="110" spans="1:1" ht="14.45" customHeight="1" x14ac:dyDescent="0.25">
      <c r="A110" t="s">
        <v>315</v>
      </c>
    </row>
    <row r="111" spans="1:1" ht="14.45" customHeight="1" x14ac:dyDescent="0.25">
      <c r="A111" t="s">
        <v>316</v>
      </c>
    </row>
    <row r="112" spans="1:1" ht="14.45" customHeight="1" x14ac:dyDescent="0.25">
      <c r="A112" t="s">
        <v>317</v>
      </c>
    </row>
    <row r="113" spans="1:1" ht="14.45" customHeight="1" x14ac:dyDescent="0.25">
      <c r="A113" t="s">
        <v>318</v>
      </c>
    </row>
    <row r="114" spans="1:1" ht="14.45" customHeight="1" x14ac:dyDescent="0.25">
      <c r="A114" t="s">
        <v>319</v>
      </c>
    </row>
    <row r="115" spans="1:1" ht="14.45" customHeight="1" x14ac:dyDescent="0.25">
      <c r="A115" t="s">
        <v>320</v>
      </c>
    </row>
    <row r="116" spans="1:1" ht="14.45" customHeight="1" x14ac:dyDescent="0.25">
      <c r="A116" t="s">
        <v>321</v>
      </c>
    </row>
    <row r="117" spans="1:1" ht="14.45" customHeight="1" x14ac:dyDescent="0.25">
      <c r="A117" t="s">
        <v>322</v>
      </c>
    </row>
    <row r="118" spans="1:1" ht="14.45" customHeight="1" x14ac:dyDescent="0.25">
      <c r="A118" t="s">
        <v>323</v>
      </c>
    </row>
    <row r="119" spans="1:1" ht="14.45" customHeight="1" x14ac:dyDescent="0.25">
      <c r="A119" t="s">
        <v>324</v>
      </c>
    </row>
    <row r="120" spans="1:1" ht="14.45" customHeight="1" x14ac:dyDescent="0.25">
      <c r="A120" t="s">
        <v>325</v>
      </c>
    </row>
    <row r="121" spans="1:1" ht="14.45" customHeight="1" x14ac:dyDescent="0.25">
      <c r="A121" t="s">
        <v>326</v>
      </c>
    </row>
    <row r="122" spans="1:1" ht="14.45" customHeight="1" x14ac:dyDescent="0.25">
      <c r="A122" t="s">
        <v>327</v>
      </c>
    </row>
    <row r="123" spans="1:1" ht="14.45" customHeight="1" x14ac:dyDescent="0.25">
      <c r="A123" t="s">
        <v>328</v>
      </c>
    </row>
    <row r="124" spans="1:1" ht="14.45" customHeight="1" x14ac:dyDescent="0.25">
      <c r="A124" t="s">
        <v>329</v>
      </c>
    </row>
    <row r="125" spans="1:1" ht="14.45" customHeight="1" x14ac:dyDescent="0.25">
      <c r="A125" t="s">
        <v>330</v>
      </c>
    </row>
    <row r="126" spans="1:1" ht="14.45" customHeight="1" x14ac:dyDescent="0.25">
      <c r="A126" t="s">
        <v>331</v>
      </c>
    </row>
    <row r="127" spans="1:1" ht="14.45" customHeight="1" x14ac:dyDescent="0.25">
      <c r="A127" t="s">
        <v>332</v>
      </c>
    </row>
    <row r="128" spans="1:1" ht="14.45" customHeight="1" x14ac:dyDescent="0.25">
      <c r="A128" t="s">
        <v>333</v>
      </c>
    </row>
    <row r="129" spans="1:1" ht="14.45" customHeight="1" x14ac:dyDescent="0.25">
      <c r="A129" t="s">
        <v>334</v>
      </c>
    </row>
    <row r="130" spans="1:1" ht="14.45" customHeight="1" x14ac:dyDescent="0.25">
      <c r="A130" t="s">
        <v>335</v>
      </c>
    </row>
    <row r="131" spans="1:1" ht="14.45" customHeight="1" x14ac:dyDescent="0.25">
      <c r="A131" t="s">
        <v>336</v>
      </c>
    </row>
    <row r="132" spans="1:1" ht="14.45" customHeight="1" x14ac:dyDescent="0.25">
      <c r="A132" t="s">
        <v>337</v>
      </c>
    </row>
    <row r="133" spans="1:1" ht="14.45" customHeight="1" x14ac:dyDescent="0.25">
      <c r="A133" t="s">
        <v>338</v>
      </c>
    </row>
    <row r="134" spans="1:1" ht="14.45" customHeight="1" x14ac:dyDescent="0.25">
      <c r="A134" t="s">
        <v>339</v>
      </c>
    </row>
    <row r="135" spans="1:1" ht="14.45" customHeight="1" x14ac:dyDescent="0.25">
      <c r="A135" t="s">
        <v>340</v>
      </c>
    </row>
    <row r="136" spans="1:1" ht="14.45" customHeight="1" x14ac:dyDescent="0.25">
      <c r="A136" t="s">
        <v>341</v>
      </c>
    </row>
    <row r="137" spans="1:1" ht="14.45" customHeight="1" x14ac:dyDescent="0.25">
      <c r="A137" t="s">
        <v>342</v>
      </c>
    </row>
    <row r="138" spans="1:1" ht="14.45" customHeight="1" x14ac:dyDescent="0.25">
      <c r="A138" t="s">
        <v>343</v>
      </c>
    </row>
    <row r="139" spans="1:1" ht="14.45" customHeight="1" x14ac:dyDescent="0.25">
      <c r="A139" t="s">
        <v>344</v>
      </c>
    </row>
    <row r="140" spans="1:1" ht="14.45" customHeight="1" x14ac:dyDescent="0.25">
      <c r="A140" t="s">
        <v>345</v>
      </c>
    </row>
    <row r="141" spans="1:1" ht="14.45" customHeight="1" x14ac:dyDescent="0.25">
      <c r="A141" t="s">
        <v>346</v>
      </c>
    </row>
    <row r="142" spans="1:1" ht="14.45" customHeight="1" x14ac:dyDescent="0.25">
      <c r="A142" t="s">
        <v>347</v>
      </c>
    </row>
    <row r="143" spans="1:1" ht="14.45" customHeight="1" x14ac:dyDescent="0.25">
      <c r="A143" t="s">
        <v>348</v>
      </c>
    </row>
    <row r="144" spans="1:1" ht="14.45" customHeight="1" x14ac:dyDescent="0.25">
      <c r="A144" t="s">
        <v>349</v>
      </c>
    </row>
    <row r="145" spans="1:1" ht="14.45" customHeight="1" x14ac:dyDescent="0.25">
      <c r="A145" t="s">
        <v>350</v>
      </c>
    </row>
    <row r="146" spans="1:1" ht="14.45" customHeight="1" x14ac:dyDescent="0.25">
      <c r="A146" t="s">
        <v>351</v>
      </c>
    </row>
    <row r="147" spans="1:1" ht="14.45" customHeight="1" x14ac:dyDescent="0.25">
      <c r="A147" t="s">
        <v>352</v>
      </c>
    </row>
    <row r="148" spans="1:1" ht="14.45" customHeight="1" x14ac:dyDescent="0.25">
      <c r="A148" t="s">
        <v>353</v>
      </c>
    </row>
    <row r="149" spans="1:1" ht="14.45" customHeight="1" x14ac:dyDescent="0.25">
      <c r="A149" t="s">
        <v>354</v>
      </c>
    </row>
    <row r="150" spans="1:1" ht="14.45" customHeight="1" x14ac:dyDescent="0.25">
      <c r="A150" t="s">
        <v>355</v>
      </c>
    </row>
    <row r="151" spans="1:1" ht="14.45" customHeight="1" x14ac:dyDescent="0.25">
      <c r="A151" t="s">
        <v>356</v>
      </c>
    </row>
    <row r="152" spans="1:1" ht="14.45" customHeight="1" x14ac:dyDescent="0.25">
      <c r="A152" t="s">
        <v>357</v>
      </c>
    </row>
    <row r="153" spans="1:1" ht="14.45" customHeight="1" x14ac:dyDescent="0.25">
      <c r="A153" t="s">
        <v>358</v>
      </c>
    </row>
    <row r="154" spans="1:1" ht="14.45" customHeight="1" x14ac:dyDescent="0.25">
      <c r="A154" t="s">
        <v>359</v>
      </c>
    </row>
    <row r="155" spans="1:1" ht="14.45" customHeight="1" x14ac:dyDescent="0.25">
      <c r="A155" t="s">
        <v>360</v>
      </c>
    </row>
    <row r="156" spans="1:1" ht="14.45" customHeight="1" x14ac:dyDescent="0.25">
      <c r="A156" t="s">
        <v>361</v>
      </c>
    </row>
    <row r="157" spans="1:1" ht="14.45" customHeight="1" x14ac:dyDescent="0.25">
      <c r="A157" t="s">
        <v>362</v>
      </c>
    </row>
    <row r="158" spans="1:1" ht="14.45" customHeight="1" x14ac:dyDescent="0.25">
      <c r="A158" t="s">
        <v>363</v>
      </c>
    </row>
    <row r="159" spans="1:1" ht="14.45" customHeight="1" x14ac:dyDescent="0.25">
      <c r="A159" t="s">
        <v>364</v>
      </c>
    </row>
    <row r="160" spans="1:1" ht="14.45" customHeight="1" x14ac:dyDescent="0.25">
      <c r="A160" t="s">
        <v>365</v>
      </c>
    </row>
    <row r="161" spans="1:1" ht="14.45" customHeight="1" x14ac:dyDescent="0.25">
      <c r="A161" t="s">
        <v>366</v>
      </c>
    </row>
    <row r="162" spans="1:1" ht="14.45" customHeight="1" x14ac:dyDescent="0.25">
      <c r="A162" t="s">
        <v>367</v>
      </c>
    </row>
    <row r="163" spans="1:1" ht="14.45" customHeight="1" x14ac:dyDescent="0.25">
      <c r="A163" t="s">
        <v>368</v>
      </c>
    </row>
    <row r="164" spans="1:1" ht="14.45" customHeight="1" x14ac:dyDescent="0.25">
      <c r="A164" t="s">
        <v>369</v>
      </c>
    </row>
    <row r="165" spans="1:1" ht="14.45" customHeight="1" x14ac:dyDescent="0.25">
      <c r="A165" t="s">
        <v>370</v>
      </c>
    </row>
    <row r="166" spans="1:1" ht="14.45" customHeight="1" x14ac:dyDescent="0.25">
      <c r="A166" t="s">
        <v>371</v>
      </c>
    </row>
    <row r="167" spans="1:1" ht="14.45" customHeight="1" x14ac:dyDescent="0.25">
      <c r="A167" t="s">
        <v>372</v>
      </c>
    </row>
    <row r="168" spans="1:1" ht="14.45" customHeight="1" x14ac:dyDescent="0.25">
      <c r="A168" t="s">
        <v>373</v>
      </c>
    </row>
    <row r="169" spans="1:1" ht="14.45" customHeight="1" x14ac:dyDescent="0.25">
      <c r="A169" t="s">
        <v>374</v>
      </c>
    </row>
    <row r="170" spans="1:1" ht="14.45" customHeight="1" x14ac:dyDescent="0.25">
      <c r="A170" t="s">
        <v>375</v>
      </c>
    </row>
    <row r="171" spans="1:1" ht="14.45" customHeight="1" x14ac:dyDescent="0.25">
      <c r="A171" t="s">
        <v>376</v>
      </c>
    </row>
    <row r="172" spans="1:1" ht="14.45" customHeight="1" x14ac:dyDescent="0.25">
      <c r="A172" t="s">
        <v>377</v>
      </c>
    </row>
    <row r="173" spans="1:1" ht="14.45" customHeight="1" x14ac:dyDescent="0.25">
      <c r="A173" t="s">
        <v>378</v>
      </c>
    </row>
    <row r="174" spans="1:1" ht="14.45" customHeight="1" x14ac:dyDescent="0.25">
      <c r="A174" t="s">
        <v>379</v>
      </c>
    </row>
    <row r="175" spans="1:1" ht="14.45" customHeight="1" x14ac:dyDescent="0.25">
      <c r="A175" t="s">
        <v>380</v>
      </c>
    </row>
    <row r="176" spans="1:1" ht="14.45" customHeight="1" x14ac:dyDescent="0.25">
      <c r="A176" t="s">
        <v>381</v>
      </c>
    </row>
    <row r="177" spans="1:1" ht="14.45" customHeight="1" x14ac:dyDescent="0.25">
      <c r="A177" t="s">
        <v>382</v>
      </c>
    </row>
    <row r="178" spans="1:1" ht="14.45" customHeight="1" x14ac:dyDescent="0.25">
      <c r="A178" t="s">
        <v>383</v>
      </c>
    </row>
    <row r="179" spans="1:1" ht="14.45" customHeight="1" x14ac:dyDescent="0.25">
      <c r="A179" t="s">
        <v>384</v>
      </c>
    </row>
    <row r="180" spans="1:1" ht="14.45" customHeight="1" x14ac:dyDescent="0.25">
      <c r="A180" t="s">
        <v>385</v>
      </c>
    </row>
    <row r="181" spans="1:1" ht="14.45" customHeight="1" x14ac:dyDescent="0.25">
      <c r="A181" t="s">
        <v>386</v>
      </c>
    </row>
    <row r="182" spans="1:1" ht="14.45" customHeight="1" x14ac:dyDescent="0.25">
      <c r="A182" t="s">
        <v>387</v>
      </c>
    </row>
    <row r="183" spans="1:1" ht="14.45" customHeight="1" x14ac:dyDescent="0.25">
      <c r="A183" t="s">
        <v>388</v>
      </c>
    </row>
    <row r="184" spans="1:1" ht="14.45" customHeight="1" x14ac:dyDescent="0.25">
      <c r="A184" t="s">
        <v>389</v>
      </c>
    </row>
    <row r="185" spans="1:1" ht="14.45" customHeight="1" x14ac:dyDescent="0.25">
      <c r="A185" t="s">
        <v>390</v>
      </c>
    </row>
    <row r="186" spans="1:1" ht="14.45" customHeight="1" x14ac:dyDescent="0.25">
      <c r="A186" t="s">
        <v>391</v>
      </c>
    </row>
    <row r="187" spans="1:1" ht="14.45" customHeight="1" x14ac:dyDescent="0.25">
      <c r="A187" t="s">
        <v>392</v>
      </c>
    </row>
    <row r="188" spans="1:1" ht="14.45" customHeight="1" x14ac:dyDescent="0.25">
      <c r="A188" t="s">
        <v>393</v>
      </c>
    </row>
    <row r="189" spans="1:1" ht="14.45" customHeight="1" x14ac:dyDescent="0.25">
      <c r="A189" t="s">
        <v>394</v>
      </c>
    </row>
    <row r="190" spans="1:1" ht="14.45" customHeight="1" x14ac:dyDescent="0.25">
      <c r="A190" t="s">
        <v>395</v>
      </c>
    </row>
    <row r="191" spans="1:1" ht="14.45" customHeight="1" x14ac:dyDescent="0.25">
      <c r="A191" t="s">
        <v>396</v>
      </c>
    </row>
    <row r="192" spans="1:1" ht="14.45" customHeight="1" x14ac:dyDescent="0.25">
      <c r="A192" t="s">
        <v>397</v>
      </c>
    </row>
    <row r="193" spans="1:1" ht="14.45" customHeight="1" x14ac:dyDescent="0.25">
      <c r="A193" t="s">
        <v>398</v>
      </c>
    </row>
    <row r="194" spans="1:1" ht="14.45" customHeight="1" x14ac:dyDescent="0.25">
      <c r="A194" t="s">
        <v>399</v>
      </c>
    </row>
    <row r="195" spans="1:1" ht="14.45" customHeight="1" x14ac:dyDescent="0.25">
      <c r="A195" t="s">
        <v>400</v>
      </c>
    </row>
    <row r="196" spans="1:1" ht="14.45" customHeight="1" x14ac:dyDescent="0.25">
      <c r="A196" t="s">
        <v>401</v>
      </c>
    </row>
    <row r="197" spans="1:1" ht="14.45" customHeight="1" x14ac:dyDescent="0.25">
      <c r="A197" t="s">
        <v>402</v>
      </c>
    </row>
    <row r="198" spans="1:1" ht="14.45" customHeight="1" x14ac:dyDescent="0.25">
      <c r="A198" t="s">
        <v>403</v>
      </c>
    </row>
    <row r="199" spans="1:1" ht="14.45" customHeight="1" x14ac:dyDescent="0.25">
      <c r="A199" t="s">
        <v>404</v>
      </c>
    </row>
    <row r="200" spans="1:1" ht="14.45" customHeight="1" x14ac:dyDescent="0.25">
      <c r="A200" t="s">
        <v>405</v>
      </c>
    </row>
    <row r="201" spans="1:1" ht="14.45" customHeight="1" x14ac:dyDescent="0.25">
      <c r="A201" t="s">
        <v>406</v>
      </c>
    </row>
    <row r="202" spans="1:1" ht="14.45" customHeight="1" x14ac:dyDescent="0.25">
      <c r="A202" t="s">
        <v>407</v>
      </c>
    </row>
    <row r="203" spans="1:1" ht="14.45" customHeight="1" x14ac:dyDescent="0.25">
      <c r="A203" t="s">
        <v>408</v>
      </c>
    </row>
    <row r="204" spans="1:1" ht="14.45" customHeight="1" x14ac:dyDescent="0.25">
      <c r="A204" t="s">
        <v>409</v>
      </c>
    </row>
    <row r="205" spans="1:1" ht="14.45" customHeight="1" x14ac:dyDescent="0.25">
      <c r="A205" t="s">
        <v>410</v>
      </c>
    </row>
    <row r="206" spans="1:1" ht="14.45" customHeight="1" x14ac:dyDescent="0.25">
      <c r="A206" t="s">
        <v>411</v>
      </c>
    </row>
    <row r="207" spans="1:1" ht="14.45" customHeight="1" x14ac:dyDescent="0.25">
      <c r="A207" t="s">
        <v>412</v>
      </c>
    </row>
    <row r="208" spans="1:1" ht="14.45" customHeight="1" x14ac:dyDescent="0.25">
      <c r="A208" t="s">
        <v>413</v>
      </c>
    </row>
    <row r="209" spans="1:1" ht="14.45" customHeight="1" x14ac:dyDescent="0.25">
      <c r="A209" t="s">
        <v>414</v>
      </c>
    </row>
    <row r="210" spans="1:1" ht="14.45" customHeight="1" x14ac:dyDescent="0.25">
      <c r="A210" t="s">
        <v>415</v>
      </c>
    </row>
    <row r="211" spans="1:1" ht="14.45" customHeight="1" x14ac:dyDescent="0.25">
      <c r="A211" t="s">
        <v>416</v>
      </c>
    </row>
    <row r="212" spans="1:1" ht="14.45" customHeight="1" x14ac:dyDescent="0.25">
      <c r="A212" t="s">
        <v>417</v>
      </c>
    </row>
    <row r="213" spans="1:1" ht="14.45" customHeight="1" x14ac:dyDescent="0.25">
      <c r="A213" t="s">
        <v>418</v>
      </c>
    </row>
    <row r="214" spans="1:1" ht="14.45" customHeight="1" x14ac:dyDescent="0.25">
      <c r="A214" t="s">
        <v>419</v>
      </c>
    </row>
    <row r="215" spans="1:1" ht="14.45" customHeight="1" x14ac:dyDescent="0.25">
      <c r="A215" t="s">
        <v>420</v>
      </c>
    </row>
    <row r="216" spans="1:1" ht="14.45" customHeight="1" x14ac:dyDescent="0.25">
      <c r="A216" t="s">
        <v>421</v>
      </c>
    </row>
    <row r="217" spans="1:1" ht="14.45" customHeight="1" x14ac:dyDescent="0.25">
      <c r="A217" t="s">
        <v>422</v>
      </c>
    </row>
    <row r="218" spans="1:1" ht="14.45" customHeight="1" x14ac:dyDescent="0.25">
      <c r="A218" t="s">
        <v>423</v>
      </c>
    </row>
    <row r="219" spans="1:1" ht="14.45" customHeight="1" x14ac:dyDescent="0.25">
      <c r="A219" t="s">
        <v>424</v>
      </c>
    </row>
    <row r="220" spans="1:1" ht="14.45" customHeight="1" x14ac:dyDescent="0.25">
      <c r="A220" t="s">
        <v>425</v>
      </c>
    </row>
    <row r="221" spans="1:1" ht="14.45" customHeight="1" x14ac:dyDescent="0.25">
      <c r="A221" t="s">
        <v>426</v>
      </c>
    </row>
    <row r="222" spans="1:1" ht="14.45" customHeight="1" x14ac:dyDescent="0.25">
      <c r="A222" t="s">
        <v>427</v>
      </c>
    </row>
    <row r="223" spans="1:1" ht="14.45" customHeight="1" x14ac:dyDescent="0.25">
      <c r="A223" t="s">
        <v>428</v>
      </c>
    </row>
    <row r="224" spans="1:1" ht="14.45" customHeight="1" x14ac:dyDescent="0.25">
      <c r="A224" t="s">
        <v>429</v>
      </c>
    </row>
    <row r="225" spans="1:1" ht="14.45" customHeight="1" x14ac:dyDescent="0.25">
      <c r="A225" t="s">
        <v>430</v>
      </c>
    </row>
    <row r="226" spans="1:1" ht="14.45" customHeight="1" x14ac:dyDescent="0.25">
      <c r="A226" t="s">
        <v>431</v>
      </c>
    </row>
    <row r="227" spans="1:1" ht="14.45" customHeight="1" x14ac:dyDescent="0.25">
      <c r="A227" t="s">
        <v>432</v>
      </c>
    </row>
    <row r="228" spans="1:1" ht="14.45" customHeight="1" x14ac:dyDescent="0.25">
      <c r="A228" t="s">
        <v>433</v>
      </c>
    </row>
    <row r="229" spans="1:1" ht="14.45" customHeight="1" x14ac:dyDescent="0.25">
      <c r="A229" t="s">
        <v>434</v>
      </c>
    </row>
    <row r="230" spans="1:1" ht="14.45" customHeight="1" x14ac:dyDescent="0.25">
      <c r="A230" t="s">
        <v>435</v>
      </c>
    </row>
    <row r="231" spans="1:1" ht="14.45" customHeight="1" x14ac:dyDescent="0.25">
      <c r="A231" t="s">
        <v>436</v>
      </c>
    </row>
    <row r="232" spans="1:1" ht="14.45" customHeight="1" x14ac:dyDescent="0.25">
      <c r="A232" t="s">
        <v>437</v>
      </c>
    </row>
    <row r="233" spans="1:1" ht="14.45" customHeight="1" x14ac:dyDescent="0.25">
      <c r="A233" t="s">
        <v>438</v>
      </c>
    </row>
    <row r="234" spans="1:1" ht="14.45" customHeight="1" x14ac:dyDescent="0.25">
      <c r="A234" t="s">
        <v>439</v>
      </c>
    </row>
    <row r="235" spans="1:1" ht="14.45" customHeight="1" x14ac:dyDescent="0.25">
      <c r="A235" t="s">
        <v>440</v>
      </c>
    </row>
    <row r="236" spans="1:1" ht="14.45" customHeight="1" x14ac:dyDescent="0.25">
      <c r="A236" t="s">
        <v>441</v>
      </c>
    </row>
    <row r="237" spans="1:1" ht="14.45" customHeight="1" x14ac:dyDescent="0.25">
      <c r="A237" t="s">
        <v>442</v>
      </c>
    </row>
    <row r="238" spans="1:1" ht="14.45" customHeight="1" x14ac:dyDescent="0.25">
      <c r="A238" t="s">
        <v>443</v>
      </c>
    </row>
    <row r="239" spans="1:1" ht="14.45" customHeight="1" x14ac:dyDescent="0.25">
      <c r="A239" t="s">
        <v>444</v>
      </c>
    </row>
    <row r="240" spans="1:1" ht="14.45" customHeight="1" x14ac:dyDescent="0.25">
      <c r="A240" t="s">
        <v>445</v>
      </c>
    </row>
    <row r="241" spans="1:1" ht="14.45" customHeight="1" x14ac:dyDescent="0.25">
      <c r="A241" t="s">
        <v>446</v>
      </c>
    </row>
    <row r="242" spans="1:1" ht="14.45" customHeight="1" x14ac:dyDescent="0.25">
      <c r="A242" t="s">
        <v>447</v>
      </c>
    </row>
    <row r="243" spans="1:1" ht="14.45" customHeight="1" x14ac:dyDescent="0.25">
      <c r="A243" t="s">
        <v>448</v>
      </c>
    </row>
    <row r="244" spans="1:1" ht="14.45" customHeight="1" x14ac:dyDescent="0.25">
      <c r="A244" t="s">
        <v>449</v>
      </c>
    </row>
    <row r="245" spans="1:1" ht="14.45" customHeight="1" x14ac:dyDescent="0.25">
      <c r="A245" t="s">
        <v>450</v>
      </c>
    </row>
    <row r="246" spans="1:1" ht="14.45" customHeight="1" x14ac:dyDescent="0.25">
      <c r="A246" t="s">
        <v>451</v>
      </c>
    </row>
    <row r="247" spans="1:1" ht="14.45" customHeight="1" x14ac:dyDescent="0.25">
      <c r="A247" t="s">
        <v>452</v>
      </c>
    </row>
    <row r="248" spans="1:1" ht="14.45" customHeight="1" x14ac:dyDescent="0.25">
      <c r="A248" t="s">
        <v>453</v>
      </c>
    </row>
    <row r="249" spans="1:1" ht="14.45" customHeight="1" x14ac:dyDescent="0.25">
      <c r="A249" t="s">
        <v>454</v>
      </c>
    </row>
    <row r="250" spans="1:1" ht="14.45" customHeight="1" x14ac:dyDescent="0.25">
      <c r="A250" t="s">
        <v>455</v>
      </c>
    </row>
    <row r="251" spans="1:1" ht="14.45" customHeight="1" x14ac:dyDescent="0.25">
      <c r="A251" t="s">
        <v>456</v>
      </c>
    </row>
    <row r="252" spans="1:1" ht="14.45" customHeight="1" x14ac:dyDescent="0.25">
      <c r="A252" t="s">
        <v>457</v>
      </c>
    </row>
    <row r="253" spans="1:1" ht="14.45" customHeight="1" x14ac:dyDescent="0.25">
      <c r="A253" t="s">
        <v>458</v>
      </c>
    </row>
    <row r="254" spans="1:1" ht="14.45" customHeight="1" x14ac:dyDescent="0.25">
      <c r="A254" t="s">
        <v>459</v>
      </c>
    </row>
    <row r="255" spans="1:1" ht="14.45" customHeight="1" x14ac:dyDescent="0.25">
      <c r="A255" t="s">
        <v>460</v>
      </c>
    </row>
    <row r="256" spans="1:1" ht="14.45" customHeight="1" x14ac:dyDescent="0.25">
      <c r="A256" t="s">
        <v>461</v>
      </c>
    </row>
    <row r="257" spans="1:1" ht="14.45" customHeight="1" x14ac:dyDescent="0.25">
      <c r="A257" t="s">
        <v>462</v>
      </c>
    </row>
    <row r="258" spans="1:1" ht="14.45" customHeight="1" x14ac:dyDescent="0.25">
      <c r="A258" t="s">
        <v>463</v>
      </c>
    </row>
    <row r="259" spans="1:1" ht="14.45" customHeight="1" x14ac:dyDescent="0.25">
      <c r="A259" t="s">
        <v>464</v>
      </c>
    </row>
    <row r="260" spans="1:1" ht="14.45" customHeight="1" x14ac:dyDescent="0.25">
      <c r="A260" t="s">
        <v>465</v>
      </c>
    </row>
    <row r="261" spans="1:1" ht="14.45" customHeight="1" x14ac:dyDescent="0.25">
      <c r="A261" t="s">
        <v>466</v>
      </c>
    </row>
    <row r="262" spans="1:1" ht="14.45" customHeight="1" x14ac:dyDescent="0.25">
      <c r="A262" t="s">
        <v>467</v>
      </c>
    </row>
    <row r="263" spans="1:1" ht="14.45" customHeight="1" x14ac:dyDescent="0.25">
      <c r="A263" t="s">
        <v>468</v>
      </c>
    </row>
    <row r="264" spans="1:1" ht="14.45" customHeight="1" x14ac:dyDescent="0.25">
      <c r="A264" t="s">
        <v>469</v>
      </c>
    </row>
    <row r="265" spans="1:1" ht="14.45" customHeight="1" x14ac:dyDescent="0.25">
      <c r="A265" t="s">
        <v>470</v>
      </c>
    </row>
    <row r="266" spans="1:1" ht="14.45" customHeight="1" x14ac:dyDescent="0.25">
      <c r="A266" t="s">
        <v>471</v>
      </c>
    </row>
    <row r="267" spans="1:1" ht="14.45" customHeight="1" x14ac:dyDescent="0.25">
      <c r="A267" t="s">
        <v>472</v>
      </c>
    </row>
    <row r="268" spans="1:1" ht="14.45" customHeight="1" x14ac:dyDescent="0.25">
      <c r="A268" t="s">
        <v>473</v>
      </c>
    </row>
    <row r="269" spans="1:1" ht="14.45" customHeight="1" x14ac:dyDescent="0.25">
      <c r="A269" t="s">
        <v>474</v>
      </c>
    </row>
    <row r="270" spans="1:1" ht="14.45" customHeight="1" x14ac:dyDescent="0.25">
      <c r="A270" t="s">
        <v>475</v>
      </c>
    </row>
    <row r="271" spans="1:1" ht="14.45" customHeight="1" x14ac:dyDescent="0.25">
      <c r="A271" t="s">
        <v>476</v>
      </c>
    </row>
    <row r="272" spans="1:1" ht="14.45" customHeight="1" x14ac:dyDescent="0.25">
      <c r="A272" t="s">
        <v>477</v>
      </c>
    </row>
    <row r="273" spans="1:1" ht="14.45" customHeight="1" x14ac:dyDescent="0.25">
      <c r="A273" t="s">
        <v>478</v>
      </c>
    </row>
    <row r="274" spans="1:1" ht="14.45" customHeight="1" x14ac:dyDescent="0.25">
      <c r="A274" t="s">
        <v>479</v>
      </c>
    </row>
    <row r="275" spans="1:1" ht="14.45" customHeight="1" x14ac:dyDescent="0.25">
      <c r="A275" t="s">
        <v>480</v>
      </c>
    </row>
    <row r="276" spans="1:1" ht="14.45" customHeight="1" x14ac:dyDescent="0.25">
      <c r="A276" t="s">
        <v>481</v>
      </c>
    </row>
    <row r="277" spans="1:1" ht="14.45" customHeight="1" x14ac:dyDescent="0.25">
      <c r="A277" t="s">
        <v>482</v>
      </c>
    </row>
    <row r="278" spans="1:1" ht="14.45" customHeight="1" x14ac:dyDescent="0.25">
      <c r="A278" t="s">
        <v>483</v>
      </c>
    </row>
    <row r="279" spans="1:1" ht="14.45" customHeight="1" x14ac:dyDescent="0.25">
      <c r="A279" t="s">
        <v>484</v>
      </c>
    </row>
    <row r="280" spans="1:1" ht="14.45" customHeight="1" x14ac:dyDescent="0.25">
      <c r="A280" t="s">
        <v>485</v>
      </c>
    </row>
    <row r="281" spans="1:1" ht="14.45" customHeight="1" x14ac:dyDescent="0.25">
      <c r="A281" t="s">
        <v>486</v>
      </c>
    </row>
    <row r="282" spans="1:1" ht="14.45" customHeight="1" x14ac:dyDescent="0.25">
      <c r="A282" t="s">
        <v>487</v>
      </c>
    </row>
    <row r="283" spans="1:1" ht="14.45" customHeight="1" x14ac:dyDescent="0.25">
      <c r="A283" t="s">
        <v>488</v>
      </c>
    </row>
    <row r="284" spans="1:1" ht="14.45" customHeight="1" x14ac:dyDescent="0.25">
      <c r="A284" t="s">
        <v>489</v>
      </c>
    </row>
    <row r="285" spans="1:1" ht="14.45" customHeight="1" x14ac:dyDescent="0.25">
      <c r="A285" t="s">
        <v>490</v>
      </c>
    </row>
    <row r="286" spans="1:1" ht="14.45" customHeight="1" x14ac:dyDescent="0.25">
      <c r="A286" t="s">
        <v>491</v>
      </c>
    </row>
    <row r="287" spans="1:1" ht="14.45" customHeight="1" x14ac:dyDescent="0.25">
      <c r="A287" t="s">
        <v>492</v>
      </c>
    </row>
    <row r="288" spans="1:1" ht="14.45" customHeight="1" x14ac:dyDescent="0.25">
      <c r="A288" t="s">
        <v>493</v>
      </c>
    </row>
    <row r="289" spans="1:1" ht="14.45" customHeight="1" x14ac:dyDescent="0.25">
      <c r="A289" t="s">
        <v>494</v>
      </c>
    </row>
    <row r="290" spans="1:1" ht="14.45" customHeight="1" x14ac:dyDescent="0.25">
      <c r="A290" t="s">
        <v>495</v>
      </c>
    </row>
    <row r="291" spans="1:1" ht="14.45" customHeight="1" x14ac:dyDescent="0.25">
      <c r="A291" t="s">
        <v>496</v>
      </c>
    </row>
    <row r="292" spans="1:1" ht="14.45" customHeight="1" x14ac:dyDescent="0.25">
      <c r="A292" t="s">
        <v>497</v>
      </c>
    </row>
    <row r="293" spans="1:1" ht="14.45" customHeight="1" x14ac:dyDescent="0.25">
      <c r="A293" t="s">
        <v>498</v>
      </c>
    </row>
    <row r="294" spans="1:1" ht="14.45" customHeight="1" x14ac:dyDescent="0.25">
      <c r="A294" t="s">
        <v>499</v>
      </c>
    </row>
    <row r="295" spans="1:1" ht="14.45" customHeight="1" x14ac:dyDescent="0.25">
      <c r="A295" t="s">
        <v>500</v>
      </c>
    </row>
    <row r="296" spans="1:1" ht="14.45" customHeight="1" x14ac:dyDescent="0.25">
      <c r="A296" t="s">
        <v>501</v>
      </c>
    </row>
    <row r="297" spans="1:1" ht="14.45" customHeight="1" x14ac:dyDescent="0.25">
      <c r="A297" t="s">
        <v>502</v>
      </c>
    </row>
    <row r="298" spans="1:1" ht="14.45" customHeight="1" x14ac:dyDescent="0.25">
      <c r="A298" t="s">
        <v>503</v>
      </c>
    </row>
    <row r="299" spans="1:1" ht="14.45" customHeight="1" x14ac:dyDescent="0.25">
      <c r="A299" t="s">
        <v>504</v>
      </c>
    </row>
    <row r="300" spans="1:1" ht="14.45" customHeight="1" x14ac:dyDescent="0.25">
      <c r="A300" t="s">
        <v>505</v>
      </c>
    </row>
    <row r="301" spans="1:1" ht="14.45" customHeight="1" x14ac:dyDescent="0.25">
      <c r="A301" t="s">
        <v>506</v>
      </c>
    </row>
    <row r="302" spans="1:1" ht="14.45" customHeight="1" x14ac:dyDescent="0.25">
      <c r="A302" t="s">
        <v>507</v>
      </c>
    </row>
    <row r="303" spans="1:1" ht="14.45" customHeight="1" x14ac:dyDescent="0.25">
      <c r="A303" t="s">
        <v>508</v>
      </c>
    </row>
    <row r="304" spans="1:1" ht="14.45" customHeight="1" x14ac:dyDescent="0.25">
      <c r="A304" t="s">
        <v>509</v>
      </c>
    </row>
    <row r="305" spans="1:1" ht="14.45" customHeight="1" x14ac:dyDescent="0.25">
      <c r="A305" t="s">
        <v>510</v>
      </c>
    </row>
    <row r="306" spans="1:1" ht="14.45" customHeight="1" x14ac:dyDescent="0.25">
      <c r="A306" t="s">
        <v>511</v>
      </c>
    </row>
    <row r="307" spans="1:1" ht="14.45" customHeight="1" x14ac:dyDescent="0.25">
      <c r="A307" t="s">
        <v>512</v>
      </c>
    </row>
    <row r="308" spans="1:1" ht="14.45" customHeight="1" x14ac:dyDescent="0.25">
      <c r="A308" t="s">
        <v>513</v>
      </c>
    </row>
    <row r="309" spans="1:1" ht="14.45" customHeight="1" x14ac:dyDescent="0.25">
      <c r="A309" t="s">
        <v>514</v>
      </c>
    </row>
    <row r="310" spans="1:1" ht="14.45" customHeight="1" x14ac:dyDescent="0.25">
      <c r="A310" t="s">
        <v>515</v>
      </c>
    </row>
    <row r="311" spans="1:1" ht="14.45" customHeight="1" x14ac:dyDescent="0.25">
      <c r="A311" t="s">
        <v>516</v>
      </c>
    </row>
    <row r="312" spans="1:1" ht="14.45" customHeight="1" x14ac:dyDescent="0.25">
      <c r="A312" t="s">
        <v>517</v>
      </c>
    </row>
    <row r="313" spans="1:1" ht="14.45" customHeight="1" x14ac:dyDescent="0.25">
      <c r="A313" t="s">
        <v>518</v>
      </c>
    </row>
    <row r="314" spans="1:1" ht="14.45" customHeight="1" x14ac:dyDescent="0.25">
      <c r="A314" t="s">
        <v>519</v>
      </c>
    </row>
    <row r="315" spans="1:1" ht="14.45" customHeight="1" x14ac:dyDescent="0.25">
      <c r="A315" t="s">
        <v>520</v>
      </c>
    </row>
    <row r="316" spans="1:1" ht="14.45" customHeight="1" x14ac:dyDescent="0.25">
      <c r="A316" t="s">
        <v>521</v>
      </c>
    </row>
    <row r="317" spans="1:1" ht="14.45" customHeight="1" x14ac:dyDescent="0.25">
      <c r="A317" t="s">
        <v>522</v>
      </c>
    </row>
    <row r="318" spans="1:1" ht="14.45" customHeight="1" x14ac:dyDescent="0.25">
      <c r="A318" t="s">
        <v>523</v>
      </c>
    </row>
    <row r="319" spans="1:1" ht="14.45" customHeight="1" x14ac:dyDescent="0.25">
      <c r="A319" t="s">
        <v>524</v>
      </c>
    </row>
    <row r="320" spans="1:1" ht="14.45" customHeight="1" x14ac:dyDescent="0.25">
      <c r="A320" t="s">
        <v>525</v>
      </c>
    </row>
    <row r="321" spans="1:1" ht="14.45" customHeight="1" x14ac:dyDescent="0.25">
      <c r="A321" t="s">
        <v>526</v>
      </c>
    </row>
    <row r="322" spans="1:1" ht="14.45" customHeight="1" x14ac:dyDescent="0.25">
      <c r="A322" t="s">
        <v>527</v>
      </c>
    </row>
    <row r="323" spans="1:1" ht="14.45" customHeight="1" x14ac:dyDescent="0.25">
      <c r="A323" t="s">
        <v>528</v>
      </c>
    </row>
    <row r="324" spans="1:1" ht="14.45" customHeight="1" x14ac:dyDescent="0.25">
      <c r="A324" t="s">
        <v>529</v>
      </c>
    </row>
    <row r="325" spans="1:1" ht="14.45" customHeight="1" x14ac:dyDescent="0.25">
      <c r="A325" t="s">
        <v>530</v>
      </c>
    </row>
    <row r="326" spans="1:1" ht="14.45" customHeight="1" x14ac:dyDescent="0.25">
      <c r="A326" t="s">
        <v>531</v>
      </c>
    </row>
    <row r="327" spans="1:1" ht="14.45" customHeight="1" x14ac:dyDescent="0.25">
      <c r="A327" t="s">
        <v>532</v>
      </c>
    </row>
    <row r="328" spans="1:1" ht="14.45" customHeight="1" x14ac:dyDescent="0.25">
      <c r="A328" t="s">
        <v>533</v>
      </c>
    </row>
    <row r="329" spans="1:1" ht="14.45" customHeight="1" x14ac:dyDescent="0.25">
      <c r="A329" t="s">
        <v>534</v>
      </c>
    </row>
    <row r="330" spans="1:1" ht="14.45" customHeight="1" x14ac:dyDescent="0.25">
      <c r="A330" t="s">
        <v>535</v>
      </c>
    </row>
    <row r="331" spans="1:1" ht="14.45" customHeight="1" x14ac:dyDescent="0.25">
      <c r="A331" t="s">
        <v>536</v>
      </c>
    </row>
    <row r="332" spans="1:1" ht="14.45" customHeight="1" x14ac:dyDescent="0.25">
      <c r="A332" t="s">
        <v>537</v>
      </c>
    </row>
    <row r="333" spans="1:1" ht="14.45" customHeight="1" x14ac:dyDescent="0.25">
      <c r="A333" t="s">
        <v>538</v>
      </c>
    </row>
    <row r="334" spans="1:1" ht="14.45" customHeight="1" x14ac:dyDescent="0.25">
      <c r="A334" t="s">
        <v>539</v>
      </c>
    </row>
    <row r="335" spans="1:1" ht="14.45" customHeight="1" x14ac:dyDescent="0.25">
      <c r="A335" t="s">
        <v>540</v>
      </c>
    </row>
    <row r="336" spans="1:1" ht="14.45" customHeight="1" x14ac:dyDescent="0.25">
      <c r="A336" t="s">
        <v>541</v>
      </c>
    </row>
    <row r="337" spans="1:1" ht="14.45" customHeight="1" x14ac:dyDescent="0.25">
      <c r="A337" t="s">
        <v>542</v>
      </c>
    </row>
    <row r="338" spans="1:1" ht="14.45" customHeight="1" x14ac:dyDescent="0.25">
      <c r="A338" t="s">
        <v>543</v>
      </c>
    </row>
    <row r="339" spans="1:1" ht="14.45" customHeight="1" x14ac:dyDescent="0.25">
      <c r="A339" t="s">
        <v>544</v>
      </c>
    </row>
    <row r="340" spans="1:1" ht="14.45" customHeight="1" x14ac:dyDescent="0.25">
      <c r="A340" t="s">
        <v>545</v>
      </c>
    </row>
    <row r="341" spans="1:1" ht="14.45" customHeight="1" x14ac:dyDescent="0.25">
      <c r="A341" t="s">
        <v>546</v>
      </c>
    </row>
    <row r="342" spans="1:1" ht="14.45" customHeight="1" x14ac:dyDescent="0.25">
      <c r="A342" t="s">
        <v>547</v>
      </c>
    </row>
    <row r="343" spans="1:1" ht="14.45" customHeight="1" x14ac:dyDescent="0.25">
      <c r="A343" t="s">
        <v>548</v>
      </c>
    </row>
    <row r="344" spans="1:1" ht="14.45" customHeight="1" x14ac:dyDescent="0.25">
      <c r="A344" t="s">
        <v>549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56</vt:i4>
      </vt:variant>
    </vt:vector>
  </HeadingPairs>
  <TitlesOfParts>
    <vt:vector size="58" baseType="lpstr">
      <vt:lpstr>data entry</vt:lpstr>
      <vt:lpstr>{PL}PickLst</vt:lpstr>
      <vt:lpstr>db_name</vt:lpstr>
      <vt:lpstr>Freeze_here</vt:lpstr>
      <vt:lpstr>psAcc</vt:lpstr>
      <vt:lpstr>psByPass</vt:lpstr>
      <vt:lpstr>psCFFlag</vt:lpstr>
      <vt:lpstr>psFavID</vt:lpstr>
      <vt:lpstr>psHLYear</vt:lpstr>
      <vt:lpstr>psID</vt:lpstr>
      <vt:lpstr>psItem</vt:lpstr>
      <vt:lpstr>psJur</vt:lpstr>
      <vt:lpstr>psMA</vt:lpstr>
      <vt:lpstr>psRE</vt:lpstr>
      <vt:lpstr>psScenario</vt:lpstr>
      <vt:lpstr>psSPP</vt:lpstr>
      <vt:lpstr>psUser</vt:lpstr>
      <vt:lpstr>TM1AdjIDListCAP</vt:lpstr>
      <vt:lpstr>TM1AdjIDListWB</vt:lpstr>
      <vt:lpstr>TM1AdjIDListWS</vt:lpstr>
      <vt:lpstr>TM1EditAdj01CAP</vt:lpstr>
      <vt:lpstr>TM1EditAdj01WB</vt:lpstr>
      <vt:lpstr>TM1EditAdj01WS</vt:lpstr>
      <vt:lpstr>TM1HomeAECAP</vt:lpstr>
      <vt:lpstr>TM1HomeAEDataEntryCAP</vt:lpstr>
      <vt:lpstr>TM1HomeAEDataEntryWB</vt:lpstr>
      <vt:lpstr>TM1HomeAEDataEntryWS</vt:lpstr>
      <vt:lpstr>TM1HomeAEWB</vt:lpstr>
      <vt:lpstr>TM1HomeAEWS</vt:lpstr>
      <vt:lpstr>TM1HomeCAP</vt:lpstr>
      <vt:lpstr>TM1HomeWB</vt:lpstr>
      <vt:lpstr>TM1HomeWS</vt:lpstr>
      <vt:lpstr>TM1NewAdj02DataEntryCAP</vt:lpstr>
      <vt:lpstr>TM1NewAdj02DataEntryWB</vt:lpstr>
      <vt:lpstr>TM1NewAdj02DataEntryWS</vt:lpstr>
      <vt:lpstr>TM1NewAdj03AuthCAP</vt:lpstr>
      <vt:lpstr>TM1NewAdj03AuthWB</vt:lpstr>
      <vt:lpstr>TM1NewAdj03AuthWS</vt:lpstr>
      <vt:lpstr>TM1NewAdj04CopyCAP</vt:lpstr>
      <vt:lpstr>TM1NewAdj04CopyWB</vt:lpstr>
      <vt:lpstr>TM1NewAdj04CopyWS</vt:lpstr>
      <vt:lpstr>TM1NewAdj96ExtractCAP</vt:lpstr>
      <vt:lpstr>TM1NewAdj96ExtractWB</vt:lpstr>
      <vt:lpstr>TM1NewAdj96ExtractWS</vt:lpstr>
      <vt:lpstr>TM1NewAdj98AttachCAP</vt:lpstr>
      <vt:lpstr>TM1NewAdj98AttachWB</vt:lpstr>
      <vt:lpstr>TM1NewAdj98AttachWS</vt:lpstr>
      <vt:lpstr>TM1NewAdj99ValidCAP</vt:lpstr>
      <vt:lpstr>TM1NewAdj99ValidWB</vt:lpstr>
      <vt:lpstr>TM1NewAdj99ValidWS</vt:lpstr>
      <vt:lpstr>'data entry'!TM1RPTDATARNG1</vt:lpstr>
      <vt:lpstr>'data entry'!TM1RPTDATARNGARPT1</vt:lpstr>
      <vt:lpstr>'data entry'!TM1RPTDATARNGARPT2</vt:lpstr>
      <vt:lpstr>'data entry'!TM1RPTFMTIDCOL</vt:lpstr>
      <vt:lpstr>'data entry'!TM1RPTFMTRNG</vt:lpstr>
      <vt:lpstr>TM1ViewAdj01HeaderCAP</vt:lpstr>
      <vt:lpstr>TM1ViewAdj01HeaderWB</vt:lpstr>
      <vt:lpstr>TM1ViewAdj01HeaderWS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He, Kevin</dc:creator>
  <cp:keywords/>
  <dc:description/>
  <cp:lastModifiedBy>modeler1</cp:lastModifiedBy>
  <dcterms:created xsi:type="dcterms:W3CDTF">2022-09-08T03:38:22Z</dcterms:created>
  <dcterms:modified xsi:type="dcterms:W3CDTF">2023-09-27T02:25:59Z</dcterms:modified>
  <cp:category/>
</cp:coreProperties>
</file>