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0DFDAA89-2C61-4A19-A8DB-A6433401D547}" xr6:coauthVersionLast="47" xr6:coauthVersionMax="47" xr10:uidLastSave="{00000000-0000-0000-0000-000000000000}"/>
  <bookViews>
    <workbookView xWindow="29580" yWindow="780" windowWidth="21600" windowHeight="11385" xr2:uid="{E3558D82-7C80-4BA2-B706-747F07A5257C}"/>
  </bookViews>
  <sheets>
    <sheet name="report" sheetId="1" r:id="rId1"/>
  </sheets>
  <definedNames>
    <definedName name="Account_Disp_List">report!$C$37:$C$38</definedName>
    <definedName name="db_name">report!$C$12</definedName>
    <definedName name="Freeze_Rows_HERE">report!$B$83</definedName>
    <definedName name="HLYear_Period_List">report!$N$20:$S$20</definedName>
    <definedName name="_xlnm.Print_Area" localSheetId="0">report!$J$81:$V$84</definedName>
    <definedName name="psApp">report!$C$27</definedName>
    <definedName name="psProgDimName">report!$C$23</definedName>
    <definedName name="psUser">report!$C$17</definedName>
    <definedName name="sys_YN_list">report!$C$35:$C$36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REBUILDOPTION">0</definedName>
    <definedName name="TM1RPTDATARNG1" localSheetId="0">report!$84:$84</definedName>
    <definedName name="TM1RPTFMTIDCOL" localSheetId="0">report!$A$1:$A$8</definedName>
    <definedName name="TM1RPTFMTRNG" localSheetId="0">report!$J$1:$V$8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H33" i="1"/>
  <c r="G33" i="1"/>
  <c r="F33" i="1"/>
  <c r="E33" i="1"/>
  <c r="D33" i="1"/>
  <c r="C33" i="1"/>
  <c r="U79" i="1"/>
  <c r="C20" i="1"/>
  <c r="C21" i="1"/>
  <c r="K76" i="1"/>
  <c r="O19" i="1"/>
  <c r="Q20" i="1"/>
  <c r="K78" i="1"/>
  <c r="C44" i="1"/>
  <c r="C23" i="1"/>
  <c r="P77" i="1"/>
  <c r="C66" i="1"/>
  <c r="C41" i="1"/>
  <c r="C22" i="1"/>
  <c r="K77" i="1"/>
  <c r="C47" i="1"/>
  <c r="C48" i="1"/>
  <c r="C49" i="1"/>
  <c r="C50" i="1"/>
  <c r="C51" i="1"/>
  <c r="C52" i="1"/>
  <c r="C53" i="1"/>
  <c r="C54" i="1"/>
  <c r="C55" i="1"/>
  <c r="K79" i="1"/>
  <c r="V44" i="1"/>
  <c r="C57" i="1"/>
  <c r="C58" i="1"/>
  <c r="U44" i="1"/>
  <c r="T44" i="1"/>
  <c r="S44" i="1"/>
  <c r="R44" i="1"/>
  <c r="Q44" i="1"/>
  <c r="P44" i="1"/>
  <c r="O44" i="1"/>
  <c r="N44" i="1"/>
  <c r="P76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C65" i="1"/>
  <c r="J84" i="1"/>
  <c r="G84" i="1"/>
  <c r="M84" i="1"/>
  <c r="C13" i="1"/>
  <c r="C14" i="1"/>
  <c r="C15" i="1"/>
  <c r="C17" i="1"/>
  <c r="C16" i="1"/>
  <c r="V81" i="1"/>
  <c r="U81" i="1"/>
  <c r="T81" i="1"/>
  <c r="S81" i="1"/>
  <c r="R81" i="1"/>
  <c r="Q81" i="1"/>
  <c r="P81" i="1"/>
  <c r="O81" i="1"/>
  <c r="N81" i="1"/>
  <c r="Q19" i="1"/>
  <c r="N20" i="1"/>
  <c r="O20" i="1"/>
  <c r="P20" i="1"/>
  <c r="S19" i="1"/>
  <c r="J81" i="1"/>
  <c r="R20" i="1"/>
  <c r="S20" i="1"/>
  <c r="M82" i="1"/>
  <c r="U84" i="1"/>
  <c r="T84" i="1"/>
  <c r="V84" i="1"/>
  <c r="R84" i="1"/>
  <c r="Q84" i="1"/>
  <c r="S84" i="1"/>
  <c r="O84" i="1"/>
  <c r="N84" i="1"/>
  <c r="P84" i="1"/>
  <c r="A84" i="1"/>
  <c r="A5" i="1"/>
  <c r="A4" i="1"/>
  <c r="A3" i="1"/>
  <c r="A2" i="1"/>
</calcChain>
</file>

<file path=xl/sharedStrings.xml><?xml version="1.0" encoding="utf-8"?>
<sst xmlns="http://schemas.openxmlformats.org/spreadsheetml/2006/main" count="108" uniqueCount="94">
  <si>
    <t>headline year</t>
  </si>
  <si>
    <t>scenario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</si>
  <si>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</si>
  <si>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</si>
  <si>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</si>
  <si>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</si>
  <si>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</si>
  <si>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</si>
  <si>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</si>
  <si>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</si>
  <si>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appropriation item</t>
  </si>
  <si>
    <t>programme</t>
  </si>
  <si>
    <t>id</t>
  </si>
  <si>
    <t>jurisdiction</t>
  </si>
  <si>
    <t>period</t>
  </si>
  <si>
    <t>D</t>
  </si>
  <si>
    <t>N</t>
  </si>
  <si>
    <t>[Begin Format Range]</t>
  </si>
  <si>
    <t>[End Format Range]</t>
  </si>
  <si>
    <t>DR/CR</t>
  </si>
  <si>
    <t>System Parameters</t>
  </si>
  <si>
    <t>Dataabase Name</t>
  </si>
  <si>
    <t xml:space="preserve">System Variables </t>
  </si>
  <si>
    <t>headline scenario</t>
  </si>
  <si>
    <t>Period Variables</t>
  </si>
  <si>
    <t>Report Variables</t>
  </si>
  <si>
    <t>Active Form Views</t>
  </si>
  <si>
    <t>DR/CR Slice View</t>
  </si>
  <si>
    <t>Report MDX</t>
  </si>
  <si>
    <t>IS Account MDX</t>
  </si>
  <si>
    <t>BS Account MDX</t>
  </si>
  <si>
    <t>CFS Account MDX</t>
  </si>
  <si>
    <t>$'000</t>
  </si>
  <si>
    <t>Freeze Rows HERE</t>
  </si>
  <si>
    <t>DBRW Column Labels</t>
  </si>
  <si>
    <t>Section</t>
  </si>
  <si>
    <t>See report parameters</t>
  </si>
  <si>
    <t>RB</t>
  </si>
  <si>
    <t>NB</t>
  </si>
  <si>
    <t>FE1</t>
  </si>
  <si>
    <t>FE2</t>
  </si>
  <si>
    <t>FE3</t>
  </si>
  <si>
    <t>PA</t>
  </si>
  <si>
    <t>Budget period</t>
  </si>
  <si>
    <t>Index</t>
  </si>
  <si>
    <t>GEUS Period</t>
  </si>
  <si>
    <t>HLYear:</t>
  </si>
  <si>
    <t>Budget Year:</t>
  </si>
  <si>
    <t>Fin Year:</t>
  </si>
  <si>
    <t>Yes</t>
  </si>
  <si>
    <t>No</t>
  </si>
  <si>
    <t>sys_YN_list</t>
  </si>
  <si>
    <t>Suppress Zero</t>
  </si>
  <si>
    <t>Code and description</t>
  </si>
  <si>
    <t>Description</t>
  </si>
  <si>
    <t>Expand Above Flag</t>
  </si>
  <si>
    <t xml:space="preserve">Account Display:  </t>
  </si>
  <si>
    <t>4100001</t>
  </si>
  <si>
    <t>4100002</t>
  </si>
  <si>
    <t>4100000</t>
  </si>
  <si>
    <t>Account_Disp_List</t>
  </si>
  <si>
    <t>}Clients</t>
  </si>
  <si>
    <t>TM1 User</t>
  </si>
  <si>
    <t>}TM1_DefaultDisplayValue</t>
  </si>
  <si>
    <t>GEUS User Name</t>
  </si>
  <si>
    <t>Current User</t>
  </si>
  <si>
    <t>VIEW</t>
  </si>
  <si>
    <t>program dimension name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</si>
  <si>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</si>
  <si>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</si>
  <si>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</si>
  <si>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</si>
  <si>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</si>
  <si>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</si>
  <si>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</si>
  <si>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</si>
  <si>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</si>
  <si>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</si>
  <si>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</si>
  <si>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</si>
  <si>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</si>
  <si>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Reports - Equity Movement Table</t>
  </si>
  <si>
    <t>Equity Movement Table Report</t>
  </si>
  <si>
    <t>REPORT PARAMETERS</t>
  </si>
  <si>
    <t>DISPLAY SETTINGS</t>
  </si>
  <si>
    <t>Expand Above:</t>
  </si>
  <si>
    <t>Suppress Zero:</t>
  </si>
  <si>
    <t>Program :</t>
  </si>
  <si>
    <t>Financial Year :</t>
  </si>
  <si>
    <t>Scenario :</t>
  </si>
  <si>
    <t>Headline Year :</t>
  </si>
  <si>
    <t>As at</t>
  </si>
  <si>
    <t>Homepage - Reports - Analytical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</si>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</sst>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[Red]* \(#,##0\)_-;_-* &quot;-&quot;??_-;_-@_-"/>
    <numFmt numFmtId="166" formatCode="dd\ mmmm\ yyyy\ h:mm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18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theme="0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0" fontId="4" fillId="0" borderId="0"/>
    <xf numFmtId="164" fontId="4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165" fontId="9" fillId="3" borderId="10" xfId="3" applyNumberFormat="1" applyFont="1" applyFill="1" applyBorder="1"/>
    <xf numFmtId="165" fontId="9" fillId="3" borderId="11" xfId="3" applyNumberFormat="1" applyFont="1" applyFill="1" applyBorder="1"/>
    <xf numFmtId="165" fontId="9" fillId="3" borderId="12" xfId="3" applyNumberFormat="1" applyFont="1" applyFill="1" applyBorder="1"/>
    <xf numFmtId="165" fontId="9" fillId="3" borderId="13" xfId="3" applyNumberFormat="1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0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11" fillId="5" borderId="0" xfId="0" quotePrefix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0" xfId="0" quotePrefix="1" applyFont="1" applyFill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12" fillId="0" borderId="0" xfId="2" applyFont="1" applyAlignment="1">
      <alignment horizontal="center" wrapText="1"/>
    </xf>
    <xf numFmtId="0" fontId="0" fillId="0" borderId="0" xfId="0" applyAlignment="1">
      <alignment horizontal="left"/>
    </xf>
    <xf numFmtId="0" fontId="6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165" fontId="9" fillId="0" borderId="12" xfId="3" applyNumberFormat="1" applyFont="1" applyFill="1" applyBorder="1"/>
    <xf numFmtId="165" fontId="9" fillId="0" borderId="13" xfId="3" applyNumberFormat="1" applyFont="1" applyFill="1" applyBorder="1"/>
    <xf numFmtId="0" fontId="9" fillId="3" borderId="25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14" fillId="0" borderId="1" xfId="2" applyFont="1" applyBorder="1" applyAlignment="1">
      <alignment horizontal="right" indent="1"/>
    </xf>
    <xf numFmtId="0" fontId="15" fillId="0" borderId="1" xfId="0" applyFont="1" applyBorder="1"/>
    <xf numFmtId="0" fontId="7" fillId="6" borderId="0" xfId="0" applyFont="1" applyFill="1" applyAlignment="1">
      <alignment vertical="center" wrapText="1"/>
    </xf>
    <xf numFmtId="0" fontId="8" fillId="6" borderId="0" xfId="0" applyFont="1" applyFill="1" applyAlignment="1">
      <alignment horizontal="right" vertical="center"/>
    </xf>
    <xf numFmtId="0" fontId="0" fillId="0" borderId="0" xfId="0" applyProtection="1">
      <protection locked="0"/>
    </xf>
    <xf numFmtId="0" fontId="2" fillId="0" borderId="0" xfId="0" applyFont="1" applyAlignment="1">
      <alignment horizontal="right" inden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65" fontId="9" fillId="2" borderId="11" xfId="3" applyNumberFormat="1" applyFont="1" applyFill="1" applyBorder="1"/>
    <xf numFmtId="165" fontId="9" fillId="2" borderId="13" xfId="3" applyNumberFormat="1" applyFont="1" applyFill="1" applyBorder="1"/>
    <xf numFmtId="0" fontId="2" fillId="0" borderId="0" xfId="0" applyFont="1" applyAlignment="1">
      <alignment horizontal="right"/>
    </xf>
    <xf numFmtId="0" fontId="1" fillId="6" borderId="14" xfId="0" applyFont="1" applyFill="1" applyBorder="1" applyAlignment="1">
      <alignment wrapText="1"/>
    </xf>
    <xf numFmtId="0" fontId="1" fillId="6" borderId="9" xfId="0" applyFont="1" applyFill="1" applyBorder="1" applyAlignment="1">
      <alignment horizontal="center" vertical="top" wrapText="1"/>
    </xf>
    <xf numFmtId="0" fontId="1" fillId="6" borderId="15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 wrapText="1"/>
    </xf>
    <xf numFmtId="49" fontId="3" fillId="0" borderId="24" xfId="0" applyNumberFormat="1" applyFont="1" applyBorder="1" applyAlignment="1">
      <alignment horizontal="left" wrapText="1" indent="3"/>
    </xf>
    <xf numFmtId="49" fontId="3" fillId="0" borderId="8" xfId="0" applyNumberFormat="1" applyFont="1" applyBorder="1" applyAlignment="1">
      <alignment horizontal="left" wrapText="1" indent="3"/>
    </xf>
    <xf numFmtId="0" fontId="9" fillId="3" borderId="23" xfId="0" applyFont="1" applyFill="1" applyBorder="1" applyAlignment="1">
      <alignment horizontal="left" vertical="top" wrapText="1"/>
    </xf>
    <xf numFmtId="0" fontId="9" fillId="3" borderId="16" xfId="0" applyFont="1" applyFill="1" applyBorder="1" applyAlignment="1">
      <alignment horizontal="left" vertical="top" wrapText="1"/>
    </xf>
    <xf numFmtId="0" fontId="9" fillId="3" borderId="24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9" fillId="3" borderId="24" xfId="0" applyFont="1" applyFill="1" applyBorder="1" applyAlignment="1">
      <alignment horizontal="left" wrapText="1"/>
    </xf>
    <xf numFmtId="0" fontId="9" fillId="3" borderId="8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7" fillId="6" borderId="20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left" vertical="top" wrapText="1"/>
    </xf>
    <xf numFmtId="0" fontId="7" fillId="6" borderId="21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10" fillId="0" borderId="1" xfId="0" applyFont="1" applyBorder="1" applyAlignment="1" applyProtection="1">
      <alignment horizontal="left" vertical="center" indent="1"/>
      <protection locked="0"/>
    </xf>
    <xf numFmtId="0" fontId="3" fillId="0" borderId="24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1" fillId="7" borderId="27" xfId="0" applyFont="1" applyFill="1" applyBorder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166" fontId="2" fillId="0" borderId="0" xfId="0" applyNumberFormat="1" applyFont="1" applyAlignment="1">
      <alignment horizontal="left" inden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</cellXfs>
  <cellStyles count="4">
    <cellStyle name="Comma 4" xfId="3" xr:uid="{3FD6C383-FCF9-407F-AA62-81C7E8584AB8}"/>
    <cellStyle name="Normal" xfId="0" builtinId="0"/>
    <cellStyle name="Normal 2" xfId="1" xr:uid="{5A95E1A0-DBDF-4740-A441-BA8FBC3464BD}"/>
    <cellStyle name="Normal 3" xfId="2" xr:uid="{99A5B00F-BEA8-49AE-AE2E-F075D2CD343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004274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733425</xdr:colOff>
          <xdr:row>70</xdr:row>
          <xdr:rowOff>38100</xdr:rowOff>
        </xdr:from>
        <xdr:to>
          <xdr:col>22</xdr:col>
          <xdr:colOff>0</xdr:colOff>
          <xdr:row>71</xdr:row>
          <xdr:rowOff>295275</xdr:rowOff>
        </xdr:to>
        <xdr:sp macro="" textlink="">
          <xdr:nvSpPr>
            <xdr:cNvPr id="2054" name="TIButton4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71</xdr:row>
          <xdr:rowOff>0</xdr:rowOff>
        </xdr:from>
        <xdr:to>
          <xdr:col>9</xdr:col>
          <xdr:colOff>666750</xdr:colOff>
          <xdr:row>71</xdr:row>
          <xdr:rowOff>247650</xdr:rowOff>
        </xdr:to>
        <xdr:sp macro="" textlink="">
          <xdr:nvSpPr>
            <xdr:cNvPr id="2056" name="TIButton2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600075</xdr:colOff>
          <xdr:row>71</xdr:row>
          <xdr:rowOff>0</xdr:rowOff>
        </xdr:from>
        <xdr:to>
          <xdr:col>14</xdr:col>
          <xdr:colOff>333375</xdr:colOff>
          <xdr:row>71</xdr:row>
          <xdr:rowOff>247650</xdr:rowOff>
        </xdr:to>
        <xdr:sp macro="" textlink="">
          <xdr:nvSpPr>
            <xdr:cNvPr id="2057" name="TIButton3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71</xdr:row>
          <xdr:rowOff>0</xdr:rowOff>
        </xdr:from>
        <xdr:to>
          <xdr:col>10</xdr:col>
          <xdr:colOff>581025</xdr:colOff>
          <xdr:row>71</xdr:row>
          <xdr:rowOff>247650</xdr:rowOff>
        </xdr:to>
        <xdr:sp macro="" textlink="">
          <xdr:nvSpPr>
            <xdr:cNvPr id="2058" name="TIButton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609600</xdr:colOff>
          <xdr:row>71</xdr:row>
          <xdr:rowOff>0</xdr:rowOff>
        </xdr:from>
        <xdr:to>
          <xdr:col>11</xdr:col>
          <xdr:colOff>714375</xdr:colOff>
          <xdr:row>71</xdr:row>
          <xdr:rowOff>247650</xdr:rowOff>
        </xdr:to>
        <xdr:sp macro="" textlink="">
          <xdr:nvSpPr>
            <xdr:cNvPr id="2059" name="TIButton5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28575</xdr:colOff>
      <xdr:row>69</xdr:row>
      <xdr:rowOff>19050</xdr:rowOff>
    </xdr:from>
    <xdr:to>
      <xdr:col>10</xdr:col>
      <xdr:colOff>555960</xdr:colOff>
      <xdr:row>70</xdr:row>
      <xdr:rowOff>1091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41835" cy="484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733425</xdr:colOff>
          <xdr:row>71</xdr:row>
          <xdr:rowOff>0</xdr:rowOff>
        </xdr:from>
        <xdr:to>
          <xdr:col>13</xdr:col>
          <xdr:colOff>571500</xdr:colOff>
          <xdr:row>71</xdr:row>
          <xdr:rowOff>247650</xdr:rowOff>
        </xdr:to>
        <xdr:sp macro="" textlink="">
          <xdr:nvSpPr>
            <xdr:cNvPr id="2060" name="TIButton6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DE73-924A-4C4B-939B-331D7C869773}">
  <sheetPr codeName="Sheet1">
    <outlinePr showOutlineSymbols="0"/>
    <pageSetUpPr fitToPage="1"/>
  </sheetPr>
  <dimension ref="A1:V84"/>
  <sheetViews>
    <sheetView showGridLines="0" showRowColHeaders="0" tabSelected="1" showOutlineSymbols="0" topLeftCell="A70" zoomScaleNormal="100" workbookViewId="0">
      <pane ySplit="14" topLeftCell="A84" activePane="bottomLeft" state="frozen"/>
      <selection activeCell="I70" sqref="I70"/>
      <selection pane="bottomLeft"/>
    </sheetView>
  </sheetViews>
  <sheetFormatPr defaultColWidth="8.7109375" defaultRowHeight="15" outlineLevelRow="1" outlineLevelCol="1" x14ac:dyDescent="0.25"/>
  <cols>
    <col min="1" max="1" width="18.7109375" hidden="1" customWidth="1" outlineLevel="1"/>
    <col min="2" max="2" width="26.5703125" hidden="1" customWidth="1" outlineLevel="1"/>
    <col min="3" max="3" width="31" hidden="1" customWidth="1" outlineLevel="1"/>
    <col min="4" max="4" width="34" hidden="1" customWidth="1" outlineLevel="1"/>
    <col min="5" max="5" width="28.42578125" hidden="1" customWidth="1" outlineLevel="1"/>
    <col min="6" max="6" width="23.140625" hidden="1" customWidth="1" outlineLevel="1"/>
    <col min="7" max="7" width="16.5703125" hidden="1" customWidth="1" outlineLevel="1"/>
    <col min="8" max="8" width="26.42578125" hidden="1" customWidth="1" outlineLevel="1"/>
    <col min="9" max="9" width="0.85546875" customWidth="1" collapsed="1"/>
    <col min="10" max="12" width="18.7109375" style="17" customWidth="1"/>
    <col min="13" max="13" width="7" style="3" customWidth="1"/>
    <col min="14" max="22" width="15.7109375" customWidth="1"/>
  </cols>
  <sheetData>
    <row r="1" spans="1:22" hidden="1" outlineLevel="1" x14ac:dyDescent="0.25">
      <c r="A1" t="s">
        <v>17</v>
      </c>
    </row>
    <row r="2" spans="1:22" s="1" customFormat="1" hidden="1" outlineLevel="1" x14ac:dyDescent="0.25">
      <c r="A2" s="1">
        <f>0</f>
        <v>0</v>
      </c>
      <c r="J2" s="58"/>
      <c r="K2" s="59"/>
      <c r="L2" s="59"/>
      <c r="M2" s="37"/>
      <c r="N2" s="4"/>
      <c r="O2" s="5"/>
      <c r="P2" s="5"/>
      <c r="Q2" s="5"/>
      <c r="R2" s="5"/>
      <c r="S2" s="5"/>
      <c r="T2" s="5"/>
      <c r="U2" s="5"/>
      <c r="V2" s="49"/>
    </row>
    <row r="3" spans="1:22" s="1" customFormat="1" hidden="1" outlineLevel="1" x14ac:dyDescent="0.25">
      <c r="A3" s="1">
        <f>1</f>
        <v>1</v>
      </c>
      <c r="J3" s="60"/>
      <c r="K3" s="61"/>
      <c r="L3" s="61"/>
      <c r="M3" s="38"/>
      <c r="N3" s="6"/>
      <c r="O3" s="7"/>
      <c r="P3" s="7"/>
      <c r="Q3" s="7"/>
      <c r="R3" s="7"/>
      <c r="S3" s="7"/>
      <c r="T3" s="7"/>
      <c r="U3" s="7"/>
      <c r="V3" s="50"/>
    </row>
    <row r="4" spans="1:22" s="1" customFormat="1" hidden="1" outlineLevel="1" x14ac:dyDescent="0.25">
      <c r="A4" s="1">
        <f>2</f>
        <v>2</v>
      </c>
      <c r="J4" s="60"/>
      <c r="K4" s="61"/>
      <c r="L4" s="61"/>
      <c r="M4" s="38"/>
      <c r="N4" s="6"/>
      <c r="O4" s="7"/>
      <c r="P4" s="7"/>
      <c r="Q4" s="7"/>
      <c r="R4" s="7"/>
      <c r="S4" s="7"/>
      <c r="T4" s="7"/>
      <c r="U4" s="7"/>
      <c r="V4" s="50"/>
    </row>
    <row r="5" spans="1:22" s="1" customFormat="1" hidden="1" outlineLevel="1" x14ac:dyDescent="0.25">
      <c r="A5" s="1">
        <f>3</f>
        <v>3</v>
      </c>
      <c r="J5" s="60"/>
      <c r="K5" s="61"/>
      <c r="L5" s="61"/>
      <c r="M5" s="38"/>
      <c r="N5" s="6"/>
      <c r="O5" s="7"/>
      <c r="P5" s="7"/>
      <c r="Q5" s="7"/>
      <c r="R5" s="7"/>
      <c r="S5" s="7"/>
      <c r="T5" s="7"/>
      <c r="U5" s="7"/>
      <c r="V5" s="50"/>
    </row>
    <row r="6" spans="1:22" s="1" customFormat="1" hidden="1" outlineLevel="1" x14ac:dyDescent="0.25">
      <c r="A6" s="1" t="s">
        <v>15</v>
      </c>
      <c r="J6" s="62"/>
      <c r="K6" s="63"/>
      <c r="L6" s="63"/>
      <c r="M6" s="38"/>
      <c r="N6" s="6"/>
      <c r="O6" s="7"/>
      <c r="P6" s="7"/>
      <c r="Q6" s="7"/>
      <c r="R6" s="7"/>
      <c r="S6" s="7"/>
      <c r="T6" s="7"/>
      <c r="U6" s="7"/>
      <c r="V6" s="50"/>
    </row>
    <row r="7" spans="1:22" hidden="1" outlineLevel="1" x14ac:dyDescent="0.25">
      <c r="A7" t="s">
        <v>16</v>
      </c>
      <c r="J7" s="73"/>
      <c r="K7" s="74"/>
      <c r="L7" s="74"/>
      <c r="M7" s="39"/>
      <c r="N7" s="35"/>
      <c r="O7" s="36"/>
      <c r="P7" s="36"/>
      <c r="Q7" s="36"/>
      <c r="R7" s="36"/>
      <c r="S7" s="36"/>
      <c r="T7" s="36"/>
      <c r="U7" s="36"/>
      <c r="V7" s="50"/>
    </row>
    <row r="8" spans="1:22" hidden="1" outlineLevel="1" x14ac:dyDescent="0.25">
      <c r="A8" t="s">
        <v>18</v>
      </c>
    </row>
    <row r="9" spans="1:22" hidden="1" outlineLevel="1" x14ac:dyDescent="0.25"/>
    <row r="10" spans="1:22" hidden="1" outlineLevel="1" x14ac:dyDescent="0.25">
      <c r="D10" s="16"/>
      <c r="E10" s="16"/>
      <c r="F10" s="16"/>
      <c r="G10" s="16"/>
      <c r="H10" s="16"/>
      <c r="I10" s="16"/>
    </row>
    <row r="11" spans="1:22" hidden="1" outlineLevel="1" x14ac:dyDescent="0.25">
      <c r="B11" s="80" t="s">
        <v>20</v>
      </c>
      <c r="C11" s="80"/>
      <c r="D11" s="28"/>
      <c r="E11" s="28"/>
      <c r="F11" s="28"/>
      <c r="G11" s="28"/>
      <c r="H11" s="28"/>
      <c r="I11" s="28"/>
    </row>
    <row r="12" spans="1:22" hidden="1" outlineLevel="1" x14ac:dyDescent="0.25">
      <c r="B12" s="31" t="s">
        <v>21</v>
      </c>
      <c r="C12" s="32" t="s">
        <v>93</v>
      </c>
      <c r="D12" s="3"/>
      <c r="E12" s="3"/>
      <c r="F12" s="3"/>
      <c r="G12" s="3"/>
      <c r="H12" s="3"/>
      <c r="I12" s="3"/>
    </row>
    <row r="13" spans="1:22" hidden="1" outlineLevel="1" x14ac:dyDescent="0.25">
      <c r="B13" s="31" t="s">
        <v>61</v>
      </c>
      <c r="C13" s="32" t="str">
        <f ca="1">_xll.VIEW(db_name&amp;":}ElementAttributes_}Clients","!","!")</f>
        <v>dcceew_geus:}ElementAttributes_}Clients</v>
      </c>
      <c r="D13" s="3"/>
      <c r="E13" s="3"/>
      <c r="F13" s="3"/>
      <c r="G13" s="3"/>
      <c r="H13" s="3"/>
      <c r="I13" s="3"/>
    </row>
    <row r="14" spans="1:22" hidden="1" outlineLevel="1" x14ac:dyDescent="0.25">
      <c r="B14" s="31" t="s">
        <v>62</v>
      </c>
      <c r="C14" s="33" t="str">
        <f ca="1">_xll.TM1USER(db_name)</f>
        <v/>
      </c>
      <c r="D14" s="3"/>
      <c r="E14" s="3"/>
      <c r="F14" s="3"/>
      <c r="G14" s="3"/>
      <c r="H14" s="3"/>
      <c r="I14" s="3"/>
    </row>
    <row r="15" spans="1:22" hidden="1" outlineLevel="1" x14ac:dyDescent="0.25">
      <c r="B15" s="31" t="s">
        <v>63</v>
      </c>
      <c r="C15" s="33" t="str">
        <f ca="1">_xll.DBR($C$13,$C$14,$B15)</f>
        <v>*KEY_ERR</v>
      </c>
      <c r="D15" s="3"/>
      <c r="E15" s="3"/>
      <c r="F15" s="3"/>
      <c r="G15" s="3"/>
      <c r="H15" s="3"/>
      <c r="I15" s="3"/>
    </row>
    <row r="16" spans="1:22" hidden="1" outlineLevel="1" x14ac:dyDescent="0.25">
      <c r="B16" s="31" t="s">
        <v>64</v>
      </c>
      <c r="C16" s="33" t="str">
        <f ca="1">_xll.DBR($C$13,$C$14,$B16)</f>
        <v>*KEY_ERR</v>
      </c>
      <c r="D16" s="3"/>
      <c r="E16" s="3"/>
      <c r="F16" s="3"/>
      <c r="G16" s="3"/>
      <c r="H16" s="3"/>
      <c r="I16" s="3"/>
    </row>
    <row r="17" spans="2:19" hidden="1" outlineLevel="1" x14ac:dyDescent="0.25">
      <c r="B17" s="31" t="s">
        <v>65</v>
      </c>
      <c r="C17" s="33" t="str">
        <f ca="1">IF(LEFT($C$15,6)="CAM_AD",$C$16,$C$15)</f>
        <v>*KEY_ERR</v>
      </c>
      <c r="D17" s="3"/>
      <c r="E17" s="3"/>
      <c r="F17" s="3"/>
      <c r="G17" s="3"/>
      <c r="H17" s="3"/>
      <c r="I17" s="3"/>
    </row>
    <row r="18" spans="2:19" ht="15.75" hidden="1" outlineLevel="1" thickBot="1" x14ac:dyDescent="0.3">
      <c r="B18" s="1"/>
      <c r="C18" s="3"/>
      <c r="D18" s="3"/>
      <c r="E18" s="3"/>
      <c r="F18" s="3"/>
      <c r="G18" s="3"/>
      <c r="H18" s="3"/>
      <c r="I18" s="3"/>
    </row>
    <row r="19" spans="2:19" hidden="1" outlineLevel="1" x14ac:dyDescent="0.25">
      <c r="B19" s="78" t="s">
        <v>22</v>
      </c>
      <c r="C19" s="79"/>
      <c r="D19" s="3"/>
      <c r="E19" s="3"/>
      <c r="F19" s="3"/>
      <c r="G19" s="3"/>
      <c r="H19" s="3"/>
      <c r="I19" s="3"/>
      <c r="L19" s="64" t="s">
        <v>24</v>
      </c>
      <c r="M19" s="64"/>
      <c r="N19" s="13" t="s">
        <v>46</v>
      </c>
      <c r="O19" s="11" t="str">
        <f ca="1">RIGHT($K$76,9)</f>
        <v/>
      </c>
      <c r="P19" s="14" t="s">
        <v>48</v>
      </c>
      <c r="Q19" s="11" t="str">
        <f ca="1">K78</f>
        <v/>
      </c>
      <c r="R19" s="14" t="s">
        <v>47</v>
      </c>
      <c r="S19" s="12" t="str">
        <f ca="1">HLOOKUP(Q19,N20:S22,3,FALSE)</f>
        <v>PA</v>
      </c>
    </row>
    <row r="20" spans="2:19" hidden="1" outlineLevel="1" x14ac:dyDescent="0.25">
      <c r="B20" s="34" t="s">
        <v>66</v>
      </c>
      <c r="C20" s="34" t="str">
        <f ca="1">_xll.VIEW(db_name&amp;":}ElementAttributes_variables","!","!")</f>
        <v>dcceew_geus:}ElementAttributes_variables</v>
      </c>
      <c r="D20" s="3"/>
      <c r="E20" s="3"/>
      <c r="F20" s="3"/>
      <c r="G20" s="3"/>
      <c r="H20" s="3"/>
      <c r="I20" s="3"/>
      <c r="L20" s="65" t="s">
        <v>45</v>
      </c>
      <c r="M20" s="65"/>
      <c r="N20" s="10" t="str">
        <f ca="1">_xll.DIMNM(db_name&amp;":period",_xll.DIMIX(db_name&amp;":period",$O$19)+N$21)</f>
        <v/>
      </c>
      <c r="O20" s="10" t="str">
        <f ca="1">_xll.DIMNM(db_name&amp;":period",_xll.DIMIX(db_name&amp;":period",$O$19)+O$21)</f>
        <v/>
      </c>
      <c r="P20" s="10" t="str">
        <f ca="1">_xll.DIMNM(db_name&amp;":period",_xll.DIMIX(db_name&amp;":period",$O$19)+P$21)</f>
        <v/>
      </c>
      <c r="Q20" s="10" t="str">
        <f ca="1">_xll.DIMNM(db_name&amp;":period",_xll.DIMIX(db_name&amp;":period",$O$19)+Q$21)</f>
        <v/>
      </c>
      <c r="R20" s="10" t="str">
        <f ca="1">_xll.DIMNM(db_name&amp;":period",_xll.DIMIX(db_name&amp;":period",$O$19)+R$21)</f>
        <v/>
      </c>
      <c r="S20" s="10" t="str">
        <f ca="1">_xll.DIMNM(db_name&amp;":period",_xll.DIMIX(db_name&amp;":period",$O$19)+S$21)</f>
        <v/>
      </c>
    </row>
    <row r="21" spans="2:19" hidden="1" outlineLevel="1" x14ac:dyDescent="0.25">
      <c r="B21" s="34" t="s">
        <v>0</v>
      </c>
      <c r="C21" s="34" t="str">
        <f ca="1">_xll.DBR($C$20,$B21,"value")</f>
        <v>*KEY_ERR</v>
      </c>
      <c r="D21" s="3"/>
      <c r="E21" s="3"/>
      <c r="F21" s="3"/>
      <c r="G21" s="3"/>
      <c r="H21" s="3"/>
      <c r="I21" s="3"/>
      <c r="L21" s="65" t="s">
        <v>44</v>
      </c>
      <c r="M21" s="65"/>
      <c r="N21" s="10">
        <v>-2</v>
      </c>
      <c r="O21" s="10">
        <v>-1</v>
      </c>
      <c r="P21" s="10">
        <v>0</v>
      </c>
      <c r="Q21" s="10">
        <v>1</v>
      </c>
      <c r="R21" s="10">
        <v>2</v>
      </c>
      <c r="S21" s="10">
        <v>3</v>
      </c>
    </row>
    <row r="22" spans="2:19" hidden="1" outlineLevel="1" x14ac:dyDescent="0.25">
      <c r="B22" s="34" t="s">
        <v>23</v>
      </c>
      <c r="C22" s="34" t="str">
        <f ca="1">_xll.DBR($C$20,$B22,"value")</f>
        <v>*KEY_ERR</v>
      </c>
      <c r="D22" s="3"/>
      <c r="E22" s="3"/>
      <c r="F22" s="3"/>
      <c r="G22" s="3"/>
      <c r="H22" s="3"/>
      <c r="I22" s="3"/>
      <c r="L22" s="65" t="s">
        <v>43</v>
      </c>
      <c r="M22" s="65"/>
      <c r="N22" s="10" t="s">
        <v>42</v>
      </c>
      <c r="O22" s="10" t="s">
        <v>37</v>
      </c>
      <c r="P22" s="10" t="s">
        <v>38</v>
      </c>
      <c r="Q22" s="10" t="s">
        <v>39</v>
      </c>
      <c r="R22" s="10" t="s">
        <v>40</v>
      </c>
      <c r="S22" s="10" t="s">
        <v>41</v>
      </c>
    </row>
    <row r="23" spans="2:19" hidden="1" outlineLevel="1" x14ac:dyDescent="0.25">
      <c r="B23" s="34" t="s">
        <v>67</v>
      </c>
      <c r="C23" s="34" t="str">
        <f ca="1">_xll.DBR($C$20,$B23,"value")</f>
        <v>*KEY_ERR</v>
      </c>
      <c r="D23" s="3"/>
      <c r="E23" s="3"/>
      <c r="F23" s="3"/>
      <c r="G23" s="3"/>
      <c r="H23" s="3"/>
      <c r="I23" s="3"/>
    </row>
    <row r="24" spans="2:19" hidden="1" outlineLevel="1" x14ac:dyDescent="0.25">
      <c r="B24" s="1"/>
      <c r="C24" s="3"/>
      <c r="D24" s="3"/>
      <c r="E24" s="3"/>
      <c r="F24" s="3"/>
      <c r="G24" s="3"/>
      <c r="H24" s="3"/>
      <c r="I24" s="3"/>
    </row>
    <row r="25" spans="2:19" hidden="1" outlineLevel="1" x14ac:dyDescent="0.25">
      <c r="B25" s="82" t="s">
        <v>68</v>
      </c>
      <c r="C25" s="83"/>
      <c r="D25" s="84"/>
      <c r="I25" s="3"/>
    </row>
    <row r="26" spans="2:19" hidden="1" outlineLevel="1" x14ac:dyDescent="0.25">
      <c r="B26" s="31" t="s">
        <v>69</v>
      </c>
      <c r="C26" s="34" t="str">
        <f ca="1">_xll.VIEW(db_name&amp;":sys_application","!","!")</f>
        <v>dcceew_geus:sys_application</v>
      </c>
      <c r="D26" s="34"/>
      <c r="I26" s="3"/>
    </row>
    <row r="27" spans="2:19" hidden="1" outlineLevel="1" x14ac:dyDescent="0.25">
      <c r="B27" s="31" t="s">
        <v>70</v>
      </c>
      <c r="C27" t="s">
        <v>81</v>
      </c>
      <c r="D27" s="34"/>
      <c r="I27" s="3"/>
    </row>
    <row r="28" spans="2:19" hidden="1" outlineLevel="1" x14ac:dyDescent="0.25">
      <c r="B28" s="34"/>
      <c r="C28" s="31" t="s">
        <v>71</v>
      </c>
      <c r="D28" s="31" t="s">
        <v>72</v>
      </c>
      <c r="E28" s="31" t="s">
        <v>73</v>
      </c>
      <c r="F28" s="31" t="s">
        <v>74</v>
      </c>
      <c r="G28" s="31" t="s">
        <v>75</v>
      </c>
      <c r="H28" s="31" t="s">
        <v>76</v>
      </c>
      <c r="I28" s="3"/>
    </row>
    <row r="29" spans="2:19" hidden="1" outlineLevel="1" x14ac:dyDescent="0.25">
      <c r="B29" s="34" t="s">
        <v>77</v>
      </c>
      <c r="C29" s="34" t="str">
        <f ca="1">_xll.DBR($C$26,$B29,C$28)</f>
        <v>*KEY_ERR</v>
      </c>
      <c r="D29" s="34" t="str">
        <f ca="1">_xll.DBR($C$26,$B29,D$28)</f>
        <v>*KEY_ERR</v>
      </c>
      <c r="E29" s="34" t="str">
        <f ca="1">_xll.DBR($C$26,$B29,E$28)</f>
        <v>*KEY_ERR</v>
      </c>
      <c r="F29" s="34" t="str">
        <f ca="1">_xll.DBR($C$26,$B29,F$28)</f>
        <v>*KEY_ERR</v>
      </c>
      <c r="G29" s="34" t="str">
        <f ca="1">_xll.DBR($C$26,$B29,G$28)</f>
        <v>*KEY_ERR</v>
      </c>
      <c r="H29" s="34" t="str">
        <f ca="1">_xll.DBR($C$26,$B29,H$28)</f>
        <v>*KEY_ERR</v>
      </c>
      <c r="I29" s="3"/>
    </row>
    <row r="30" spans="2:19" hidden="1" outlineLevel="1" x14ac:dyDescent="0.25">
      <c r="B30" s="34" t="s">
        <v>78</v>
      </c>
      <c r="C30" s="34" t="str">
        <f ca="1">_xll.DBR($C$26,$B30,C$28)</f>
        <v>*KEY_ERR</v>
      </c>
      <c r="D30" s="34" t="str">
        <f ca="1">_xll.DBR($C$26,$B30,D$28)</f>
        <v>*KEY_ERR</v>
      </c>
      <c r="E30" s="34" t="str">
        <f ca="1">_xll.DBR($C$26,$B30,E$28)</f>
        <v>*KEY_ERR</v>
      </c>
      <c r="F30" s="34" t="str">
        <f ca="1">_xll.DBR($C$26,$B30,F$28)</f>
        <v>*KEY_ERR</v>
      </c>
      <c r="G30" s="34" t="str">
        <f ca="1">_xll.DBR($C$26,$B30,G$28)</f>
        <v>*KEY_ERR</v>
      </c>
      <c r="H30" s="34" t="str">
        <f ca="1">_xll.DBR($C$26,$B30,H$28)</f>
        <v>*KEY_ERR</v>
      </c>
      <c r="I30" s="3"/>
    </row>
    <row r="31" spans="2:19" hidden="1" outlineLevel="1" x14ac:dyDescent="0.25">
      <c r="B31" s="34" t="s">
        <v>79</v>
      </c>
      <c r="C31" s="34" t="str">
        <f ca="1">_xll.DBR($C$26,$B31,C$28)</f>
        <v>*KEY_ERR</v>
      </c>
      <c r="D31" s="34" t="str">
        <f ca="1">_xll.DBR($C$26,$B31,D$28)</f>
        <v>*KEY_ERR</v>
      </c>
      <c r="E31" s="34" t="str">
        <f ca="1">_xll.DBR($C$26,$B31,E$28)</f>
        <v>*KEY_ERR</v>
      </c>
      <c r="F31" s="34" t="str">
        <f ca="1">_xll.DBR($C$26,$B31,F$28)</f>
        <v>*KEY_ERR</v>
      </c>
      <c r="G31" s="34" t="str">
        <f ca="1">_xll.DBR($C$26,$B31,G$28)</f>
        <v>*KEY_ERR</v>
      </c>
      <c r="H31" s="34" t="str">
        <f ca="1">_xll.DBR($C$26,$B31,H$28)</f>
        <v>*KEY_ERR</v>
      </c>
      <c r="I31" s="3"/>
    </row>
    <row r="32" spans="2:19" hidden="1" outlineLevel="1" x14ac:dyDescent="0.25">
      <c r="B32" s="34" t="s">
        <v>80</v>
      </c>
      <c r="C32" s="34" t="str">
        <f ca="1">_xll.DBR($C$26,$B32,C$28)</f>
        <v>*KEY_ERR</v>
      </c>
      <c r="D32" s="34" t="str">
        <f ca="1">_xll.DBR($C$26,$B32,D$28)</f>
        <v>*KEY_ERR</v>
      </c>
      <c r="E32" s="34" t="str">
        <f ca="1">_xll.DBR($C$26,$B32,E$28)</f>
        <v>*KEY_ERR</v>
      </c>
      <c r="F32" s="34" t="str">
        <f ca="1">_xll.DBR($C$26,$B32,F$28)</f>
        <v>*KEY_ERR</v>
      </c>
      <c r="G32" s="34" t="str">
        <f ca="1">_xll.DBR($C$26,$B32,G$28)</f>
        <v>*KEY_ERR</v>
      </c>
      <c r="H32" s="34" t="str">
        <f ca="1">_xll.DBR($C$26,$B32,H$28)</f>
        <v>*KEY_ERR</v>
      </c>
      <c r="I32" s="3"/>
    </row>
    <row r="33" spans="2:22" hidden="1" outlineLevel="1" x14ac:dyDescent="0.25">
      <c r="B33" s="34" t="s">
        <v>92</v>
      </c>
      <c r="C33" s="34" t="str">
        <f ca="1">_xll.DBR($C$26,$B33,C$28)</f>
        <v>*KEY_ERR</v>
      </c>
      <c r="D33" s="34" t="str">
        <f ca="1">_xll.DBR($C$26,$B33,D$28)</f>
        <v>*KEY_ERR</v>
      </c>
      <c r="E33" s="34" t="str">
        <f ca="1">_xll.DBR($C$26,$B33,E$28)</f>
        <v>*KEY_ERR</v>
      </c>
      <c r="F33" s="34" t="str">
        <f ca="1">_xll.DBR($C$26,$B33,F$28)</f>
        <v>*KEY_ERR</v>
      </c>
      <c r="G33" s="34" t="str">
        <f ca="1">_xll.DBR($C$26,$B33,G$28)</f>
        <v>*KEY_ERR</v>
      </c>
      <c r="H33" s="34" t="str">
        <f ca="1">_xll.DBR($C$26,$B33,H$28)</f>
        <v>*KEY_ERR</v>
      </c>
      <c r="I33" s="3"/>
    </row>
    <row r="34" spans="2:22" hidden="1" outlineLevel="1" x14ac:dyDescent="0.25">
      <c r="B34" s="1"/>
      <c r="C34" s="3"/>
      <c r="D34" s="3"/>
      <c r="E34" s="3"/>
      <c r="F34" s="3"/>
      <c r="G34" s="3"/>
      <c r="H34" s="3"/>
      <c r="I34" s="3"/>
    </row>
    <row r="35" spans="2:22" hidden="1" outlineLevel="1" x14ac:dyDescent="0.25">
      <c r="B35" s="34" t="s">
        <v>51</v>
      </c>
      <c r="C35" s="31" t="s">
        <v>49</v>
      </c>
      <c r="D35" s="16"/>
      <c r="E35" s="16"/>
      <c r="F35" s="16"/>
      <c r="G35" s="16"/>
      <c r="H35" s="16"/>
      <c r="I35" s="16"/>
    </row>
    <row r="36" spans="2:22" hidden="1" outlineLevel="1" x14ac:dyDescent="0.25">
      <c r="B36" s="34"/>
      <c r="C36" s="31" t="s">
        <v>50</v>
      </c>
    </row>
    <row r="37" spans="2:22" hidden="1" outlineLevel="1" x14ac:dyDescent="0.25">
      <c r="B37" s="34" t="s">
        <v>60</v>
      </c>
      <c r="C37" s="34" t="s">
        <v>53</v>
      </c>
    </row>
    <row r="38" spans="2:22" hidden="1" outlineLevel="1" x14ac:dyDescent="0.25">
      <c r="B38" s="34"/>
      <c r="C38" s="34" t="s">
        <v>54</v>
      </c>
      <c r="D38" s="1"/>
      <c r="E38" s="1"/>
      <c r="F38" s="1"/>
      <c r="G38" s="1"/>
      <c r="H38" s="1"/>
      <c r="I38" s="1"/>
    </row>
    <row r="39" spans="2:22" hidden="1" outlineLevel="1" x14ac:dyDescent="0.25"/>
    <row r="40" spans="2:22" hidden="1" outlineLevel="1" x14ac:dyDescent="0.25">
      <c r="B40" s="80" t="s">
        <v>25</v>
      </c>
      <c r="C40" s="80"/>
      <c r="D40" s="16"/>
      <c r="E40" s="16"/>
      <c r="F40" s="16"/>
      <c r="G40" s="16"/>
      <c r="H40" s="16"/>
      <c r="I40" s="16"/>
    </row>
    <row r="41" spans="2:22" hidden="1" outlineLevel="1" x14ac:dyDescent="0.25">
      <c r="B41" s="31" t="s">
        <v>26</v>
      </c>
      <c r="C41" s="34" t="str">
        <f ca="1">_xll.TM1RPTVIEW(db_name&amp;":AE adjustments:1",$C$66, _xll.TM1RPTTITLE(db_name&amp;":headline year",$K$76), _xll.TM1RPTTITLE(db_name&amp;":scenario",$K$77), _xll.TM1RPTTITLE(db_name&amp;":status",$C$47), _xll.TM1RPTTITLE(db_name&amp;":outcome",$C$48), _xll.TM1RPTTITLE(db_name&amp;":related entity",$C$49), _xll.TM1RPTTITLE(db_name&amp;":function",$C$50), _xll.TM1RPTTITLE(db_name&amp;":reason",$C$51), _xll.TM1RPTTITLE(db_name&amp;":spp",$C$52), _xll.TM1RPTTITLE(db_name&amp;":measure code",$C$53), _xll.TM1RPTTITLE(db_name&amp;":appropriation type",$C$54), _xll.TM1RPTTITLE(db_name&amp;":appropriation item",$C$55), _xll.TM1RPTTITLE(db_name&amp;":"&amp; psProgDimName,$K$79), _xll.TM1RPTTITLE(db_name&amp;":id",$C$57), _xll.TM1RPTTITLE(db_name&amp;":jurisdiction",$C$58), _xll.TM1RPTTITLE(db_name&amp;":period",$K$78),TM1RPTFMTRNG,TM1RPTFMTIDCOL)</f>
        <v>dcceew_geus:AE adjustments:1</v>
      </c>
    </row>
    <row r="42" spans="2:22" hidden="1" outlineLevel="1" x14ac:dyDescent="0.25">
      <c r="B42" s="34" t="s">
        <v>35</v>
      </c>
      <c r="C42" s="34"/>
    </row>
    <row r="43" spans="2:22" hidden="1" outlineLevel="1" x14ac:dyDescent="0.25">
      <c r="B43" s="34" t="s">
        <v>35</v>
      </c>
      <c r="C43" s="34"/>
      <c r="N43" s="22" t="s">
        <v>57</v>
      </c>
      <c r="O43" s="23">
        <v>4100003</v>
      </c>
      <c r="P43" s="23">
        <v>4100011</v>
      </c>
      <c r="Q43" s="23">
        <v>4100012</v>
      </c>
      <c r="R43" s="23">
        <v>4100013</v>
      </c>
      <c r="S43" s="23">
        <v>4100015</v>
      </c>
      <c r="T43" s="23">
        <v>4100016</v>
      </c>
      <c r="U43" s="22" t="s">
        <v>58</v>
      </c>
      <c r="V43" s="22" t="s">
        <v>59</v>
      </c>
    </row>
    <row r="44" spans="2:22" ht="30" hidden="1" outlineLevel="1" x14ac:dyDescent="0.25">
      <c r="B44" s="31" t="s">
        <v>27</v>
      </c>
      <c r="C44" s="34" t="str">
        <f ca="1">_xll.VIEW(db_name&amp;":}ElementAttributes_movement account","!","!")</f>
        <v>dcceew_geus:}ElementAttributes_movement account</v>
      </c>
      <c r="L44" s="18" t="s">
        <v>34</v>
      </c>
      <c r="M44" s="15" t="s">
        <v>19</v>
      </c>
      <c r="N44" s="24" t="str">
        <f ca="1">_xll.DBRA(db_name&amp;":account",TRIM(N$43),"description")</f>
        <v/>
      </c>
      <c r="O44" s="25" t="str">
        <f ca="1">_xll.DBRA(db_name&amp;":account",TRIM(O$43),"description")</f>
        <v/>
      </c>
      <c r="P44" s="25" t="str">
        <f ca="1">_xll.DBRA(db_name&amp;":account",TRIM(P$43),"description")</f>
        <v/>
      </c>
      <c r="Q44" s="25" t="str">
        <f ca="1">_xll.DBRA(db_name&amp;":account",TRIM(Q$43),"description")</f>
        <v/>
      </c>
      <c r="R44" s="25" t="str">
        <f ca="1">_xll.DBRA(db_name&amp;":account",TRIM(R$43),"description")</f>
        <v/>
      </c>
      <c r="S44" s="25" t="str">
        <f ca="1">_xll.DBRA(db_name&amp;":account",TRIM(S$43),"description")</f>
        <v/>
      </c>
      <c r="T44" s="25" t="str">
        <f ca="1">_xll.DBRA(db_name&amp;":account",TRIM(T$43),"description")</f>
        <v/>
      </c>
      <c r="U44" s="24" t="str">
        <f ca="1">_xll.DBRA(db_name&amp;":account",TRIM(U$43),"description")</f>
        <v/>
      </c>
      <c r="V44" s="24" t="str">
        <f ca="1">_xll.DBRA(db_name&amp;":account",TRIM(V$43),"description")</f>
        <v/>
      </c>
    </row>
    <row r="45" spans="2:22" hidden="1" outlineLevel="1" x14ac:dyDescent="0.25">
      <c r="B45" s="31" t="s">
        <v>0</v>
      </c>
      <c r="C45" s="34" t="s">
        <v>36</v>
      </c>
    </row>
    <row r="46" spans="2:22" hidden="1" outlineLevel="1" x14ac:dyDescent="0.25">
      <c r="B46" s="31" t="s">
        <v>1</v>
      </c>
      <c r="C46" s="34" t="s">
        <v>36</v>
      </c>
    </row>
    <row r="47" spans="2:22" hidden="1" outlineLevel="1" x14ac:dyDescent="0.25">
      <c r="B47" s="31" t="s">
        <v>2</v>
      </c>
      <c r="C47" s="34" t="str">
        <f ca="1">_xll.SUBNM(db_name&amp;":status","","Total approved")</f>
        <v/>
      </c>
    </row>
    <row r="48" spans="2:22" hidden="1" outlineLevel="1" x14ac:dyDescent="0.25">
      <c r="B48" s="31" t="s">
        <v>3</v>
      </c>
      <c r="C48" s="34" t="str">
        <f ca="1">_xll.SUBNM(db_name&amp;":outcome","","Total outcomes")</f>
        <v/>
      </c>
    </row>
    <row r="49" spans="2:14" hidden="1" outlineLevel="1" x14ac:dyDescent="0.25">
      <c r="B49" s="31" t="s">
        <v>4</v>
      </c>
      <c r="C49" s="34" t="str">
        <f ca="1">_xll.SUBNM(db_name&amp;":related entity","","Total related entity")</f>
        <v/>
      </c>
    </row>
    <row r="50" spans="2:14" hidden="1" outlineLevel="1" x14ac:dyDescent="0.25">
      <c r="B50" s="31" t="s">
        <v>5</v>
      </c>
      <c r="C50" s="34" t="str">
        <f ca="1">_xll.SUBNM(db_name&amp;":function","","Total functions")</f>
        <v/>
      </c>
    </row>
    <row r="51" spans="2:14" hidden="1" outlineLevel="1" x14ac:dyDescent="0.25">
      <c r="B51" s="31" t="s">
        <v>6</v>
      </c>
      <c r="C51" s="34" t="str">
        <f ca="1">_xll.SUBNM(db_name&amp;":reason","","Total reason")</f>
        <v/>
      </c>
    </row>
    <row r="52" spans="2:14" hidden="1" outlineLevel="1" x14ac:dyDescent="0.25">
      <c r="B52" s="31" t="s">
        <v>7</v>
      </c>
      <c r="C52" s="34" t="str">
        <f ca="1">_xll.SUBNM(db_name&amp;":spp","","Total SPP")</f>
        <v/>
      </c>
    </row>
    <row r="53" spans="2:14" hidden="1" outlineLevel="1" x14ac:dyDescent="0.25">
      <c r="B53" s="31" t="s">
        <v>8</v>
      </c>
      <c r="C53" s="34" t="str">
        <f ca="1">_xll.SUBNM(db_name&amp;":measure code","","Total Measures","CBMS")</f>
        <v/>
      </c>
    </row>
    <row r="54" spans="2:14" hidden="1" outlineLevel="1" x14ac:dyDescent="0.25">
      <c r="B54" s="31" t="s">
        <v>9</v>
      </c>
      <c r="C54" s="34" t="str">
        <f ca="1">_xll.SUBNM(db_name&amp;":appropriation type","","Total approp types")</f>
        <v/>
      </c>
    </row>
    <row r="55" spans="2:14" hidden="1" outlineLevel="1" x14ac:dyDescent="0.25">
      <c r="B55" s="31" t="s">
        <v>10</v>
      </c>
      <c r="C55" s="34" t="str">
        <f ca="1">_xll.SUBNM(db_name&amp;":appropriation item","","Total approp item")</f>
        <v/>
      </c>
    </row>
    <row r="56" spans="2:14" hidden="1" outlineLevel="1" x14ac:dyDescent="0.25">
      <c r="B56" s="31" t="s">
        <v>11</v>
      </c>
      <c r="C56" s="34" t="s">
        <v>36</v>
      </c>
    </row>
    <row r="57" spans="2:14" hidden="1" outlineLevel="1" x14ac:dyDescent="0.25">
      <c r="B57" s="31" t="s">
        <v>12</v>
      </c>
      <c r="C57" s="34" t="str">
        <f ca="1">_xll.SUBNM(db_name&amp;":id","","Total IDs")</f>
        <v/>
      </c>
    </row>
    <row r="58" spans="2:14" hidden="1" outlineLevel="1" x14ac:dyDescent="0.25">
      <c r="B58" s="31" t="s">
        <v>13</v>
      </c>
      <c r="C58" s="34" t="str">
        <f ca="1">_xll.SUBNM(db_name&amp;":jurisdiction","","Total jurisdictions")</f>
        <v/>
      </c>
    </row>
    <row r="59" spans="2:14" hidden="1" outlineLevel="1" x14ac:dyDescent="0.25">
      <c r="B59" s="31" t="s">
        <v>14</v>
      </c>
      <c r="C59" s="34" t="s">
        <v>36</v>
      </c>
    </row>
    <row r="60" spans="2:14" hidden="1" outlineLevel="1" x14ac:dyDescent="0.25">
      <c r="L60" s="27" t="s">
        <v>56</v>
      </c>
      <c r="M60" s="46" t="s">
        <v>53</v>
      </c>
      <c r="N60" s="46"/>
    </row>
    <row r="61" spans="2:14" hidden="1" outlineLevel="1" x14ac:dyDescent="0.25">
      <c r="B61" s="81" t="s">
        <v>28</v>
      </c>
      <c r="C61" s="81"/>
      <c r="D61" s="16"/>
      <c r="E61" s="16"/>
      <c r="F61" s="16"/>
      <c r="G61" s="16"/>
      <c r="H61" s="16"/>
      <c r="I61" s="16"/>
    </row>
    <row r="62" spans="2:14" hidden="1" outlineLevel="1" x14ac:dyDescent="0.25">
      <c r="B62" s="40" t="s">
        <v>29</v>
      </c>
      <c r="C62" s="41"/>
      <c r="D62" s="29"/>
      <c r="E62" s="29"/>
      <c r="F62" s="29"/>
      <c r="G62" s="29"/>
      <c r="H62" s="29"/>
      <c r="I62" s="29"/>
    </row>
    <row r="63" spans="2:14" hidden="1" outlineLevel="1" x14ac:dyDescent="0.25">
      <c r="B63" s="40" t="s">
        <v>30</v>
      </c>
      <c r="C63" s="41"/>
      <c r="D63" s="29"/>
      <c r="E63" s="29"/>
      <c r="F63" s="29"/>
      <c r="G63" s="29"/>
      <c r="H63" s="29"/>
      <c r="I63" s="29"/>
    </row>
    <row r="64" spans="2:14" hidden="1" outlineLevel="1" x14ac:dyDescent="0.25">
      <c r="B64" s="40" t="s">
        <v>31</v>
      </c>
      <c r="C64" s="41"/>
      <c r="D64" s="29"/>
      <c r="E64" s="29"/>
      <c r="F64" s="29"/>
      <c r="G64" s="29"/>
      <c r="H64" s="29"/>
      <c r="I64" s="29"/>
    </row>
    <row r="65" spans="2:22" hidden="1" outlineLevel="1" x14ac:dyDescent="0.25">
      <c r="B65" s="42" t="s">
        <v>55</v>
      </c>
      <c r="C65" s="43">
        <f ca="1">IF($P$76="Yes",1,0)</f>
        <v>0</v>
      </c>
      <c r="D65" s="30"/>
      <c r="E65" s="30"/>
      <c r="F65" s="30"/>
      <c r="G65" s="30"/>
      <c r="H65" s="30"/>
      <c r="I65" s="30"/>
    </row>
    <row r="66" spans="2:22" hidden="1" outlineLevel="1" x14ac:dyDescent="0.25">
      <c r="B66" s="42" t="s">
        <v>52</v>
      </c>
      <c r="C66" s="43">
        <f ca="1">IF($P$77="Yes",1,0)</f>
        <v>0</v>
      </c>
      <c r="D66" s="30"/>
      <c r="E66" s="30"/>
      <c r="F66" s="30"/>
      <c r="G66" s="30"/>
      <c r="H66" s="30"/>
      <c r="I66" s="30"/>
      <c r="J66" s="19"/>
      <c r="K66" s="19"/>
      <c r="L66" s="19"/>
      <c r="M66" s="16"/>
    </row>
    <row r="67" spans="2:22" hidden="1" outlineLevel="1" collapsed="1" x14ac:dyDescent="0.25">
      <c r="B67" s="1"/>
    </row>
    <row r="68" spans="2:22" hidden="1" outlineLevel="1" x14ac:dyDescent="0.25"/>
    <row r="69" spans="2:22" hidden="1" outlineLevel="1" x14ac:dyDescent="0.25"/>
    <row r="70" spans="2:22" ht="39.950000000000003" customHeight="1" collapsed="1" x14ac:dyDescent="0.25"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5"/>
      <c r="T70" s="44"/>
      <c r="U70" s="44"/>
      <c r="V70" s="45" t="s">
        <v>82</v>
      </c>
    </row>
    <row r="71" spans="2:22" ht="4.5" customHeight="1" x14ac:dyDescent="0.25"/>
    <row r="72" spans="2:22" ht="24" customHeight="1" x14ac:dyDescent="0.25"/>
    <row r="73" spans="2:22" ht="1.5" customHeight="1" x14ac:dyDescent="0.25"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</row>
    <row r="74" spans="2:22" ht="4.5" customHeight="1" x14ac:dyDescent="0.25"/>
    <row r="75" spans="2:22" x14ac:dyDescent="0.25">
      <c r="K75" s="75" t="s">
        <v>83</v>
      </c>
      <c r="L75" s="76"/>
      <c r="O75" s="75" t="s">
        <v>84</v>
      </c>
      <c r="P75" s="76"/>
    </row>
    <row r="76" spans="2:22" x14ac:dyDescent="0.25">
      <c r="J76" s="47" t="s">
        <v>90</v>
      </c>
      <c r="K76" s="72" t="str">
        <f ca="1">_xll.SUBNM(db_name&amp;":headline year","",$C$21)</f>
        <v/>
      </c>
      <c r="L76" s="72"/>
      <c r="O76" s="47" t="s">
        <v>85</v>
      </c>
      <c r="P76" s="48" t="str">
        <f ca="1">_xll.SUBNM(db_name&amp;":sys_YesNo","","Yes")</f>
        <v/>
      </c>
    </row>
    <row r="77" spans="2:22" x14ac:dyDescent="0.25">
      <c r="J77" s="47" t="s">
        <v>89</v>
      </c>
      <c r="K77" s="72" t="str">
        <f ca="1">_xll.SUBNM(db_name&amp;":scenario","",$C$22)</f>
        <v/>
      </c>
      <c r="L77" s="72"/>
      <c r="O77" s="47" t="s">
        <v>86</v>
      </c>
      <c r="P77" s="48" t="str">
        <f ca="1">_xll.SUBNM(db_name&amp;":sys_YesNo","","No")</f>
        <v/>
      </c>
    </row>
    <row r="78" spans="2:22" x14ac:dyDescent="0.25">
      <c r="J78" s="47" t="s">
        <v>88</v>
      </c>
      <c r="K78" s="72" t="str">
        <f ca="1">_xll.SUBNM(db_name&amp;":period","",$Q$20)</f>
        <v/>
      </c>
      <c r="L78" s="72"/>
    </row>
    <row r="79" spans="2:22" x14ac:dyDescent="0.25">
      <c r="J79" s="47" t="s">
        <v>87</v>
      </c>
      <c r="K79" s="72" t="str">
        <f ca="1">_xll.SUBNM(db_name&amp;":"&amp; psProgDimName,"","Departmental Programmes","code and description")</f>
        <v/>
      </c>
      <c r="L79" s="72"/>
      <c r="T79" s="51" t="s">
        <v>91</v>
      </c>
      <c r="U79" s="77">
        <f ca="1">NOW()</f>
        <v>44972.398170717592</v>
      </c>
      <c r="V79" s="77"/>
    </row>
    <row r="80" spans="2:22" ht="4.5" customHeight="1" thickBot="1" x14ac:dyDescent="0.3">
      <c r="J80"/>
      <c r="K80"/>
      <c r="L80"/>
      <c r="M80"/>
      <c r="O80" s="21"/>
      <c r="P80" s="21"/>
      <c r="Q80" s="21"/>
      <c r="R80" s="21"/>
      <c r="S80" s="21"/>
      <c r="T80" s="21"/>
      <c r="U80" s="21"/>
      <c r="V80" s="21"/>
    </row>
    <row r="81" spans="1:22" s="26" customFormat="1" ht="30" x14ac:dyDescent="0.25">
      <c r="J81" s="66" t="str">
        <f ca="1">"Equity Movement Table"&amp;CHAR(10)&amp;"Financial Year -  "&amp;LEFT(K78,4)&amp;"-"&amp;RIGHT(K78,2)&amp;" ("&amp;RIGHT(S19,2)&amp;")"</f>
        <v>Equity Movement Table
Financial Year -  - (PA)</v>
      </c>
      <c r="K81" s="67"/>
      <c r="L81" s="68"/>
      <c r="M81" s="52"/>
      <c r="N81" s="53" t="str">
        <f t="shared" ref="N81:V81" ca="1" si="0">IF($M$60="Code and Description",N$43&amp;CHAR(10)&amp;N$44,N$44)</f>
        <v xml:space="preserve">4100001
</v>
      </c>
      <c r="O81" s="53" t="str">
        <f t="shared" ca="1" si="0"/>
        <v xml:space="preserve">4100003
</v>
      </c>
      <c r="P81" s="53" t="str">
        <f t="shared" ca="1" si="0"/>
        <v xml:space="preserve">4100011
</v>
      </c>
      <c r="Q81" s="53" t="str">
        <f t="shared" ca="1" si="0"/>
        <v xml:space="preserve">4100012
</v>
      </c>
      <c r="R81" s="53" t="str">
        <f t="shared" ca="1" si="0"/>
        <v xml:space="preserve">4100013
</v>
      </c>
      <c r="S81" s="53" t="str">
        <f t="shared" ca="1" si="0"/>
        <v xml:space="preserve">4100015
</v>
      </c>
      <c r="T81" s="53" t="str">
        <f t="shared" ca="1" si="0"/>
        <v xml:space="preserve">4100016
</v>
      </c>
      <c r="U81" s="53" t="str">
        <f t="shared" ca="1" si="0"/>
        <v xml:space="preserve">4100002
</v>
      </c>
      <c r="V81" s="53" t="str">
        <f t="shared" ca="1" si="0"/>
        <v xml:space="preserve">4100000
</v>
      </c>
    </row>
    <row r="82" spans="1:22" s="2" customFormat="1" ht="15" customHeight="1" thickBot="1" x14ac:dyDescent="0.3">
      <c r="J82" s="69"/>
      <c r="K82" s="70"/>
      <c r="L82" s="71"/>
      <c r="M82" s="54" t="str">
        <f ca="1">M44</f>
        <v>DR/CR</v>
      </c>
      <c r="N82" s="55" t="s">
        <v>32</v>
      </c>
      <c r="O82" s="55" t="s">
        <v>32</v>
      </c>
      <c r="P82" s="55" t="s">
        <v>32</v>
      </c>
      <c r="Q82" s="55" t="s">
        <v>32</v>
      </c>
      <c r="R82" s="55" t="s">
        <v>32</v>
      </c>
      <c r="S82" s="55" t="s">
        <v>32</v>
      </c>
      <c r="T82" s="55" t="s">
        <v>32</v>
      </c>
      <c r="U82" s="55" t="s">
        <v>32</v>
      </c>
      <c r="V82" s="55" t="s">
        <v>32</v>
      </c>
    </row>
    <row r="83" spans="1:22" s="2" customFormat="1" ht="4.5" customHeight="1" x14ac:dyDescent="0.25">
      <c r="B83" t="s">
        <v>33</v>
      </c>
      <c r="J83" s="20"/>
      <c r="K83" s="20"/>
      <c r="L83" s="20"/>
      <c r="M83" s="8"/>
      <c r="N83" s="9"/>
      <c r="O83" s="9"/>
      <c r="P83" s="9"/>
      <c r="Q83" s="9"/>
      <c r="R83" s="9"/>
      <c r="S83" s="9"/>
      <c r="T83" s="9"/>
      <c r="U83" s="9"/>
      <c r="V83" s="9"/>
    </row>
    <row r="84" spans="1:22" ht="14.45" customHeight="1" x14ac:dyDescent="0.25">
      <c r="A84" t="str">
        <f ca="1">IF(_xll.TM1RPTELISCONSOLIDATED($J$84,$J84),IF(_xll.TM1RPTELLEV($J$84,$J84)&lt;=3,_xll.TM1RPTELLEV($J$84,$J84),"D"),"N")</f>
        <v>N</v>
      </c>
      <c r="G84" t="str">
        <f ca="1">_xll.DBRW($C$44,$J84,M$44)</f>
        <v/>
      </c>
      <c r="J84" s="56" t="str">
        <f ca="1">_xll.TM1RPTROW($C$41,db_name&amp;":movement account","sys_equity",,$M$60,$C$65,,,1)</f>
        <v/>
      </c>
      <c r="K84" s="57"/>
      <c r="L84" s="57"/>
      <c r="M84" s="39" t="str">
        <f ca="1">$G84</f>
        <v/>
      </c>
      <c r="N84" s="35" t="str">
        <f ca="1">_xll.DBRW($C$41,$K$76,$K$77,$C$47,$C$48,$C$49,$C$50,$C$51,$C$52,$C$53,$C$54,$J84,$C$55,$K$79,N$44,$C$57,$C$58,$K$78)</f>
        <v/>
      </c>
      <c r="O84" s="36" t="str">
        <f ca="1">_xll.DBRW($C$41,$K$76,$K$77,$C$47,$C$48,$C$49,$C$50,$C$51,$C$52,$C$53,$C$54,$J84,$C$55,$K$79,O$44,$C$57,$C$58,$K$78)</f>
        <v/>
      </c>
      <c r="P84" s="36" t="str">
        <f ca="1">_xll.DBRW($C$41,$K$76,$K$77,$C$47,$C$48,$C$49,$C$50,$C$51,$C$52,$C$53,$C$54,$J84,$C$55,$K$79,P$44,$C$57,$C$58,$K$78)</f>
        <v/>
      </c>
      <c r="Q84" s="36" t="str">
        <f ca="1">_xll.DBRW($C$41,$K$76,$K$77,$C$47,$C$48,$C$49,$C$50,$C$51,$C$52,$C$53,$C$54,$J84,$C$55,$K$79,Q$44,$C$57,$C$58,$K$78)</f>
        <v/>
      </c>
      <c r="R84" s="36" t="str">
        <f ca="1">_xll.DBRW($C$41,$K$76,$K$77,$C$47,$C$48,$C$49,$C$50,$C$51,$C$52,$C$53,$C$54,$J84,$C$55,$K$79,R$44,$C$57,$C$58,$K$78)</f>
        <v/>
      </c>
      <c r="S84" s="36" t="str">
        <f ca="1">_xll.DBRW($C$41,$K$76,$K$77,$C$47,$C$48,$C$49,$C$50,$C$51,$C$52,$C$53,$C$54,$J84,$C$55,$K$79,S$44,$C$57,$C$58,$K$78)</f>
        <v/>
      </c>
      <c r="T84" s="36" t="str">
        <f ca="1">_xll.DBRW($C$41,$K$76,$K$77,$C$47,$C$48,$C$49,$C$50,$C$51,$C$52,$C$53,$C$54,$J84,$C$55,$K$79,T$44,$C$57,$C$58,$K$78)</f>
        <v/>
      </c>
      <c r="U84" s="36" t="str">
        <f ca="1">_xll.DBRW($C$41,$K$76,$K$77,$C$47,$C$48,$C$49,$C$50,$C$51,$C$52,$C$53,$C$54,$J84,$C$55,$K$79,U$44,$C$57,$C$58,$K$78)</f>
        <v/>
      </c>
      <c r="V84" s="50" t="str">
        <f ca="1">_xll.DBRW($C$41,$K$76,$K$77,$C$47,$C$48,$C$49,$C$50,$C$51,$C$52,$C$53,$C$54,$J84,$C$55,$K$79,V$44,$C$57,$C$58,$K$78)</f>
        <v/>
      </c>
    </row>
  </sheetData>
  <sheetProtection sheet="1" objects="1" scenarios="1"/>
  <mergeCells count="24">
    <mergeCell ref="K78:L78"/>
    <mergeCell ref="U79:V79"/>
    <mergeCell ref="B19:C19"/>
    <mergeCell ref="B11:C11"/>
    <mergeCell ref="B40:C40"/>
    <mergeCell ref="B61:C61"/>
    <mergeCell ref="B25:D25"/>
    <mergeCell ref="O75:P75"/>
    <mergeCell ref="J84:L84"/>
    <mergeCell ref="J2:L2"/>
    <mergeCell ref="J3:L3"/>
    <mergeCell ref="J4:L4"/>
    <mergeCell ref="J5:L5"/>
    <mergeCell ref="J6:L6"/>
    <mergeCell ref="L19:M19"/>
    <mergeCell ref="L20:M20"/>
    <mergeCell ref="L21:M21"/>
    <mergeCell ref="L22:M22"/>
    <mergeCell ref="J81:L82"/>
    <mergeCell ref="K79:L79"/>
    <mergeCell ref="J7:L7"/>
    <mergeCell ref="K75:L75"/>
    <mergeCell ref="K76:L76"/>
    <mergeCell ref="K77:L77"/>
  </mergeCells>
  <dataValidations count="1">
    <dataValidation type="list" allowBlank="1" showInputMessage="1" showErrorMessage="1" sqref="M60" xr:uid="{7D1B2918-AD63-4FAB-A886-254B8F870F93}">
      <formula1>Account_Disp_List</formula1>
    </dataValidation>
  </dataValidations>
  <pageMargins left="0.70866141732283472" right="0.70866141732283472" top="0.74803149606299213" bottom="0.74803149606299213" header="0.31496062992125984" footer="0.31496062992125984"/>
  <pageSetup scale="59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2059" r:id="rId4" name="TIButton5">
          <controlPr defaultSize="0" print="0" autoLine="0" r:id="rId5">
            <anchor moveWithCells="1" sizeWithCells="1">
              <from>
                <xdr:col>10</xdr:col>
                <xdr:colOff>609600</xdr:colOff>
                <xdr:row>71</xdr:row>
                <xdr:rowOff>0</xdr:rowOff>
              </from>
              <to>
                <xdr:col>11</xdr:col>
                <xdr:colOff>714375</xdr:colOff>
                <xdr:row>71</xdr:row>
                <xdr:rowOff>247650</xdr:rowOff>
              </to>
            </anchor>
          </controlPr>
        </control>
      </mc:Choice>
      <mc:Fallback>
        <control shapeId="2059" r:id="rId4" name="TIButton5"/>
      </mc:Fallback>
    </mc:AlternateContent>
    <mc:AlternateContent xmlns:mc="http://schemas.openxmlformats.org/markup-compatibility/2006">
      <mc:Choice Requires="x14">
        <control shapeId="2058" r:id="rId6" name="TIButton1">
          <controlPr defaultSize="0" print="0" autoLine="0" r:id="rId7">
            <anchor moveWithCells="1" sizeWithCells="1">
              <from>
                <xdr:col>9</xdr:col>
                <xdr:colOff>704850</xdr:colOff>
                <xdr:row>71</xdr:row>
                <xdr:rowOff>0</xdr:rowOff>
              </from>
              <to>
                <xdr:col>10</xdr:col>
                <xdr:colOff>581025</xdr:colOff>
                <xdr:row>71</xdr:row>
                <xdr:rowOff>247650</xdr:rowOff>
              </to>
            </anchor>
          </controlPr>
        </control>
      </mc:Choice>
      <mc:Fallback>
        <control shapeId="2058" r:id="rId6" name="TIButton1"/>
      </mc:Fallback>
    </mc:AlternateContent>
    <mc:AlternateContent xmlns:mc="http://schemas.openxmlformats.org/markup-compatibility/2006">
      <mc:Choice Requires="x14">
        <control shapeId="2057" r:id="rId8" name="TIButton3">
          <controlPr defaultSize="0" print="0" autoLine="0" r:id="rId9">
            <anchor moveWithCells="1" sizeWithCells="1">
              <from>
                <xdr:col>13</xdr:col>
                <xdr:colOff>600075</xdr:colOff>
                <xdr:row>71</xdr:row>
                <xdr:rowOff>0</xdr:rowOff>
              </from>
              <to>
                <xdr:col>14</xdr:col>
                <xdr:colOff>333375</xdr:colOff>
                <xdr:row>71</xdr:row>
                <xdr:rowOff>247650</xdr:rowOff>
              </to>
            </anchor>
          </controlPr>
        </control>
      </mc:Choice>
      <mc:Fallback>
        <control shapeId="2057" r:id="rId8" name="TIButton3"/>
      </mc:Fallback>
    </mc:AlternateContent>
    <mc:AlternateContent xmlns:mc="http://schemas.openxmlformats.org/markup-compatibility/2006">
      <mc:Choice Requires="x14">
        <control shapeId="2056" r:id="rId10" name="TIButton2">
          <controlPr defaultSize="0" print="0" autoLine="0" r:id="rId11">
            <anchor moveWithCells="1" sizeWithCells="1">
              <from>
                <xdr:col>9</xdr:col>
                <xdr:colOff>28575</xdr:colOff>
                <xdr:row>71</xdr:row>
                <xdr:rowOff>0</xdr:rowOff>
              </from>
              <to>
                <xdr:col>9</xdr:col>
                <xdr:colOff>666750</xdr:colOff>
                <xdr:row>71</xdr:row>
                <xdr:rowOff>247650</xdr:rowOff>
              </to>
            </anchor>
          </controlPr>
        </control>
      </mc:Choice>
      <mc:Fallback>
        <control shapeId="2056" r:id="rId10" name="TIButton2"/>
      </mc:Fallback>
    </mc:AlternateContent>
    <mc:AlternateContent xmlns:mc="http://schemas.openxmlformats.org/markup-compatibility/2006">
      <mc:Choice Requires="x14">
        <control shapeId="2054" r:id="rId12" name="TIButton4">
          <controlPr defaultSize="0" print="0" autoLine="0" r:id="rId13">
            <anchor moveWithCells="1" sizeWithCells="1">
              <from>
                <xdr:col>21</xdr:col>
                <xdr:colOff>733425</xdr:colOff>
                <xdr:row>70</xdr:row>
                <xdr:rowOff>38100</xdr:rowOff>
              </from>
              <to>
                <xdr:col>22</xdr:col>
                <xdr:colOff>0</xdr:colOff>
                <xdr:row>71</xdr:row>
                <xdr:rowOff>295275</xdr:rowOff>
              </to>
            </anchor>
          </controlPr>
        </control>
      </mc:Choice>
      <mc:Fallback>
        <control shapeId="2054" r:id="rId12" name="TIButton4"/>
      </mc:Fallback>
    </mc:AlternateContent>
    <mc:AlternateContent xmlns:mc="http://schemas.openxmlformats.org/markup-compatibility/2006">
      <mc:Choice Requires="x14">
        <control shapeId="2060" r:id="rId14" name="TIButton6">
          <controlPr defaultSize="0" print="0" autoLine="0" r:id="rId15">
            <anchor moveWithCells="1" sizeWithCells="1">
              <from>
                <xdr:col>11</xdr:col>
                <xdr:colOff>733425</xdr:colOff>
                <xdr:row>71</xdr:row>
                <xdr:rowOff>0</xdr:rowOff>
              </from>
              <to>
                <xdr:col>13</xdr:col>
                <xdr:colOff>571500</xdr:colOff>
                <xdr:row>71</xdr:row>
                <xdr:rowOff>247650</xdr:rowOff>
              </to>
            </anchor>
          </controlPr>
        </control>
      </mc:Choice>
      <mc:Fallback>
        <control shapeId="2060" r:id="rId14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report</vt:lpstr>
      <vt:lpstr>Account_Disp_List</vt:lpstr>
      <vt:lpstr>db_name</vt:lpstr>
      <vt:lpstr>Freeze_Rows_HERE</vt:lpstr>
      <vt:lpstr>HLYear_Period_List</vt:lpstr>
      <vt:lpstr>report!Print_Area</vt:lpstr>
      <vt:lpstr>psApp</vt:lpstr>
      <vt:lpstr>psProgDimName</vt:lpstr>
      <vt:lpstr>psUser</vt:lpstr>
      <vt:lpstr>sys_YN_list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report!TM1RPTDATARNG1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cp:lastPrinted>2019-09-11T01:20:33Z</cp:lastPrinted>
  <dcterms:created xsi:type="dcterms:W3CDTF">2019-01-25T10:51:51Z</dcterms:created>
  <dcterms:modified xsi:type="dcterms:W3CDTF">2025-08-05T04:45:20Z</dcterms:modified>
</cp:coreProperties>
</file>