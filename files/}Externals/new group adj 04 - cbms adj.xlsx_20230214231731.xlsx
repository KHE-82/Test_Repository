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E791B7E0-9702-4233-B44D-7D2657182820}" xr6:coauthVersionLast="47" xr6:coauthVersionMax="47" xr10:uidLastSave="{00000000-0000-0000-0000-000000000000}"/>
  <bookViews>
    <workbookView xWindow="57480" yWindow="-1965" windowWidth="29040" windowHeight="15840" xr2:uid="{DCAA775B-DBAE-4CDF-9117-8ABF28F64A85}"/>
  </bookViews>
  <sheets>
    <sheet name="group adj cbms" sheetId="1" r:id="rId1"/>
  </sheets>
  <definedNames>
    <definedName name="ae_grpadj_cbmsper">'group adj cbms'!$U$89</definedName>
    <definedName name="ae_grpadj_display">'group adj cbms'!$U$88</definedName>
    <definedName name="ae_grpcbmsadj_pyflag">'group adj cbms'!$T$64</definedName>
    <definedName name="db_name">'group adj cbms'!$C$12</definedName>
    <definedName name="Freeze_here">'group adj cbms'!$T$91</definedName>
    <definedName name="psApp">'group adj cbms'!$C$31</definedName>
    <definedName name="psHLYear">'group adj cbms'!$C$50</definedName>
    <definedName name="psID">'group adj cbms'!$C$52</definedName>
    <definedName name="psProgDimName">'group adj cbms'!$C$27</definedName>
    <definedName name="psScenario">'group adj cbms'!$C$51</definedName>
    <definedName name="psUser">'group adj cbms'!$C$14</definedName>
    <definedName name="RangeName_List">'group adj cbms'!#REF!</definedName>
    <definedName name="sys_disprep_list">'group adj cbms'!$F$68:$F$69</definedName>
    <definedName name="sys_perdisplay_list">'group adj cbms'!$G$68:$G$69</definedName>
    <definedName name="TargetCells">'group adj cbms'!$B$103</definedName>
    <definedName name="TM1AdjIDListCAP">'group adj cbms'!$D$37</definedName>
    <definedName name="TM1AdjIDListWB">'group adj cbms'!$F$37</definedName>
    <definedName name="TM1BackToAdjWB">'group adj cbms'!$C$44</definedName>
    <definedName name="TM1BackToAdjWS">'group adj cbms'!$D$44</definedName>
    <definedName name="TM1GrpNewAdj01HeaderCAP">'group adj cbms'!$D$39</definedName>
    <definedName name="TM1GrpNewAdj01HeaderWB">'group adj cbms'!$F$39</definedName>
    <definedName name="TM1GrpNewAdj01HeaderWS">'group adj cbms'!$H$39</definedName>
    <definedName name="TM1GrpNewAdj02ExpDataEntryCAP">'group adj cbms'!$D$40</definedName>
    <definedName name="TM1GrpNewAdj02ExpDataEntryWB">'group adj cbms'!$F$40</definedName>
    <definedName name="TM1GrpNewAdj02ExpDataEntryWS">'group adj cbms'!$H$40</definedName>
    <definedName name="TM1GrpNewAdj03CashDataEntryCAP">'group adj cbms'!$D$41</definedName>
    <definedName name="TM1GrpNewAdj03CashDataEntryWB">'group adj cbms'!$F$41</definedName>
    <definedName name="TM1GrpNewAdj03CashDataEntryWS">'group adj cbms'!$H$41</definedName>
    <definedName name="TM1GrpNewAdj08RecogDataEntryCAP">'group adj cbms'!$D$42</definedName>
    <definedName name="TM1GrpNewAdj08RecogDataEntryWB">'group adj cbms'!$F$42</definedName>
    <definedName name="TM1GrpNewAdj08RecogDataEntryWS">'group adj cbms'!$H$42</definedName>
    <definedName name="TM1HomeAEAccVarCAP">'group adj cbms'!$D$36</definedName>
    <definedName name="TM1HomeAEAccVarWB">'group adj cbms'!$F$36</definedName>
    <definedName name="TM1HomeAEAccVarWS">'group adj cbms'!$H$36</definedName>
    <definedName name="TM1HomeAECAP">'group adj cbms'!$D$34</definedName>
    <definedName name="TM1HomeAEDataEntryCAP">'group adj cbms'!$D$35</definedName>
    <definedName name="TM1HomeAEDataEntryWB">'group adj cbms'!$F$35</definedName>
    <definedName name="TM1HomeAEDataEntryWS">'group adj cbms'!$H$35</definedName>
    <definedName name="TM1HomeAEWB">'group adj cbms'!$F$34</definedName>
    <definedName name="TM1HomeAEWS">'group adj cbms'!$H$34</definedName>
    <definedName name="TM1HomeCAP">'group adj cbms'!$D$33</definedName>
    <definedName name="TM1HomeWB">'group adj cbms'!$F$33</definedName>
    <definedName name="TM1HomeWS">'group adj cbms'!$H$33</definedName>
    <definedName name="TM1IDListWS">'group adj cbms'!$H$37</definedName>
    <definedName name="TM1NewAdj03AuthCAP">'group adj cbms'!$D$38</definedName>
    <definedName name="TM1NewAdj03AuthWB">'group adj cbms'!$F$38</definedName>
    <definedName name="TM1NewAdj03AuthWS">'group adj cbms'!$H$38</definedName>
    <definedName name="TM1REBUILDOPTION">0</definedName>
    <definedName name="TM1RPTDATARNG1" localSheetId="0">'group adj cbms'!$94:$94</definedName>
    <definedName name="TM1RPTDATARNGARPTGRPCF" localSheetId="0">'group adj cbms'!$103:$103</definedName>
    <definedName name="TM1RPTFMTIDCOL" localSheetId="0">'group adj cbms'!$A$1:$A$8</definedName>
    <definedName name="TM1RPTFMTRNG" localSheetId="0">'group adj cbms'!$B$1:$AC$8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0" i="1" l="1"/>
  <c r="C47" i="1" a="1"/>
  <c r="C47" i="1"/>
  <c r="C14" i="1" a="1"/>
  <c r="C14" i="1"/>
  <c r="C50" i="1" a="1"/>
  <c r="C50" i="1"/>
  <c r="C51" i="1" a="1"/>
  <c r="C51" i="1"/>
  <c r="C52" i="1" a="1"/>
  <c r="C52" i="1"/>
  <c r="C68" i="1" a="1"/>
  <c r="C68" i="1"/>
  <c r="C81" i="1" a="1"/>
  <c r="C81" i="1"/>
  <c r="H42" i="1" a="1"/>
  <c r="H42" i="1"/>
  <c r="H40" i="1" a="1"/>
  <c r="H40" i="1"/>
  <c r="D44" i="1"/>
  <c r="F42" i="1" a="1"/>
  <c r="F42" i="1"/>
  <c r="F40" i="1" a="1"/>
  <c r="F40" i="1"/>
  <c r="C44" i="1"/>
  <c r="G42" i="1" a="1"/>
  <c r="G42" i="1"/>
  <c r="E42" i="1" a="1"/>
  <c r="E42" i="1"/>
  <c r="D42" i="1" a="1"/>
  <c r="D42" i="1"/>
  <c r="C42" i="1" a="1"/>
  <c r="C42" i="1"/>
  <c r="D56" i="1" a="1"/>
  <c r="D56" i="1"/>
  <c r="D55" i="1" a="1"/>
  <c r="D55" i="1"/>
  <c r="D54" i="1" a="1"/>
  <c r="D54" i="1"/>
  <c r="D53" i="1" a="1"/>
  <c r="D53" i="1"/>
  <c r="D52" i="1" a="1"/>
  <c r="D52" i="1"/>
  <c r="D51" i="1" a="1"/>
  <c r="D51" i="1"/>
  <c r="D50" i="1" a="1"/>
  <c r="D50" i="1"/>
  <c r="D59" i="1" a="1"/>
  <c r="D59" i="1"/>
  <c r="E68" i="1" a="1"/>
  <c r="E69" i="1" a="1"/>
  <c r="E103" i="1" a="1"/>
  <c r="E70" i="1" a="1"/>
  <c r="C77" i="1" a="1"/>
  <c r="C77" i="1"/>
  <c r="E71" i="1" a="1"/>
  <c r="E72" i="1" a="1"/>
  <c r="C76" i="1" a="1"/>
  <c r="C76" i="1"/>
  <c r="E73" i="1" a="1"/>
  <c r="E74" i="1" a="1"/>
  <c r="D103" i="1" a="1"/>
  <c r="E75" i="1" a="1"/>
  <c r="U88" i="1" a="1"/>
  <c r="U88" i="1"/>
  <c r="C20" i="1" a="1"/>
  <c r="C20" i="1"/>
  <c r="C27" i="1" a="1"/>
  <c r="C27" i="1"/>
  <c r="D61" i="1"/>
  <c r="E61" i="1"/>
  <c r="C61" i="1"/>
  <c r="B103" i="1" a="1"/>
  <c r="C103" i="1" a="1"/>
  <c r="F103" i="1" a="1"/>
  <c r="S74" i="1"/>
  <c r="U89" i="1" a="1"/>
  <c r="U89" i="1"/>
  <c r="AC70" i="1"/>
  <c r="AC71" i="1"/>
  <c r="AC74" i="1" a="1"/>
  <c r="AC74" i="1"/>
  <c r="AC93" i="1"/>
  <c r="E68" i="1"/>
  <c r="E69" i="1"/>
  <c r="E103" i="1"/>
  <c r="E70" i="1"/>
  <c r="E71" i="1"/>
  <c r="E72" i="1"/>
  <c r="E73" i="1"/>
  <c r="E74" i="1"/>
  <c r="D103" i="1"/>
  <c r="E75" i="1"/>
  <c r="B103" i="1"/>
  <c r="C103" i="1"/>
  <c r="F103" i="1"/>
  <c r="AC103" i="1" a="1"/>
  <c r="AC103" i="1"/>
  <c r="AB70" i="1"/>
  <c r="AB71" i="1"/>
  <c r="AB74" i="1" a="1"/>
  <c r="AB74" i="1"/>
  <c r="AB93" i="1"/>
  <c r="AB103" i="1" a="1"/>
  <c r="AB103" i="1"/>
  <c r="AA70" i="1"/>
  <c r="AA71" i="1"/>
  <c r="AA74" i="1" a="1"/>
  <c r="AA74" i="1"/>
  <c r="AA93" i="1"/>
  <c r="AA103" i="1" a="1"/>
  <c r="AA103" i="1"/>
  <c r="Z70" i="1"/>
  <c r="Z71" i="1"/>
  <c r="Z74" i="1" a="1"/>
  <c r="Z74" i="1"/>
  <c r="Z93" i="1"/>
  <c r="Z103" i="1" a="1"/>
  <c r="Z103" i="1"/>
  <c r="Y70" i="1"/>
  <c r="Y71" i="1"/>
  <c r="Y74" i="1" a="1"/>
  <c r="Y74" i="1"/>
  <c r="Y93" i="1"/>
  <c r="Y103" i="1" a="1"/>
  <c r="Y103" i="1"/>
  <c r="X70" i="1"/>
  <c r="X71" i="1"/>
  <c r="X74" i="1" a="1"/>
  <c r="X74" i="1"/>
  <c r="X93" i="1"/>
  <c r="X103" i="1" a="1"/>
  <c r="X103" i="1"/>
  <c r="W70" i="1"/>
  <c r="W71" i="1"/>
  <c r="W74" i="1" a="1"/>
  <c r="W74" i="1"/>
  <c r="W93" i="1"/>
  <c r="W103" i="1" a="1"/>
  <c r="W103" i="1"/>
  <c r="V70" i="1"/>
  <c r="V71" i="1"/>
  <c r="V74" i="1" a="1"/>
  <c r="V74" i="1"/>
  <c r="V93" i="1"/>
  <c r="V103" i="1" a="1"/>
  <c r="V103" i="1"/>
  <c r="U70" i="1"/>
  <c r="U71" i="1"/>
  <c r="U74" i="1" a="1"/>
  <c r="U74" i="1"/>
  <c r="U93" i="1"/>
  <c r="U103" i="1" a="1"/>
  <c r="U103" i="1"/>
  <c r="T70" i="1"/>
  <c r="T71" i="1"/>
  <c r="T74" i="1" a="1"/>
  <c r="T74" i="1"/>
  <c r="T93" i="1"/>
  <c r="T103" i="1" a="1"/>
  <c r="T103" i="1"/>
  <c r="G103" i="1" a="1"/>
  <c r="G103" i="1"/>
  <c r="A103" i="1" a="1"/>
  <c r="A103" i="1"/>
  <c r="C60" i="1" a="1"/>
  <c r="C60" i="1"/>
  <c r="C80" i="1" a="1"/>
  <c r="C80" i="1"/>
  <c r="B97" i="1"/>
  <c r="AC97" i="1" a="1"/>
  <c r="AC97" i="1"/>
  <c r="AB97" i="1" a="1"/>
  <c r="AB97" i="1"/>
  <c r="AA97" i="1" a="1"/>
  <c r="AA97" i="1"/>
  <c r="Z97" i="1" a="1"/>
  <c r="Z97" i="1"/>
  <c r="Y97" i="1" a="1"/>
  <c r="Y97" i="1"/>
  <c r="X97" i="1" a="1"/>
  <c r="X97" i="1"/>
  <c r="W97" i="1" a="1"/>
  <c r="W97" i="1"/>
  <c r="V97" i="1" a="1"/>
  <c r="V97" i="1"/>
  <c r="U97" i="1" a="1"/>
  <c r="U97" i="1"/>
  <c r="T97" i="1" a="1"/>
  <c r="T97" i="1"/>
  <c r="B96" i="1"/>
  <c r="AC96" i="1" a="1"/>
  <c r="AC96" i="1"/>
  <c r="AB96" i="1" a="1"/>
  <c r="AB96" i="1"/>
  <c r="AA96" i="1" a="1"/>
  <c r="AA96" i="1"/>
  <c r="Z96" i="1" a="1"/>
  <c r="Z96" i="1"/>
  <c r="Y96" i="1" a="1"/>
  <c r="Y96" i="1"/>
  <c r="X96" i="1" a="1"/>
  <c r="X96" i="1"/>
  <c r="W96" i="1" a="1"/>
  <c r="W96" i="1"/>
  <c r="V96" i="1" a="1"/>
  <c r="V96" i="1"/>
  <c r="U96" i="1" a="1"/>
  <c r="U96" i="1"/>
  <c r="T96" i="1" a="1"/>
  <c r="T96" i="1"/>
  <c r="C59" i="1" a="1"/>
  <c r="C59" i="1"/>
  <c r="E94" i="1" a="1"/>
  <c r="E94" i="1"/>
  <c r="D94" i="1" a="1"/>
  <c r="B94" i="1" a="1"/>
  <c r="C94" i="1" a="1"/>
  <c r="F94" i="1" a="1"/>
  <c r="D94" i="1"/>
  <c r="B94" i="1"/>
  <c r="C94" i="1"/>
  <c r="F94" i="1"/>
  <c r="AC94" i="1" a="1"/>
  <c r="AC94" i="1"/>
  <c r="AB94" i="1" a="1"/>
  <c r="AB94" i="1"/>
  <c r="AA94" i="1" a="1"/>
  <c r="AA94" i="1"/>
  <c r="Z94" i="1" a="1"/>
  <c r="Z94" i="1"/>
  <c r="Y94" i="1" a="1"/>
  <c r="Y94" i="1"/>
  <c r="X94" i="1" a="1"/>
  <c r="X94" i="1"/>
  <c r="W94" i="1" a="1"/>
  <c r="W94" i="1"/>
  <c r="V94" i="1" a="1"/>
  <c r="V94" i="1"/>
  <c r="U94" i="1" a="1"/>
  <c r="U94" i="1"/>
  <c r="T94" i="1" a="1"/>
  <c r="T94" i="1"/>
  <c r="G94" i="1" a="1"/>
  <c r="G94" i="1"/>
  <c r="A94" i="1" a="1"/>
  <c r="A94" i="1"/>
  <c r="C79" i="1" a="1"/>
  <c r="C79" i="1"/>
  <c r="C78" i="1" a="1"/>
  <c r="C78" i="1"/>
  <c r="C75" i="1" a="1"/>
  <c r="C75" i="1"/>
  <c r="C74" i="1" a="1"/>
  <c r="C74" i="1"/>
  <c r="C73" i="1" a="1"/>
  <c r="C73" i="1"/>
  <c r="C72" i="1" a="1"/>
  <c r="C72" i="1"/>
  <c r="C71" i="1" a="1"/>
  <c r="C71" i="1"/>
  <c r="C70" i="1" a="1"/>
  <c r="C70" i="1"/>
  <c r="C69" i="1" a="1"/>
  <c r="C69" i="1"/>
  <c r="C56" i="1" a="1"/>
  <c r="C56" i="1"/>
  <c r="C55" i="1" a="1"/>
  <c r="C55" i="1"/>
  <c r="C54" i="1" a="1"/>
  <c r="C54" i="1"/>
  <c r="C53" i="1" a="1"/>
  <c r="C53" i="1"/>
  <c r="C49" i="1" a="1"/>
  <c r="C49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G40" i="1" a="1"/>
  <c r="G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26" i="1" a="1"/>
  <c r="C26" i="1"/>
  <c r="C25" i="1" a="1"/>
  <c r="C25" i="1"/>
  <c r="C24" i="1" a="1"/>
  <c r="C24" i="1"/>
  <c r="C23" i="1" a="1"/>
  <c r="C23" i="1"/>
  <c r="C22" i="1" a="1"/>
  <c r="C22" i="1"/>
  <c r="C21" i="1" a="1"/>
  <c r="C21" i="1"/>
  <c r="C13" i="1" a="1"/>
  <c r="C13" i="1"/>
  <c r="C16" i="1" a="1"/>
  <c r="C16" i="1"/>
  <c r="C15" i="1" a="1"/>
  <c r="C15" i="1"/>
  <c r="Q88" i="1"/>
  <c r="N88" i="1"/>
  <c r="K88" i="1"/>
  <c r="C17" i="1"/>
  <c r="S103" i="1"/>
  <c r="R103" i="1"/>
  <c r="Q103" i="1"/>
  <c r="N103" i="1"/>
  <c r="K103" i="1"/>
  <c r="J103" i="1"/>
  <c r="AC102" i="1"/>
  <c r="AB102" i="1"/>
  <c r="AA102" i="1"/>
  <c r="Z102" i="1"/>
  <c r="Y102" i="1"/>
  <c r="X102" i="1"/>
  <c r="W102" i="1"/>
  <c r="V102" i="1"/>
  <c r="U102" i="1"/>
  <c r="T102" i="1"/>
  <c r="AC98" i="1"/>
  <c r="AB98" i="1"/>
  <c r="AA98" i="1"/>
  <c r="Z98" i="1"/>
  <c r="Y98" i="1"/>
  <c r="X98" i="1"/>
  <c r="W98" i="1"/>
  <c r="V98" i="1"/>
  <c r="U98" i="1"/>
  <c r="T98" i="1"/>
  <c r="S94" i="1"/>
  <c r="R94" i="1"/>
  <c r="Q94" i="1"/>
  <c r="N94" i="1"/>
  <c r="K94" i="1"/>
  <c r="J94" i="1"/>
  <c r="K89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<sst xmlns="http://schemas.openxmlformats.org/spreadsheetml/2006/main" count="194" uniqueCount="143">
  <si>
    <t>[Begin Format Range]</t>
  </si>
  <si>
    <t>D</t>
  </si>
  <si>
    <t>N</t>
  </si>
  <si>
    <t>[End Format Range]</t>
  </si>
  <si>
    <t>Prior Year Flag</t>
  </si>
  <si>
    <t>System Information</t>
  </si>
  <si>
    <t>Other Parameters</t>
  </si>
  <si>
    <t>Prior Year Selection</t>
  </si>
  <si>
    <t>Database</t>
  </si>
  <si>
    <t>PY Cur Title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</si>
  <si>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</si>
  <si>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</si>
  <si>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</si>
  <si>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</si>
  <si>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</si>
  <si>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</si>
  <si>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</si>
  <si>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</si>
  <si>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</si>
  <si>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</si>
  <si>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Active Form View</t>
  </si>
  <si>
    <t>PY Next 10 Title</t>
  </si>
  <si>
    <t>FE9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</si>
  <si>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</si>
  <si>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</si>
  <si>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</si>
  <si>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</si>
  <si>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</si>
  <si>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</si>
  <si>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</si>
  <si>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</si>
  <si>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</si>
  <si>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Cube Slice View</t>
  </si>
  <si>
    <t xml:space="preserve">Next 10 </t>
  </si>
  <si>
    <t>Programme MDX</t>
  </si>
  <si>
    <t>Current</t>
  </si>
  <si>
    <t xml:space="preserve">Account MDX </t>
  </si>
  <si>
    <t>{FILTER( { EXCEPT( {TM1SORT( {TM1FILTERBYLEVEL( {TM1SUBSETALL( [account] )}, 0)}, ASC)}, {[account].[9000520], [account].[9000525], [account].[9000510], [account].[9000515], [account].[9000701], [account].[9000702], [account].[account template] }) }, [account].[Account Type] &lt;&gt; "Cash Flow")}</t>
  </si>
  <si>
    <t>{ EXCEPT( {FILTER( {TM1SORT( {TM1FILTERBYLEVEL( {TM1SUBSETALL( [account] )}, 0)}, ASC)}, [account].[Account type] = "Cash Flow")}, { [account].[6100001] }) }</t>
  </si>
  <si>
    <t>Use</t>
  </si>
  <si>
    <t>Movement Account MDX</t>
  </si>
  <si>
    <t>{FILTER( {TM1FILTERBYLEVEL( {TM1SUBSETALL( [movement account] )}, 0)}, [movement account].[editable] = "")}</t>
  </si>
  <si>
    <t>PA</t>
  </si>
  <si>
    <t>Related Entity MDX</t>
  </si>
  <si>
    <t>{TM1FILTERBYLEVEL( {TM1SUBSETALL( [related entity] )}, 0)}</t>
  </si>
  <si>
    <t>Jurisdiction MDX</t>
  </si>
  <si>
    <t>{TM1FILTERBYLEVEL( {TM1SUBSETALL( [jurisdiction] )}, 0)}</t>
  </si>
  <si>
    <t>Current User</t>
  </si>
  <si>
    <t>Selected User ID Details</t>
  </si>
  <si>
    <t>Used For Active Form</t>
  </si>
  <si>
    <t>Cube View</t>
  </si>
  <si>
    <t>status</t>
  </si>
  <si>
    <t>outcome</t>
  </si>
  <si>
    <t>function</t>
  </si>
  <si>
    <t>reason</t>
  </si>
  <si>
    <t>appropriation type</t>
  </si>
  <si>
    <t>spp</t>
  </si>
  <si>
    <t>programme code</t>
  </si>
  <si>
    <t>measure code</t>
  </si>
  <si>
    <t>programme description</t>
  </si>
  <si>
    <t>appropriation item</t>
  </si>
  <si>
    <t>measure</t>
  </si>
  <si>
    <t>title</t>
  </si>
  <si>
    <t>control type</t>
  </si>
  <si>
    <t>View Group CBMS Adjustment</t>
  </si>
  <si>
    <t>Summary</t>
  </si>
  <si>
    <t>Income and Balance Sheet Statements</t>
  </si>
  <si>
    <t>Programme</t>
  </si>
  <si>
    <t>Account</t>
  </si>
  <si>
    <t>Movement Account</t>
  </si>
  <si>
    <t>Related Entity</t>
  </si>
  <si>
    <t>Jurisdiction</t>
  </si>
  <si>
    <t>Natural Sign</t>
  </si>
  <si>
    <t>DR/CR</t>
  </si>
  <si>
    <t>3800001</t>
  </si>
  <si>
    <t>balance check</t>
  </si>
  <si>
    <t>Total related entity</t>
  </si>
  <si>
    <t>Total jurisdictions</t>
  </si>
  <si>
    <t>Total Balance Sheet</t>
  </si>
  <si>
    <t>5234101</t>
  </si>
  <si>
    <t>Balance Check</t>
  </si>
  <si>
    <t>Cash Flow Statements</t>
  </si>
  <si>
    <t>sys_disprep_list</t>
  </si>
  <si>
    <t>sys_perdisplay_list</t>
  </si>
  <si>
    <t xml:space="preserve">Scenario: </t>
  </si>
  <si>
    <t xml:space="preserve">ID: </t>
  </si>
  <si>
    <t xml:space="preserve">Display: </t>
  </si>
  <si>
    <t xml:space="preserve">Periods: </t>
  </si>
  <si>
    <t>Detail</t>
  </si>
  <si>
    <t>Next 10 FE</t>
  </si>
  <si>
    <t>}Clients</t>
  </si>
  <si>
    <t>TM1 User</t>
  </si>
  <si>
    <t>}TM1_DefaultDisplayValue</t>
  </si>
  <si>
    <t>GEUS User Name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</si>
  <si>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</si>
  <si>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</si>
  <si>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</si>
  <si>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</si>
  <si>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</si>
  <si>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</si>
  <si>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</si>
  <si>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</si>
  <si>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program dimension name</t>
  </si>
  <si>
    <t>sys_application MDX</t>
  </si>
  <si>
    <t>Slice View (sys_application)</t>
  </si>
  <si>
    <t>Current Workbook</t>
  </si>
  <si>
    <t>Group Data Entry - New Adj 02 - Expense Data Entry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</si>
  <si>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</si>
  <si>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</si>
  <si>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</si>
  <si>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</si>
  <si>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</si>
  <si>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</si>
  <si>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</si>
  <si>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</si>
  <si>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</si>
  <si>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</si>
  <si>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Annual Estimates - Account Variation</t>
  </si>
  <si>
    <t>Adjustment - ID List</t>
  </si>
  <si>
    <t>Data Entry - New Adj 03 - Authorise</t>
  </si>
  <si>
    <t>Group Data Entry - New Adj 01 - Header Details</t>
  </si>
  <si>
    <t>Group Data Entry - New Adj 03 - Cash Data Entry</t>
  </si>
  <si>
    <t>Group Data Entry - New Adj 04 - CBMS Adj View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</si>
  <si>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</si>
  <si>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</si>
  <si>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</si>
  <si>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</si>
  <si>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</si>
  <si>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</si>
  <si>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</si>
  <si>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group adj_program</t>
  </si>
  <si>
    <t>group adj_account template</t>
  </si>
  <si>
    <t>group adj_related entity</t>
  </si>
  <si>
    <t>group adj_jurisdiction</t>
  </si>
  <si>
    <t>Prior Year Actual</t>
  </si>
  <si>
    <t>Program</t>
  </si>
  <si>
    <t>AE Adjustments</t>
  </si>
  <si>
    <t>Headline Year :</t>
  </si>
  <si>
    <t>Title:</t>
  </si>
  <si>
    <t>Group Data Entry - New Adj 08 - Recognition</t>
  </si>
  <si>
    <t>group adj type</t>
  </si>
  <si>
    <t>Back To Adjustment Navigation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</si>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</sst>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[Red]* \(#,##0\)_-;_-* &quot;-&quot;??_-;_-@_-"/>
    <numFmt numFmtId="166" formatCode="_(* #,##0_);[Red]_(* \(#,##0\);_(* &quot;-&quot;??_);_(@_)"/>
    <numFmt numFmtId="167" formatCode="_(* #,##0_);_(* \(#,##0\);_(* &quot;-&quot;??_);_(@_)"/>
    <numFmt numFmtId="168" formatCode="_-* #,##0_-;* \(#,##0\)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3F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65" fontId="3" fillId="0" borderId="1" xfId="1" applyNumberFormat="1" applyFont="1" applyBorder="1"/>
    <xf numFmtId="166" fontId="0" fillId="0" borderId="0" xfId="1" applyNumberFormat="1" applyFont="1"/>
    <xf numFmtId="167" fontId="0" fillId="0" borderId="0" xfId="1" applyNumberFormat="1" applyFont="1"/>
    <xf numFmtId="0" fontId="5" fillId="0" borderId="5" xfId="0" applyFont="1" applyBorder="1" applyAlignment="1">
      <alignment horizontal="right"/>
    </xf>
    <xf numFmtId="0" fontId="5" fillId="0" borderId="6" xfId="0" applyFont="1" applyBorder="1" applyProtection="1">
      <protection locked="0"/>
    </xf>
    <xf numFmtId="0" fontId="5" fillId="0" borderId="6" xfId="0" applyFont="1" applyBorder="1"/>
    <xf numFmtId="0" fontId="5" fillId="0" borderId="7" xfId="0" applyFont="1" applyBorder="1"/>
    <xf numFmtId="0" fontId="2" fillId="0" borderId="0" xfId="0" applyFont="1"/>
    <xf numFmtId="0" fontId="5" fillId="0" borderId="8" xfId="0" applyFont="1" applyBorder="1" applyAlignment="1">
      <alignment horizontal="right"/>
    </xf>
    <xf numFmtId="0" fontId="5" fillId="0" borderId="0" xfId="0" applyFont="1"/>
    <xf numFmtId="0" fontId="5" fillId="0" borderId="9" xfId="0" applyFont="1" applyBorder="1"/>
    <xf numFmtId="0" fontId="4" fillId="0" borderId="1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8" fillId="0" borderId="0" xfId="0" applyFont="1" applyAlignment="1">
      <alignment horizontal="left" indent="1"/>
    </xf>
    <xf numFmtId="0" fontId="5" fillId="0" borderId="0" xfId="0" quotePrefix="1" applyFont="1"/>
    <xf numFmtId="0" fontId="8" fillId="0" borderId="0" xfId="0" applyFont="1" applyAlignment="1">
      <alignment horizontal="right"/>
    </xf>
    <xf numFmtId="168" fontId="3" fillId="0" borderId="1" xfId="2" applyNumberFormat="1" applyFont="1" applyBorder="1"/>
    <xf numFmtId="0" fontId="8" fillId="0" borderId="0" xfId="0" applyFont="1" applyAlignment="1">
      <alignment horizontal="right" indent="1"/>
    </xf>
    <xf numFmtId="168" fontId="3" fillId="5" borderId="1" xfId="1" applyNumberFormat="1" applyFont="1" applyFill="1" applyBorder="1"/>
    <xf numFmtId="49" fontId="0" fillId="0" borderId="1" xfId="0" applyNumberFormat="1" applyBorder="1"/>
    <xf numFmtId="0" fontId="9" fillId="6" borderId="0" xfId="0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3" borderId="1" xfId="0" applyFont="1" applyFill="1" applyBorder="1"/>
    <xf numFmtId="0" fontId="4" fillId="7" borderId="1" xfId="0" applyFont="1" applyFill="1" applyBorder="1"/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right" vertical="center"/>
    </xf>
    <xf numFmtId="0" fontId="11" fillId="0" borderId="0" xfId="0" applyFont="1"/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5" borderId="15" xfId="0" applyFont="1" applyFill="1" applyBorder="1"/>
    <xf numFmtId="0" fontId="2" fillId="5" borderId="14" xfId="0" applyFont="1" applyFill="1" applyBorder="1"/>
    <xf numFmtId="0" fontId="2" fillId="0" borderId="1" xfId="0" applyFont="1" applyBorder="1" applyAlignment="1">
      <alignment horizontal="center"/>
    </xf>
    <xf numFmtId="0" fontId="5" fillId="5" borderId="0" xfId="0" applyFont="1" applyFill="1"/>
    <xf numFmtId="0" fontId="5" fillId="5" borderId="9" xfId="0" applyFont="1" applyFill="1" applyBorder="1"/>
    <xf numFmtId="0" fontId="3" fillId="0" borderId="1" xfId="0" applyFont="1" applyBorder="1" applyAlignment="1">
      <alignment horizontal="center"/>
    </xf>
    <xf numFmtId="0" fontId="10" fillId="0" borderId="0" xfId="3" applyFont="1" applyAlignment="1">
      <alignment horizontal="left" indent="1"/>
    </xf>
    <xf numFmtId="0" fontId="10" fillId="0" borderId="0" xfId="3" applyFont="1" applyAlignment="1">
      <alignment horizontal="right" indent="1"/>
    </xf>
    <xf numFmtId="0" fontId="7" fillId="0" borderId="0" xfId="0" applyFont="1"/>
    <xf numFmtId="0" fontId="2" fillId="0" borderId="0" xfId="0" applyFont="1" applyAlignment="1">
      <alignment horizontal="right" indent="1"/>
    </xf>
    <xf numFmtId="0" fontId="12" fillId="8" borderId="1" xfId="0" applyFont="1" applyFill="1" applyBorder="1" applyAlignment="1">
      <alignment horizontal="center"/>
    </xf>
    <xf numFmtId="0" fontId="0" fillId="9" borderId="1" xfId="0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5" fillId="8" borderId="2" xfId="0" applyFont="1" applyFill="1" applyBorder="1" applyAlignment="1">
      <alignment horizontal="left" indent="1"/>
    </xf>
    <xf numFmtId="0" fontId="5" fillId="8" borderId="3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left" indent="1"/>
    </xf>
    <xf numFmtId="0" fontId="2" fillId="8" borderId="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</cellXfs>
  <cellStyles count="4">
    <cellStyle name="Comma" xfId="1" builtinId="3"/>
    <cellStyle name="Comma 2" xfId="2" xr:uid="{05489A74-94CD-4895-9D29-AFD196E62CF1}"/>
    <cellStyle name="Normal" xfId="0" builtinId="0"/>
    <cellStyle name="Normal 3" xfId="3" xr:uid="{7A785B41-3BC4-4B4F-8B90-02463B7B1184}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2F3F3"/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82</xdr:row>
      <xdr:rowOff>28575</xdr:rowOff>
    </xdr:from>
    <xdr:to>
      <xdr:col>9</xdr:col>
      <xdr:colOff>1811232</xdr:colOff>
      <xdr:row>82</xdr:row>
      <xdr:rowOff>474345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834092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22860</xdr:colOff>
          <xdr:row>84</xdr:row>
          <xdr:rowOff>22860</xdr:rowOff>
        </xdr:from>
        <xdr:to>
          <xdr:col>9</xdr:col>
          <xdr:colOff>1280160</xdr:colOff>
          <xdr:row>84</xdr:row>
          <xdr:rowOff>274320</xdr:rowOff>
        </xdr:to>
        <xdr:sp macro="" textlink="">
          <xdr:nvSpPr>
            <xdr:cNvPr id="1099" name="TIButton1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1303020</xdr:colOff>
          <xdr:row>84</xdr:row>
          <xdr:rowOff>22860</xdr:rowOff>
        </xdr:from>
        <xdr:to>
          <xdr:col>9</xdr:col>
          <xdr:colOff>2087880</xdr:colOff>
          <xdr:row>84</xdr:row>
          <xdr:rowOff>274320</xdr:rowOff>
        </xdr:to>
        <xdr:sp macro="" textlink="">
          <xdr:nvSpPr>
            <xdr:cNvPr id="1100" name="TIButton2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C288-A187-4249-B474-3EE322F50CC5}">
  <sheetPr codeName="Sheet31">
    <outlinePr showOutlineSymbols="0"/>
    <pageSetUpPr fitToPage="1"/>
  </sheetPr>
  <dimension ref="A1:AE103"/>
  <sheetViews>
    <sheetView showGridLines="0" showRowColHeaders="0" tabSelected="1" showOutlineSymbols="0" topLeftCell="A83" zoomScaleNormal="100" workbookViewId="0">
      <pane xSplit="19" ySplit="11" topLeftCell="T94" activePane="bottomRight" state="frozen"/>
      <selection activeCell="I83" sqref="I83"/>
      <selection pane="topRight" activeCell="T83" sqref="T83"/>
      <selection pane="bottomLeft" activeCell="I94" sqref="I94"/>
      <selection pane="bottomRight" activeCell="T91" sqref="T91"/>
    </sheetView>
  </sheetViews>
  <sheetFormatPr defaultRowHeight="14.4" outlineLevelRow="1" outlineLevelCol="1" x14ac:dyDescent="0.3"/>
  <cols>
    <col min="1" max="1" width="10.5546875" hidden="1" customWidth="1" outlineLevel="1"/>
    <col min="2" max="2" width="59.33203125" hidden="1" customWidth="1" outlineLevel="1"/>
    <col min="3" max="3" width="33.6640625" hidden="1" customWidth="1" outlineLevel="1"/>
    <col min="4" max="4" width="24.44140625" hidden="1" customWidth="1" outlineLevel="1"/>
    <col min="5" max="5" width="18.33203125" hidden="1" customWidth="1" outlineLevel="1"/>
    <col min="6" max="6" width="8.44140625" hidden="1" customWidth="1" outlineLevel="1"/>
    <col min="7" max="7" width="15.6640625" hidden="1" customWidth="1" outlineLevel="1"/>
    <col min="8" max="8" width="25.5546875" hidden="1" customWidth="1" outlineLevel="1"/>
    <col min="9" max="9" width="0.88671875" customWidth="1" collapsed="1"/>
    <col min="10" max="10" width="42.6640625" customWidth="1"/>
    <col min="11" max="13" width="12.6640625" customWidth="1"/>
    <col min="14" max="16" width="8.6640625" customWidth="1"/>
    <col min="17" max="17" width="15.6640625" customWidth="1"/>
    <col min="18" max="18" width="10.6640625" customWidth="1"/>
    <col min="19" max="19" width="7.6640625" customWidth="1"/>
    <col min="20" max="29" width="12.6640625" customWidth="1"/>
  </cols>
  <sheetData>
    <row r="1" spans="1:31" hidden="1" outlineLevel="1" x14ac:dyDescent="0.3">
      <c r="A1" t="s">
        <v>0</v>
      </c>
    </row>
    <row r="2" spans="1:31" hidden="1" outlineLevel="1" x14ac:dyDescent="0.3">
      <c r="A2">
        <f>0</f>
        <v>0</v>
      </c>
      <c r="B2" s="1"/>
      <c r="C2" s="2"/>
      <c r="D2" s="2"/>
      <c r="E2" s="2"/>
      <c r="F2" s="2"/>
      <c r="J2" s="3"/>
      <c r="K2" s="53"/>
      <c r="L2" s="54"/>
      <c r="M2" s="55"/>
      <c r="N2" s="53"/>
      <c r="O2" s="54"/>
      <c r="P2" s="55"/>
      <c r="Q2" s="4"/>
      <c r="R2" s="46"/>
      <c r="S2" s="5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31" hidden="1" outlineLevel="1" x14ac:dyDescent="0.3">
      <c r="A3">
        <f>1</f>
        <v>1</v>
      </c>
      <c r="B3" s="2"/>
      <c r="C3" s="2"/>
      <c r="D3" s="2"/>
      <c r="E3" s="2"/>
      <c r="F3" s="2"/>
      <c r="J3" s="3"/>
      <c r="K3" s="53"/>
      <c r="L3" s="54"/>
      <c r="M3" s="55"/>
      <c r="N3" s="53"/>
      <c r="O3" s="54"/>
      <c r="P3" s="55"/>
      <c r="Q3" s="4"/>
      <c r="R3" s="46"/>
      <c r="S3" s="5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31" hidden="1" outlineLevel="1" x14ac:dyDescent="0.3">
      <c r="A4">
        <f>2</f>
        <v>2</v>
      </c>
      <c r="B4" s="2"/>
      <c r="C4" s="2"/>
      <c r="D4" s="2"/>
      <c r="E4" s="2"/>
      <c r="F4" s="2"/>
      <c r="J4" s="3"/>
      <c r="K4" s="53"/>
      <c r="L4" s="54"/>
      <c r="M4" s="55"/>
      <c r="N4" s="53"/>
      <c r="O4" s="54"/>
      <c r="P4" s="55"/>
      <c r="Q4" s="4"/>
      <c r="R4" s="46"/>
      <c r="S4" s="5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1" hidden="1" outlineLevel="1" x14ac:dyDescent="0.3">
      <c r="A5">
        <f>3</f>
        <v>3</v>
      </c>
      <c r="B5" s="2"/>
      <c r="C5" s="2"/>
      <c r="D5" s="2"/>
      <c r="E5" s="2"/>
      <c r="F5" s="2"/>
      <c r="J5" s="3"/>
      <c r="K5" s="53"/>
      <c r="L5" s="54"/>
      <c r="M5" s="55"/>
      <c r="N5" s="53"/>
      <c r="O5" s="54"/>
      <c r="P5" s="55"/>
      <c r="Q5" s="4"/>
      <c r="R5" s="46"/>
      <c r="S5" s="5"/>
      <c r="T5" s="6"/>
      <c r="U5" s="6"/>
      <c r="V5" s="6"/>
      <c r="W5" s="6"/>
      <c r="X5" s="6"/>
      <c r="Y5" s="6"/>
      <c r="Z5" s="6"/>
      <c r="AA5" s="6"/>
      <c r="AB5" s="6"/>
      <c r="AC5" s="6"/>
      <c r="AE5" s="7"/>
    </row>
    <row r="6" spans="1:31" hidden="1" outlineLevel="1" x14ac:dyDescent="0.3">
      <c r="A6" t="s">
        <v>1</v>
      </c>
      <c r="B6" s="2"/>
      <c r="C6" s="2"/>
      <c r="D6" s="2"/>
      <c r="E6" s="2"/>
      <c r="F6" s="2"/>
      <c r="J6" s="3"/>
      <c r="K6" s="53"/>
      <c r="L6" s="54"/>
      <c r="M6" s="55"/>
      <c r="N6" s="53"/>
      <c r="O6" s="54"/>
      <c r="P6" s="55"/>
      <c r="Q6" s="4"/>
      <c r="R6" s="46"/>
      <c r="S6" s="5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31" hidden="1" outlineLevel="1" x14ac:dyDescent="0.3">
      <c r="A7" t="s">
        <v>2</v>
      </c>
      <c r="B7" s="2"/>
      <c r="C7" s="2"/>
      <c r="D7" s="2"/>
      <c r="E7" s="2"/>
      <c r="F7" s="2"/>
      <c r="J7" s="3"/>
      <c r="K7" s="53"/>
      <c r="L7" s="54"/>
      <c r="M7" s="55"/>
      <c r="N7" s="53"/>
      <c r="O7" s="54"/>
      <c r="P7" s="55"/>
      <c r="Q7" s="4"/>
      <c r="R7" s="46"/>
      <c r="S7" s="5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31" hidden="1" outlineLevel="1" x14ac:dyDescent="0.3">
      <c r="A8" t="s">
        <v>3</v>
      </c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31" hidden="1" outlineLevel="1" x14ac:dyDescent="0.3"/>
    <row r="10" spans="1:31" hidden="1" outlineLevel="1" x14ac:dyDescent="0.3"/>
    <row r="11" spans="1:31" hidden="1" outlineLevel="1" x14ac:dyDescent="0.3">
      <c r="B11" s="56" t="s">
        <v>5</v>
      </c>
      <c r="C11" s="56"/>
      <c r="D11" s="13" t="s">
        <v>6</v>
      </c>
    </row>
    <row r="12" spans="1:31" hidden="1" outlineLevel="1" x14ac:dyDescent="0.3">
      <c r="B12" s="17" t="s">
        <v>8</v>
      </c>
      <c r="C12" s="4" t="s">
        <v>142</v>
      </c>
    </row>
    <row r="13" spans="1:31" hidden="1" outlineLevel="1" x14ac:dyDescent="0.3">
      <c r="B13" s="1" t="s">
        <v>90</v>
      </c>
      <c r="C13" s="39" t="str" cm="1">
        <f t="array" aca="1" ref="C13" ca="1">_xll.VIEW(db_name&amp;":}ElementAttributes_}Clients","!","!")</f>
        <v>dcceew_geus:}ElementAttributes_}Clients</v>
      </c>
      <c r="D13" s="2"/>
    </row>
    <row r="14" spans="1:31" hidden="1" outlineLevel="1" x14ac:dyDescent="0.3">
      <c r="B14" s="1" t="s">
        <v>91</v>
      </c>
      <c r="C14" s="40" t="str" cm="1">
        <f t="array" aca="1" ref="C14" ca="1">_xll.TM1USER(db_name)</f>
        <v/>
      </c>
      <c r="D14" s="2"/>
    </row>
    <row r="15" spans="1:31" hidden="1" outlineLevel="1" x14ac:dyDescent="0.3">
      <c r="B15" s="1" t="s">
        <v>92</v>
      </c>
      <c r="C15" s="40" t="str" cm="1">
        <f t="array" aca="1" ref="C15" ca="1">_xll.DBR($C$13,$C$14,$B15)</f>
        <v>*KEY_ERR</v>
      </c>
      <c r="D15" s="2"/>
    </row>
    <row r="16" spans="1:31" hidden="1" outlineLevel="1" x14ac:dyDescent="0.3">
      <c r="B16" s="1" t="s">
        <v>93</v>
      </c>
      <c r="C16" s="40" t="str" cm="1">
        <f t="array" aca="1" ref="C16" ca="1">_xll.DBR($C$13,$C$14,$B16)</f>
        <v>*KEY_ERR</v>
      </c>
      <c r="D16" s="2"/>
    </row>
    <row r="17" spans="2:8" hidden="1" outlineLevel="1" x14ac:dyDescent="0.3">
      <c r="B17" s="1" t="s">
        <v>47</v>
      </c>
      <c r="C17" s="40" t="str">
        <f ca="1">IF(LEFT($C$15,6)="CAM_AD",$C$16,$C$15)</f>
        <v>*KEY_ERR</v>
      </c>
      <c r="D17" s="2"/>
    </row>
    <row r="18" spans="2:8" hidden="1" outlineLevel="1" x14ac:dyDescent="0.3"/>
    <row r="19" spans="2:8" hidden="1" outlineLevel="1" x14ac:dyDescent="0.3">
      <c r="B19" s="58" t="s">
        <v>94</v>
      </c>
      <c r="C19" s="59"/>
      <c r="D19" s="60"/>
    </row>
    <row r="20" spans="2:8" hidden="1" outlineLevel="1" x14ac:dyDescent="0.3">
      <c r="B20" s="1" t="s">
        <v>95</v>
      </c>
      <c r="C20" s="2" t="str" cm="1">
        <f t="array" aca="1" ref="C20" ca="1">_xll.VIEW(db_name&amp;":}ElementAttributes_variables","!","!")</f>
        <v>dcceew_geus:}ElementAttributes_variables</v>
      </c>
      <c r="D20" s="2"/>
    </row>
    <row r="21" spans="2:8" hidden="1" outlineLevel="1" x14ac:dyDescent="0.3">
      <c r="B21" s="1" t="s">
        <v>96</v>
      </c>
      <c r="C21" s="2" t="str" cm="1">
        <f t="array" aca="1" ref="C21" ca="1">_xll.DBR($C$20,$B21,"value")</f>
        <v>*KEY_ERR</v>
      </c>
      <c r="D21" s="2"/>
    </row>
    <row r="22" spans="2:8" hidden="1" outlineLevel="1" x14ac:dyDescent="0.3">
      <c r="B22" s="1" t="s">
        <v>97</v>
      </c>
      <c r="C22" s="2" t="str" cm="1">
        <f t="array" aca="1" ref="C22" ca="1">_xll.DBR($C$20,$B22,"value")</f>
        <v>*KEY_ERR</v>
      </c>
      <c r="D22" s="2"/>
    </row>
    <row r="23" spans="2:8" hidden="1" outlineLevel="1" x14ac:dyDescent="0.3">
      <c r="B23" s="1" t="s">
        <v>98</v>
      </c>
      <c r="C23" s="2" t="str" cm="1">
        <f t="array" aca="1" ref="C23" ca="1">_xll.DBR($C$20,$B23,"value")</f>
        <v>*KEY_ERR</v>
      </c>
      <c r="D23" s="2"/>
    </row>
    <row r="24" spans="2:8" hidden="1" outlineLevel="1" x14ac:dyDescent="0.3">
      <c r="B24" s="1" t="s">
        <v>99</v>
      </c>
      <c r="C24" s="2" t="str" cm="1">
        <f t="array" aca="1" ref="C24" ca="1">_xll.DBR($C$20,$B24,"value")</f>
        <v>*KEY_ERR</v>
      </c>
      <c r="D24" s="2"/>
    </row>
    <row r="25" spans="2:8" hidden="1" outlineLevel="1" x14ac:dyDescent="0.3">
      <c r="B25" s="1" t="s">
        <v>100</v>
      </c>
      <c r="C25" s="2" t="str" cm="1">
        <f t="array" aca="1" ref="C25" ca="1">_xll.DBR($C$20,$B25,"value")</f>
        <v>*KEY_ERR</v>
      </c>
      <c r="D25" s="2"/>
    </row>
    <row r="26" spans="2:8" hidden="1" outlineLevel="1" x14ac:dyDescent="0.3">
      <c r="B26" s="1" t="s">
        <v>101</v>
      </c>
      <c r="C26" s="2" t="str" cm="1">
        <f t="array" aca="1" ref="C26" ca="1">_xll.DBR($C$20,$B26,"value")</f>
        <v>*KEY_ERR</v>
      </c>
      <c r="D26" s="2"/>
    </row>
    <row r="27" spans="2:8" hidden="1" outlineLevel="1" x14ac:dyDescent="0.3">
      <c r="B27" s="1" t="s">
        <v>102</v>
      </c>
      <c r="C27" s="2" t="str" cm="1">
        <f t="array" aca="1" ref="C27" ca="1">_xll.DBR($C$20,$B27,"value")</f>
        <v>*KEY_ERR</v>
      </c>
    </row>
    <row r="28" spans="2:8" hidden="1" outlineLevel="1" x14ac:dyDescent="0.3"/>
    <row r="29" spans="2:8" hidden="1" outlineLevel="1" x14ac:dyDescent="0.3">
      <c r="B29" s="58" t="s">
        <v>103</v>
      </c>
      <c r="C29" s="59"/>
      <c r="D29" s="60"/>
    </row>
    <row r="30" spans="2:8" hidden="1" outlineLevel="1" x14ac:dyDescent="0.3">
      <c r="B30" s="2" t="s">
        <v>104</v>
      </c>
      <c r="C30" s="2" t="str">
        <f ca="1">_xll.VIEW(db_name&amp;":sys_application","!","!")</f>
        <v>dcceew_geus:sys_application</v>
      </c>
    </row>
    <row r="31" spans="2:8" hidden="1" outlineLevel="1" x14ac:dyDescent="0.3">
      <c r="B31" s="2" t="s">
        <v>105</v>
      </c>
      <c r="C31" s="2" t="s">
        <v>122</v>
      </c>
    </row>
    <row r="32" spans="2:8" hidden="1" outlineLevel="1" x14ac:dyDescent="0.3">
      <c r="B32" s="41" t="s">
        <v>107</v>
      </c>
      <c r="C32" s="42" t="s">
        <v>108</v>
      </c>
      <c r="D32" s="42" t="s">
        <v>109</v>
      </c>
      <c r="E32" s="42" t="s">
        <v>110</v>
      </c>
      <c r="F32" s="42" t="s">
        <v>111</v>
      </c>
      <c r="G32" s="42" t="s">
        <v>112</v>
      </c>
      <c r="H32" s="42" t="s">
        <v>113</v>
      </c>
    </row>
    <row r="33" spans="2:8" hidden="1" outlineLevel="1" x14ac:dyDescent="0.3">
      <c r="B33" s="2" t="s">
        <v>114</v>
      </c>
      <c r="C33" s="2" t="str" cm="1">
        <f t="array" aca="1" ref="C33" ca="1">_xll.DBR($C$30,$B33,C$32)</f>
        <v>*KEY_ERR</v>
      </c>
      <c r="D33" s="2" t="str" cm="1">
        <f t="array" aca="1" ref="D33" ca="1">_xll.DBR($C$30,$B33,D$32)</f>
        <v>*KEY_ERR</v>
      </c>
      <c r="E33" s="2" t="str" cm="1">
        <f t="array" aca="1" ref="E33" ca="1">_xll.DBR($C$30,$B33,E$32)</f>
        <v>*KEY_ERR</v>
      </c>
      <c r="F33" s="2" t="str" cm="1">
        <f t="array" aca="1" ref="F33" ca="1">_xll.DBR($C$30,$B33,F$32)</f>
        <v>*KEY_ERR</v>
      </c>
      <c r="G33" s="2" t="str" cm="1">
        <f t="array" aca="1" ref="G33" ca="1">_xll.DBR($C$30,$B33,G$32)</f>
        <v>*KEY_ERR</v>
      </c>
      <c r="H33" s="2" t="str" cm="1">
        <f t="array" aca="1" ref="H33" ca="1">_xll.DBR($C$30,$B33,H$32)</f>
        <v>*KEY_ERR</v>
      </c>
    </row>
    <row r="34" spans="2:8" hidden="1" outlineLevel="1" x14ac:dyDescent="0.3">
      <c r="B34" s="2" t="s">
        <v>115</v>
      </c>
      <c r="C34" s="2" t="str" cm="1">
        <f t="array" aca="1" ref="C34" ca="1">_xll.DBR($C$30,$B34,C$32)</f>
        <v>*KEY_ERR</v>
      </c>
      <c r="D34" s="2" t="str" cm="1">
        <f t="array" aca="1" ref="D34" ca="1">_xll.DBR($C$30,$B34,D$32)</f>
        <v>*KEY_ERR</v>
      </c>
      <c r="E34" s="2" t="str" cm="1">
        <f t="array" aca="1" ref="E34" ca="1">_xll.DBR($C$30,$B34,E$32)</f>
        <v>*KEY_ERR</v>
      </c>
      <c r="F34" s="2" t="str" cm="1">
        <f t="array" aca="1" ref="F34" ca="1">_xll.DBR($C$30,$B34,F$32)</f>
        <v>*KEY_ERR</v>
      </c>
      <c r="G34" s="2" t="str" cm="1">
        <f t="array" aca="1" ref="G34" ca="1">_xll.DBR($C$30,$B34,G$32)</f>
        <v>*KEY_ERR</v>
      </c>
      <c r="H34" s="2" t="str" cm="1">
        <f t="array" aca="1" ref="H34" ca="1">_xll.DBR($C$30,$B34,H$32)</f>
        <v>*KEY_ERR</v>
      </c>
    </row>
    <row r="35" spans="2:8" hidden="1" outlineLevel="1" x14ac:dyDescent="0.3">
      <c r="B35" s="2" t="s">
        <v>116</v>
      </c>
      <c r="C35" s="2" t="str" cm="1">
        <f t="array" aca="1" ref="C35" ca="1">_xll.DBR($C$30,$B35,C$32)</f>
        <v>*KEY_ERR</v>
      </c>
      <c r="D35" s="2" t="str" cm="1">
        <f t="array" aca="1" ref="D35" ca="1">_xll.DBR($C$30,$B35,D$32)</f>
        <v>*KEY_ERR</v>
      </c>
      <c r="E35" s="2" t="str" cm="1">
        <f t="array" aca="1" ref="E35" ca="1">_xll.DBR($C$30,$B35,E$32)</f>
        <v>*KEY_ERR</v>
      </c>
      <c r="F35" s="2" t="str" cm="1">
        <f t="array" aca="1" ref="F35" ca="1">_xll.DBR($C$30,$B35,F$32)</f>
        <v>*KEY_ERR</v>
      </c>
      <c r="G35" s="2" t="str" cm="1">
        <f t="array" aca="1" ref="G35" ca="1">_xll.DBR($C$30,$B35,G$32)</f>
        <v>*KEY_ERR</v>
      </c>
      <c r="H35" s="2" t="str" cm="1">
        <f t="array" aca="1" ref="H35" ca="1">_xll.DBR($C$30,$B35,H$32)</f>
        <v>*KEY_ERR</v>
      </c>
    </row>
    <row r="36" spans="2:8" hidden="1" outlineLevel="1" x14ac:dyDescent="0.3">
      <c r="B36" s="2" t="s">
        <v>117</v>
      </c>
      <c r="C36" s="2" t="str" cm="1">
        <f t="array" aca="1" ref="C36" ca="1">_xll.DBR($C$30,$B36,C$32)</f>
        <v>*KEY_ERR</v>
      </c>
      <c r="D36" s="2" t="str" cm="1">
        <f t="array" aca="1" ref="D36" ca="1">_xll.DBR($C$30,$B36,D$32)</f>
        <v>*KEY_ERR</v>
      </c>
      <c r="E36" s="2" t="str" cm="1">
        <f t="array" aca="1" ref="E36" ca="1">_xll.DBR($C$30,$B36,E$32)</f>
        <v>*KEY_ERR</v>
      </c>
      <c r="F36" s="2" t="str" cm="1">
        <f t="array" aca="1" ref="F36" ca="1">_xll.DBR($C$30,$B36,F$32)</f>
        <v>*KEY_ERR</v>
      </c>
      <c r="G36" s="2" t="str" cm="1">
        <f t="array" aca="1" ref="G36" ca="1">_xll.DBR($C$30,$B36,G$32)</f>
        <v>*KEY_ERR</v>
      </c>
      <c r="H36" s="2" t="str" cm="1">
        <f t="array" aca="1" ref="H36" ca="1">_xll.DBR($C$30,$B36,H$32)</f>
        <v>*KEY_ERR</v>
      </c>
    </row>
    <row r="37" spans="2:8" hidden="1" outlineLevel="1" x14ac:dyDescent="0.3">
      <c r="B37" s="2" t="s">
        <v>118</v>
      </c>
      <c r="C37" s="2" t="str" cm="1">
        <f t="array" aca="1" ref="C37" ca="1">_xll.DBR($C$30,$B37,C$32)</f>
        <v>*KEY_ERR</v>
      </c>
      <c r="D37" s="2" t="str" cm="1">
        <f t="array" aca="1" ref="D37" ca="1">_xll.DBR($C$30,$B37,D$32)</f>
        <v>*KEY_ERR</v>
      </c>
      <c r="E37" s="2" t="str" cm="1">
        <f t="array" aca="1" ref="E37" ca="1">_xll.DBR($C$30,$B37,E$32)</f>
        <v>*KEY_ERR</v>
      </c>
      <c r="F37" s="2" t="str" cm="1">
        <f t="array" aca="1" ref="F37" ca="1">_xll.DBR($C$30,$B37,F$32)</f>
        <v>*KEY_ERR</v>
      </c>
      <c r="G37" s="2" t="str" cm="1">
        <f t="array" aca="1" ref="G37" ca="1">_xll.DBR($C$30,$B37,G$32)</f>
        <v>*KEY_ERR</v>
      </c>
      <c r="H37" s="2" t="str" cm="1">
        <f t="array" aca="1" ref="H37" ca="1">_xll.DBR($C$30,$B37,H$32)</f>
        <v>*KEY_ERR</v>
      </c>
    </row>
    <row r="38" spans="2:8" hidden="1" outlineLevel="1" x14ac:dyDescent="0.3">
      <c r="B38" s="2" t="s">
        <v>119</v>
      </c>
      <c r="C38" s="2" t="str" cm="1">
        <f t="array" aca="1" ref="C38" ca="1">_xll.DBR($C$30,$B38,C$32)</f>
        <v>*KEY_ERR</v>
      </c>
      <c r="D38" s="2" t="str" cm="1">
        <f t="array" aca="1" ref="D38" ca="1">_xll.DBR($C$30,$B38,D$32)</f>
        <v>*KEY_ERR</v>
      </c>
      <c r="E38" s="2" t="str" cm="1">
        <f t="array" aca="1" ref="E38" ca="1">_xll.DBR($C$30,$B38,E$32)</f>
        <v>*KEY_ERR</v>
      </c>
      <c r="F38" s="2" t="str" cm="1">
        <f t="array" aca="1" ref="F38" ca="1">_xll.DBR($C$30,$B38,F$32)</f>
        <v>*KEY_ERR</v>
      </c>
      <c r="G38" s="2" t="str" cm="1">
        <f t="array" aca="1" ref="G38" ca="1">_xll.DBR($C$30,$B38,G$32)</f>
        <v>*KEY_ERR</v>
      </c>
      <c r="H38" s="2" t="str" cm="1">
        <f t="array" aca="1" ref="H38" ca="1">_xll.DBR($C$30,$B38,H$32)</f>
        <v>*KEY_ERR</v>
      </c>
    </row>
    <row r="39" spans="2:8" hidden="1" outlineLevel="1" x14ac:dyDescent="0.3">
      <c r="B39" s="2" t="s">
        <v>120</v>
      </c>
      <c r="C39" s="2" t="str" cm="1">
        <f t="array" aca="1" ref="C39" ca="1">_xll.DBR($C$30,$B39,C$32)</f>
        <v>*KEY_ERR</v>
      </c>
      <c r="D39" s="2" t="str" cm="1">
        <f t="array" aca="1" ref="D39" ca="1">_xll.DBR($C$30,$B39,D$32)</f>
        <v>*KEY_ERR</v>
      </c>
      <c r="E39" s="2" t="str" cm="1">
        <f t="array" aca="1" ref="E39" ca="1">_xll.DBR($C$30,$B39,E$32)</f>
        <v>*KEY_ERR</v>
      </c>
      <c r="F39" s="2" t="str" cm="1">
        <f t="array" aca="1" ref="F39" ca="1">_xll.DBR($C$30,$B39,F$32)</f>
        <v>*KEY_ERR</v>
      </c>
      <c r="G39" s="2" t="str" cm="1">
        <f t="array" aca="1" ref="G39" ca="1">_xll.DBR($C$30,$B39,G$32)</f>
        <v>*KEY_ERR</v>
      </c>
      <c r="H39" s="2" t="str" cm="1">
        <f t="array" aca="1" ref="H39" ca="1">_xll.DBR($C$30,$B39,H$32)</f>
        <v>*KEY_ERR</v>
      </c>
    </row>
    <row r="40" spans="2:8" hidden="1" outlineLevel="1" x14ac:dyDescent="0.3">
      <c r="B40" s="52" t="s">
        <v>106</v>
      </c>
      <c r="C40" s="52" t="str" cm="1">
        <f t="array" aca="1" ref="C40" ca="1">_xll.DBR($C$30,$B40,C$32)</f>
        <v>*KEY_ERR</v>
      </c>
      <c r="D40" s="52" t="str" cm="1">
        <f t="array" aca="1" ref="D40" ca="1">_xll.DBR($C$30,$B40,D$32)</f>
        <v>*KEY_ERR</v>
      </c>
      <c r="E40" s="52" t="str" cm="1">
        <f t="array" aca="1" ref="E40" ca="1">_xll.DBR($C$30,$B40,E$32)</f>
        <v>*KEY_ERR</v>
      </c>
      <c r="F40" s="52" t="str" cm="1">
        <f t="array" aca="1" ref="F40" ca="1">_xll.DBR($C$30,$B40,F$32)</f>
        <v>*KEY_ERR</v>
      </c>
      <c r="G40" s="52" t="str" cm="1">
        <f t="array" aca="1" ref="G40" ca="1">_xll.DBR($C$30,$B40,G$32)</f>
        <v>*KEY_ERR</v>
      </c>
      <c r="H40" s="52" t="str" cm="1">
        <f t="array" aca="1" ref="H40" ca="1">_xll.DBR($C$30,$B40,H$32)</f>
        <v>*KEY_ERR</v>
      </c>
    </row>
    <row r="41" spans="2:8" hidden="1" outlineLevel="1" x14ac:dyDescent="0.3">
      <c r="B41" s="2" t="s">
        <v>121</v>
      </c>
      <c r="C41" s="2" t="str" cm="1">
        <f t="array" aca="1" ref="C41" ca="1">_xll.DBR($C$30,$B41,C$32)</f>
        <v>*KEY_ERR</v>
      </c>
      <c r="D41" s="2" t="str" cm="1">
        <f t="array" aca="1" ref="D41" ca="1">_xll.DBR($C$30,$B41,D$32)</f>
        <v>*KEY_ERR</v>
      </c>
      <c r="E41" s="2" t="str" cm="1">
        <f t="array" aca="1" ref="E41" ca="1">_xll.DBR($C$30,$B41,E$32)</f>
        <v>*KEY_ERR</v>
      </c>
      <c r="F41" s="2" t="str" cm="1">
        <f t="array" aca="1" ref="F41" ca="1">_xll.DBR($C$30,$B41,F$32)</f>
        <v>*KEY_ERR</v>
      </c>
      <c r="G41" s="2" t="str" cm="1">
        <f t="array" aca="1" ref="G41" ca="1">_xll.DBR($C$30,$B41,G$32)</f>
        <v>*KEY_ERR</v>
      </c>
      <c r="H41" s="2" t="str" cm="1">
        <f t="array" aca="1" ref="H41" ca="1">_xll.DBR($C$30,$B41,H$32)</f>
        <v>*KEY_ERR</v>
      </c>
    </row>
    <row r="42" spans="2:8" hidden="1" outlineLevel="1" x14ac:dyDescent="0.3">
      <c r="B42" s="52" t="s">
        <v>139</v>
      </c>
      <c r="C42" s="52" t="str" cm="1">
        <f t="array" aca="1" ref="C42" ca="1">_xll.DBR($C$30,$B42,C$32)</f>
        <v>*KEY_ERR</v>
      </c>
      <c r="D42" s="52" t="str" cm="1">
        <f t="array" aca="1" ref="D42" ca="1">_xll.DBR($C$30,$B42,D$32)</f>
        <v>*KEY_ERR</v>
      </c>
      <c r="E42" s="52" t="str" cm="1">
        <f t="array" aca="1" ref="E42" ca="1">_xll.DBR($C$30,$B42,E$32)</f>
        <v>*KEY_ERR</v>
      </c>
      <c r="F42" s="52" t="str" cm="1">
        <f t="array" aca="1" ref="F42" ca="1">_xll.DBR($C$30,$B42,F$32)</f>
        <v>*KEY_ERR</v>
      </c>
      <c r="G42" s="52" t="str" cm="1">
        <f t="array" aca="1" ref="G42" ca="1">_xll.DBR($C$30,$B42,G$32)</f>
        <v>*KEY_ERR</v>
      </c>
      <c r="H42" s="52" t="str" cm="1">
        <f t="array" aca="1" ref="H42" ca="1">_xll.DBR($C$30,$B42,H$32)</f>
        <v>*KEY_ERR</v>
      </c>
    </row>
    <row r="43" spans="2:8" hidden="1" outlineLevel="1" x14ac:dyDescent="0.3">
      <c r="C43" s="43" t="s">
        <v>111</v>
      </c>
      <c r="D43" s="43" t="s">
        <v>113</v>
      </c>
    </row>
    <row r="44" spans="2:8" hidden="1" outlineLevel="1" x14ac:dyDescent="0.3">
      <c r="B44" s="1" t="s">
        <v>141</v>
      </c>
      <c r="C44" s="2" t="str">
        <f ca="1">IF($C$81="Compliance",TM1GrpNewAdj08RecogDataEntryWB,TM1GrpNewAdj02ExpDataEntryWB)</f>
        <v>*KEY_ERR</v>
      </c>
      <c r="D44" s="2" t="str">
        <f ca="1">IF($C$81="Compliance",TM1GrpNewAdj08RecogDataEntryWS,TM1GrpNewAdj02ExpDataEntryWS)</f>
        <v>*KEY_ERR</v>
      </c>
    </row>
    <row r="45" spans="2:8" hidden="1" outlineLevel="1" x14ac:dyDescent="0.3"/>
    <row r="46" spans="2:8" hidden="1" outlineLevel="1" x14ac:dyDescent="0.3">
      <c r="B46" s="58" t="s">
        <v>123</v>
      </c>
      <c r="C46" s="59"/>
      <c r="D46" s="60"/>
    </row>
    <row r="47" spans="2:8" hidden="1" outlineLevel="1" x14ac:dyDescent="0.3">
      <c r="B47" s="1" t="s">
        <v>95</v>
      </c>
      <c r="C47" s="2" t="str" cm="1">
        <f t="array" aca="1" ref="C47" ca="1">_xll.VIEW(db_name&amp;":sys_client preference","!","!","!")</f>
        <v>dcceew_geus:sys_client preference</v>
      </c>
      <c r="D47" s="2"/>
    </row>
    <row r="48" spans="2:8" hidden="1" outlineLevel="1" x14ac:dyDescent="0.3">
      <c r="B48" s="1"/>
      <c r="C48" s="43" t="s">
        <v>124</v>
      </c>
      <c r="D48" s="43" t="s">
        <v>125</v>
      </c>
    </row>
    <row r="49" spans="2:29" hidden="1" outlineLevel="1" x14ac:dyDescent="0.3">
      <c r="B49" s="2" t="s">
        <v>126</v>
      </c>
      <c r="C49" s="2" t="str" cm="1">
        <f t="array" aca="1" ref="C49" ca="1">_xll.SUBNM(db_name&amp;":sys_client preference measure","","value")</f>
        <v/>
      </c>
      <c r="D49" s="43"/>
    </row>
    <row r="50" spans="2:29" hidden="1" outlineLevel="1" x14ac:dyDescent="0.3">
      <c r="B50" s="2" t="s">
        <v>127</v>
      </c>
      <c r="C50" s="2" t="str" cm="1">
        <f t="array" aca="1" ref="C50" ca="1">_xll.DBR($C$47,psUser,$B50,C$48)</f>
        <v>*KEY_ERR</v>
      </c>
      <c r="D50" s="2" t="str" cm="1">
        <f t="array" aca="1" ref="D50" ca="1">_xll.DBR($C$47,psUser,$B50,D$48)</f>
        <v>*KEY_ERR</v>
      </c>
    </row>
    <row r="51" spans="2:29" hidden="1" outlineLevel="1" x14ac:dyDescent="0.3">
      <c r="B51" s="2" t="s">
        <v>128</v>
      </c>
      <c r="C51" s="2" t="str" cm="1">
        <f t="array" aca="1" ref="C51" ca="1">_xll.DBR($C$47,psUser,$B51,C$48)</f>
        <v>*KEY_ERR</v>
      </c>
      <c r="D51" s="2" t="str" cm="1">
        <f t="array" aca="1" ref="D51" ca="1">_xll.DBR($C$47,psUser,$B51,D$48)</f>
        <v>*KEY_ERR</v>
      </c>
    </row>
    <row r="52" spans="2:29" hidden="1" outlineLevel="1" x14ac:dyDescent="0.3">
      <c r="B52" s="2" t="s">
        <v>129</v>
      </c>
      <c r="C52" s="2" t="str" cm="1">
        <f t="array" aca="1" ref="C52" ca="1">_xll.DBR($C$47,psUser,$B52,C$48)</f>
        <v>*KEY_ERR</v>
      </c>
      <c r="D52" s="2" t="str" cm="1">
        <f t="array" aca="1" ref="D52" ca="1">_xll.DBR($C$47,psUser,$B52,D$48)</f>
        <v>*KEY_ERR</v>
      </c>
    </row>
    <row r="53" spans="2:29" hidden="1" outlineLevel="1" x14ac:dyDescent="0.3">
      <c r="B53" s="2" t="s">
        <v>130</v>
      </c>
      <c r="C53" s="2" t="str" cm="1">
        <f t="array" aca="1" ref="C53" ca="1">_xll.DBR($C$47,psUser,$B53,C$48)</f>
        <v>*KEY_ERR</v>
      </c>
      <c r="D53" s="2" t="str" cm="1">
        <f t="array" aca="1" ref="D53" ca="1">_xll.DBR($C$47,psUser,$B53,D$48)</f>
        <v>*KEY_ERR</v>
      </c>
    </row>
    <row r="54" spans="2:29" hidden="1" outlineLevel="1" x14ac:dyDescent="0.3">
      <c r="B54" s="2" t="s">
        <v>131</v>
      </c>
      <c r="C54" s="2" t="str" cm="1">
        <f t="array" aca="1" ref="C54" ca="1">_xll.DBR($C$47,psUser,$B54,C$48)</f>
        <v>*KEY_ERR</v>
      </c>
      <c r="D54" s="2" t="str" cm="1">
        <f t="array" aca="1" ref="D54" ca="1">_xll.DBR($C$47,psUser,$B54,D$48)</f>
        <v>*KEY_ERR</v>
      </c>
    </row>
    <row r="55" spans="2:29" hidden="1" outlineLevel="1" x14ac:dyDescent="0.3">
      <c r="B55" s="2" t="s">
        <v>132</v>
      </c>
      <c r="C55" s="2" t="str" cm="1">
        <f t="array" aca="1" ref="C55" ca="1">_xll.DBR($C$47,psUser,$B55,C$48)</f>
        <v>*KEY_ERR</v>
      </c>
      <c r="D55" s="2" t="str" cm="1">
        <f t="array" aca="1" ref="D55" ca="1">_xll.DBR($C$47,psUser,$B55,D$48)</f>
        <v>*KEY_ERR</v>
      </c>
    </row>
    <row r="56" spans="2:29" hidden="1" outlineLevel="1" x14ac:dyDescent="0.3">
      <c r="B56" s="2" t="s">
        <v>133</v>
      </c>
      <c r="C56" s="2" t="str" cm="1">
        <f t="array" aca="1" ref="C56" ca="1">_xll.DBR($C$47,psUser,$B56,C$48)</f>
        <v>*KEY_ERR</v>
      </c>
      <c r="D56" s="2" t="str" cm="1">
        <f t="array" aca="1" ref="D56" ca="1">_xll.DBR($C$47,psUser,$B56,D$48)</f>
        <v>*KEY_ERR</v>
      </c>
    </row>
    <row r="57" spans="2:29" hidden="1" outlineLevel="1" x14ac:dyDescent="0.3"/>
    <row r="58" spans="2:29" hidden="1" outlineLevel="1" x14ac:dyDescent="0.3">
      <c r="B58" s="58" t="s">
        <v>136</v>
      </c>
      <c r="C58" s="59"/>
      <c r="D58" s="60"/>
    </row>
    <row r="59" spans="2:29" hidden="1" outlineLevel="1" x14ac:dyDescent="0.3">
      <c r="B59" s="17" t="s">
        <v>20</v>
      </c>
      <c r="C59" s="4" t="str" cm="1">
        <f t="array" aca="1" ref="C59" ca="1">_xll.TM1RPTVIEW(db_name&amp;":AE adjustments:1", 1, _xll.TM1RPTTITLE(db_name&amp;":headline year",$C$50), _xll.TM1RPTTITLE(db_name&amp;":scenario",$C$51), _xll.TM1RPTTITLE(db_name&amp;":status",$E$68), _xll.TM1RPTTITLE(db_name&amp;":outcome",$E$69), _xll.TM1RPTTITLE(db_name&amp;":function",$E$70), _xll.TM1RPTTITLE(db_name&amp;":reason",$E$71), _xll.TM1RPTTITLE(db_name&amp;":spp",$E$72), _xll.TM1RPTTITLE(db_name&amp;":measure code",$E$73), _xll.TM1RPTTITLE(db_name&amp;":appropriation type",$E$74), _xll.TM1RPTTITLE(db_name&amp;":appropriation item",$E$75), _xll.TM1RPTTITLE(db_name&amp;":id",$C$52),TM1RPTFMTRNG,TM1RPTFMTIDCOL)</f>
        <v>dcceew_geus:AE adjustments:1</v>
      </c>
      <c r="D59" s="2" t="str" cm="1">
        <f t="array" aca="1" ref="D59" ca="1">_xll.TM1RPTVIEW(db_name&amp;":AE adjustments:ARPTGRPCF", 1, _xll.TM1RPTTITLE(db_name&amp;":headline year",$C$50), _xll.TM1RPTTITLE(db_name&amp;":scenario",$C$51), _xll.TM1RPTTITLE(db_name&amp;":status",$E$68), _xll.TM1RPTTITLE(db_name&amp;":outcome",$E$69), _xll.TM1RPTTITLE(db_name&amp;":function",$E$70), _xll.TM1RPTTITLE(db_name&amp;":reason",$E$71), _xll.TM1RPTTITLE(db_name&amp;":spp",$E$72), _xll.TM1RPTTITLE(db_name&amp;":measure code",$E$73), _xll.TM1RPTTITLE(db_name&amp;":appropriation type",$E$74), _xll.TM1RPTTITLE(db_name&amp;":appropriation item",$E$75), _xll.TM1RPTTITLE(db_name&amp;":id",$C$52),TM1RPTFMTRNG,TM1RPTFMTIDCOL)</f>
        <v>dcceew_geus:AE adjustments:ARPTGRPCF</v>
      </c>
      <c r="E59" s="2"/>
    </row>
    <row r="60" spans="2:29" hidden="1" outlineLevel="1" x14ac:dyDescent="0.3">
      <c r="B60" s="17" t="s">
        <v>32</v>
      </c>
      <c r="C60" s="4" t="str" cm="1">
        <f t="array" aca="1" ref="C60" ca="1">_xll.VIEW(db_name&amp;":AE adjustments",$C$50,$C$51,"!",$E$69,"!",$E$70,$E$71,$E$72,$E$73,$E$74,"!",$E$75,"!","!",$C$52,"!","!")</f>
        <v>dcceew_geus:AE adjustments</v>
      </c>
      <c r="D60" s="2"/>
      <c r="E60" s="2"/>
    </row>
    <row r="61" spans="2:29" hidden="1" outlineLevel="1" x14ac:dyDescent="0.3">
      <c r="B61" s="17" t="s">
        <v>34</v>
      </c>
      <c r="C61" s="4" t="str">
        <f ca="1">IF($U$88="Expand",$D$61,$E$61)</f>
        <v>{[*KEY_ERR].[Total programmes]}</v>
      </c>
      <c r="D61" s="4" t="str">
        <f ca="1">"{TM1FILTERBYLEVEL( {TM1SUBSETALL( [" &amp; psProgDimName &amp; "] )}, 0)}"</f>
        <v>{TM1FILTERBYLEVEL( {TM1SUBSETALL( [*KEY_ERR] )}, 0)}</v>
      </c>
      <c r="E61" s="2" t="str">
        <f ca="1">"{[" &amp; psProgDimName &amp; "].[Total programmes]}"</f>
        <v>{[*KEY_ERR].[Total programmes]}</v>
      </c>
    </row>
    <row r="62" spans="2:29" hidden="1" outlineLevel="1" x14ac:dyDescent="0.3">
      <c r="B62" s="17" t="s">
        <v>36</v>
      </c>
      <c r="C62" s="4" t="s">
        <v>37</v>
      </c>
      <c r="D62" s="2" t="s">
        <v>38</v>
      </c>
      <c r="E62" s="2"/>
    </row>
    <row r="63" spans="2:29" ht="15" hidden="1" outlineLevel="1" thickBot="1" x14ac:dyDescent="0.35">
      <c r="B63" s="17" t="s">
        <v>40</v>
      </c>
      <c r="C63" s="4" t="s">
        <v>41</v>
      </c>
      <c r="D63" s="2"/>
      <c r="E63" s="2"/>
    </row>
    <row r="64" spans="2:29" hidden="1" outlineLevel="1" x14ac:dyDescent="0.3">
      <c r="B64" s="17" t="s">
        <v>43</v>
      </c>
      <c r="C64" s="4" t="s">
        <v>44</v>
      </c>
      <c r="D64" s="2"/>
      <c r="E64" s="2"/>
      <c r="S64" s="9" t="s">
        <v>4</v>
      </c>
      <c r="T64" s="10">
        <v>1</v>
      </c>
      <c r="U64" s="11"/>
      <c r="V64" s="11"/>
      <c r="W64" s="11"/>
      <c r="X64" s="11"/>
      <c r="Y64" s="11"/>
      <c r="Z64" s="11"/>
      <c r="AA64" s="11"/>
      <c r="AB64" s="11"/>
      <c r="AC64" s="12"/>
    </row>
    <row r="65" spans="2:29" hidden="1" outlineLevel="1" x14ac:dyDescent="0.3">
      <c r="B65" s="17" t="s">
        <v>45</v>
      </c>
      <c r="C65" s="4" t="s">
        <v>46</v>
      </c>
      <c r="D65" s="2"/>
      <c r="E65" s="2"/>
      <c r="S65" s="14" t="s">
        <v>7</v>
      </c>
      <c r="T65" s="15">
        <v>-2</v>
      </c>
      <c r="U65" s="15">
        <v>-1</v>
      </c>
      <c r="V65" s="15">
        <v>0</v>
      </c>
      <c r="W65" s="15">
        <v>1</v>
      </c>
      <c r="X65" s="15">
        <v>2</v>
      </c>
      <c r="Y65" s="15">
        <v>3</v>
      </c>
      <c r="Z65" s="15">
        <v>4</v>
      </c>
      <c r="AA65" s="15">
        <v>5</v>
      </c>
      <c r="AB65" s="15">
        <v>6</v>
      </c>
      <c r="AC65" s="16">
        <v>7</v>
      </c>
    </row>
    <row r="66" spans="2:29" hidden="1" outlineLevel="1" x14ac:dyDescent="0.3">
      <c r="S66" s="14" t="s">
        <v>9</v>
      </c>
      <c r="T66" s="15" t="s">
        <v>10</v>
      </c>
      <c r="U66" s="15" t="s">
        <v>11</v>
      </c>
      <c r="V66" s="15" t="s">
        <v>12</v>
      </c>
      <c r="W66" s="15" t="s">
        <v>13</v>
      </c>
      <c r="X66" s="15" t="s">
        <v>14</v>
      </c>
      <c r="Y66" s="15" t="s">
        <v>15</v>
      </c>
      <c r="Z66" s="15" t="s">
        <v>16</v>
      </c>
      <c r="AA66" s="15" t="s">
        <v>17</v>
      </c>
      <c r="AB66" s="15" t="s">
        <v>18</v>
      </c>
      <c r="AC66" s="16" t="s">
        <v>19</v>
      </c>
    </row>
    <row r="67" spans="2:29" hidden="1" outlineLevel="1" x14ac:dyDescent="0.3">
      <c r="B67" s="57" t="s">
        <v>48</v>
      </c>
      <c r="C67" s="57"/>
      <c r="D67" s="57" t="s">
        <v>49</v>
      </c>
      <c r="E67" s="57"/>
      <c r="F67" s="33" t="s">
        <v>82</v>
      </c>
      <c r="G67" s="34" t="s">
        <v>83</v>
      </c>
      <c r="S67" s="14" t="s">
        <v>21</v>
      </c>
      <c r="T67" s="15" t="s">
        <v>22</v>
      </c>
      <c r="U67" s="15" t="s">
        <v>23</v>
      </c>
      <c r="V67" s="15" t="s">
        <v>24</v>
      </c>
      <c r="W67" s="15" t="s">
        <v>25</v>
      </c>
      <c r="X67" s="15" t="s">
        <v>26</v>
      </c>
      <c r="Y67" s="15" t="s">
        <v>27</v>
      </c>
      <c r="Z67" s="15" t="s">
        <v>28</v>
      </c>
      <c r="AA67" s="15" t="s">
        <v>29</v>
      </c>
      <c r="AB67" s="15" t="s">
        <v>30</v>
      </c>
      <c r="AC67" s="16" t="s">
        <v>31</v>
      </c>
    </row>
    <row r="68" spans="2:29" hidden="1" outlineLevel="1" x14ac:dyDescent="0.3">
      <c r="B68" s="17" t="s">
        <v>50</v>
      </c>
      <c r="C68" s="4" t="str" cm="1">
        <f t="array" aca="1" ref="C68" ca="1">_xll.VIEW(db_name&amp;":AE id details",psHLYear,psScenario,psID,"!")</f>
        <v>dcceew_geus:AE id details</v>
      </c>
      <c r="D68" s="17" t="s">
        <v>51</v>
      </c>
      <c r="E68" s="4" t="str" cm="1">
        <f t="array" aca="1" ref="E68" ca="1">_xll.SUBNM(db_name&amp;":status","","data")</f>
        <v/>
      </c>
      <c r="F68" t="s">
        <v>88</v>
      </c>
      <c r="G68" s="4" t="s">
        <v>35</v>
      </c>
      <c r="S68" s="18" t="s">
        <v>33</v>
      </c>
      <c r="T68" s="15">
        <v>8</v>
      </c>
      <c r="U68" s="15">
        <v>9</v>
      </c>
      <c r="V68" s="15">
        <v>10</v>
      </c>
      <c r="W68" s="15">
        <v>11</v>
      </c>
      <c r="X68" s="15">
        <v>12</v>
      </c>
      <c r="Y68" s="15">
        <v>13</v>
      </c>
      <c r="Z68" s="15">
        <v>14</v>
      </c>
      <c r="AA68" s="15">
        <v>15</v>
      </c>
      <c r="AB68" s="15">
        <v>16</v>
      </c>
      <c r="AC68" s="16">
        <v>17</v>
      </c>
    </row>
    <row r="69" spans="2:29" hidden="1" outlineLevel="1" x14ac:dyDescent="0.3">
      <c r="B69" s="17" t="s">
        <v>52</v>
      </c>
      <c r="C69" s="4" t="str" cm="1">
        <f t="array" aca="1" ref="C69" ca="1">_xll.DBR($C$68,psHLYear,psScenario,psID,$B69)</f>
        <v>*KEY_ERR</v>
      </c>
      <c r="D69" s="17" t="s">
        <v>52</v>
      </c>
      <c r="E69" s="4" t="str" cm="1">
        <f t="array" aca="1" ref="E69" ca="1">_xll.SUBNM(db_name&amp;":outcome","","Total Outcomes")</f>
        <v/>
      </c>
      <c r="F69" t="s">
        <v>65</v>
      </c>
      <c r="G69" s="4" t="s">
        <v>89</v>
      </c>
      <c r="S69" s="18" t="s">
        <v>134</v>
      </c>
      <c r="T69" s="15">
        <v>-2</v>
      </c>
      <c r="U69" s="15">
        <v>-1</v>
      </c>
      <c r="V69" s="15">
        <v>0</v>
      </c>
      <c r="W69" s="15">
        <v>1</v>
      </c>
      <c r="X69" s="15">
        <v>2</v>
      </c>
      <c r="Y69" s="15">
        <v>3</v>
      </c>
      <c r="Z69" s="15">
        <v>4</v>
      </c>
      <c r="AA69" s="15">
        <v>5</v>
      </c>
      <c r="AB69" s="15">
        <v>6</v>
      </c>
      <c r="AC69" s="16">
        <v>7</v>
      </c>
    </row>
    <row r="70" spans="2:29" hidden="1" outlineLevel="1" x14ac:dyDescent="0.3">
      <c r="B70" s="17" t="s">
        <v>53</v>
      </c>
      <c r="C70" s="4" t="str" cm="1">
        <f t="array" aca="1" ref="C70" ca="1">_xll.DBR($C$68,psHLYear,psScenario,psID,$B70)</f>
        <v>*KEY_ERR</v>
      </c>
      <c r="D70" s="17" t="s">
        <v>53</v>
      </c>
      <c r="E70" s="4" t="str" cm="1">
        <f t="array" aca="1" ref="E70" ca="1">_xll.SUBNM(db_name&amp;":function","","Total Functions")</f>
        <v/>
      </c>
      <c r="S70" s="18" t="s">
        <v>35</v>
      </c>
      <c r="T70" s="15">
        <f t="shared" ref="T70:AC70" ca="1" si="0">IF($T$64&lt;&gt;1,T65,T65+$T$64)</f>
        <v>-1</v>
      </c>
      <c r="U70" s="15">
        <f t="shared" ca="1" si="0"/>
        <v>0</v>
      </c>
      <c r="V70" s="15">
        <f t="shared" ca="1" si="0"/>
        <v>1</v>
      </c>
      <c r="W70" s="15">
        <f t="shared" ca="1" si="0"/>
        <v>2</v>
      </c>
      <c r="X70" s="15">
        <f t="shared" ca="1" si="0"/>
        <v>3</v>
      </c>
      <c r="Y70" s="15">
        <f t="shared" ca="1" si="0"/>
        <v>4</v>
      </c>
      <c r="Z70" s="15">
        <f t="shared" ca="1" si="0"/>
        <v>5</v>
      </c>
      <c r="AA70" s="15">
        <f t="shared" ca="1" si="0"/>
        <v>6</v>
      </c>
      <c r="AB70" s="15">
        <f t="shared" ca="1" si="0"/>
        <v>7</v>
      </c>
      <c r="AC70" s="16">
        <f t="shared" ca="1" si="0"/>
        <v>8</v>
      </c>
    </row>
    <row r="71" spans="2:29" hidden="1" outlineLevel="1" x14ac:dyDescent="0.3">
      <c r="B71" s="17" t="s">
        <v>51</v>
      </c>
      <c r="C71" s="4" t="str" cm="1">
        <f t="array" aca="1" ref="C71" ca="1">_xll.DBR($C$68,psHLYear,psScenario,psID,$B71)</f>
        <v>*KEY_ERR</v>
      </c>
      <c r="D71" s="17" t="s">
        <v>54</v>
      </c>
      <c r="E71" s="4" t="str" cm="1">
        <f t="array" aca="1" ref="E71" ca="1">_xll.SUBNM(db_name&amp;":reason","",$C$77,"CBMS")</f>
        <v/>
      </c>
      <c r="S71" s="18" t="s">
        <v>39</v>
      </c>
      <c r="T71" s="44" t="e">
        <f ca="1">VLOOKUP(ae_grpadj_cbmsper,$S$68:$AC$70,2,FALSE)</f>
        <v>#N/A</v>
      </c>
      <c r="U71" s="44" t="e">
        <f ca="1">VLOOKUP(ae_grpadj_cbmsper,$S$68:$AC$70,3,FALSE)</f>
        <v>#N/A</v>
      </c>
      <c r="V71" s="44" t="e">
        <f ca="1">VLOOKUP(ae_grpadj_cbmsper,$S$68:$AC$70,4,FALSE)</f>
        <v>#N/A</v>
      </c>
      <c r="W71" s="44" t="e">
        <f ca="1">VLOOKUP(ae_grpadj_cbmsper,$S$68:$AC$70,5,FALSE)</f>
        <v>#N/A</v>
      </c>
      <c r="X71" s="44" t="e">
        <f ca="1">VLOOKUP(ae_grpadj_cbmsper,$S$68:$AC$70,6,FALSE)</f>
        <v>#N/A</v>
      </c>
      <c r="Y71" s="44" t="e">
        <f ca="1">VLOOKUP(ae_grpadj_cbmsper,$S$68:$AC$70,7,FALSE)</f>
        <v>#N/A</v>
      </c>
      <c r="Z71" s="44" t="e">
        <f ca="1">VLOOKUP(ae_grpadj_cbmsper,$S$68:$AC$70,8,FALSE)</f>
        <v>#N/A</v>
      </c>
      <c r="AA71" s="44" t="e">
        <f ca="1">VLOOKUP(ae_grpadj_cbmsper,$S$68:$AC$70,9,FALSE)</f>
        <v>#N/A</v>
      </c>
      <c r="AB71" s="44" t="e">
        <f ca="1">VLOOKUP(ae_grpadj_cbmsper,$S$68:$AC$70,10,FALSE)</f>
        <v>#N/A</v>
      </c>
      <c r="AC71" s="45" t="e">
        <f ca="1">VLOOKUP(ae_grpadj_cbmsper,$S$68:$AC$70,11,FALSE)</f>
        <v>#N/A</v>
      </c>
    </row>
    <row r="72" spans="2:29" hidden="1" outlineLevel="1" x14ac:dyDescent="0.3">
      <c r="B72" s="17" t="s">
        <v>55</v>
      </c>
      <c r="C72" s="4" t="str" cm="1">
        <f t="array" aca="1" ref="C72" ca="1">_xll.DBR($C$68,psHLYear,psScenario,psID,$B72)</f>
        <v>*KEY_ERR</v>
      </c>
      <c r="D72" s="17" t="s">
        <v>56</v>
      </c>
      <c r="E72" s="4" t="str" cm="1">
        <f t="array" aca="1" ref="E72" ca="1">_xll.SUBNM(db_name&amp;":spp","","Total SPP")</f>
        <v/>
      </c>
      <c r="S72" s="18" t="s">
        <v>35</v>
      </c>
      <c r="T72" s="15" t="s">
        <v>42</v>
      </c>
      <c r="U72" s="15" t="s">
        <v>10</v>
      </c>
      <c r="V72" s="15" t="s">
        <v>11</v>
      </c>
      <c r="W72" s="15" t="s">
        <v>12</v>
      </c>
      <c r="X72" s="15" t="s">
        <v>13</v>
      </c>
      <c r="Y72" s="15" t="s">
        <v>14</v>
      </c>
      <c r="Z72" s="15" t="s">
        <v>15</v>
      </c>
      <c r="AA72" s="15" t="s">
        <v>16</v>
      </c>
      <c r="AB72" s="15" t="s">
        <v>17</v>
      </c>
      <c r="AC72" s="16" t="s">
        <v>18</v>
      </c>
    </row>
    <row r="73" spans="2:29" hidden="1" outlineLevel="1" x14ac:dyDescent="0.3">
      <c r="B73" s="17" t="s">
        <v>57</v>
      </c>
      <c r="C73" s="4" t="str" cm="1">
        <f t="array" aca="1" ref="C73" ca="1">_xll.DBR($C$68,psHLYear,psScenario,psID,$B73)</f>
        <v>*KEY_ERR</v>
      </c>
      <c r="D73" s="17" t="s">
        <v>58</v>
      </c>
      <c r="E73" s="4" t="str" cm="1">
        <f t="array" aca="1" ref="E73" ca="1">_xll.SUBNM(db_name&amp;":measure code","",$C$76,"CBMS")</f>
        <v/>
      </c>
      <c r="S73" s="18" t="s">
        <v>33</v>
      </c>
      <c r="T73" s="15" t="s">
        <v>19</v>
      </c>
      <c r="U73" s="15" t="s">
        <v>22</v>
      </c>
      <c r="V73" s="15" t="s">
        <v>23</v>
      </c>
      <c r="W73" s="15" t="s">
        <v>24</v>
      </c>
      <c r="X73" s="15" t="s">
        <v>25</v>
      </c>
      <c r="Y73" s="15" t="s">
        <v>26</v>
      </c>
      <c r="Z73" s="15" t="s">
        <v>27</v>
      </c>
      <c r="AA73" s="15" t="s">
        <v>28</v>
      </c>
      <c r="AB73" s="15" t="s">
        <v>29</v>
      </c>
      <c r="AC73" s="16" t="s">
        <v>30</v>
      </c>
    </row>
    <row r="74" spans="2:29" ht="15" hidden="1" outlineLevel="1" thickBot="1" x14ac:dyDescent="0.35">
      <c r="B74" s="17" t="s">
        <v>59</v>
      </c>
      <c r="C74" s="4" t="str" cm="1">
        <f t="array" aca="1" ref="C74" ca="1">_xll.DBR($C$68,psHLYear,psScenario,psID,$B74)</f>
        <v>*KEY_ERR</v>
      </c>
      <c r="D74" s="17" t="s">
        <v>55</v>
      </c>
      <c r="E74" s="4" t="str" cm="1">
        <f t="array" aca="1" ref="E74" ca="1">_xll.SUBNM(db_name&amp;":appropriation type","","Total approp types")</f>
        <v/>
      </c>
      <c r="S74" s="19" t="str">
        <f ca="1">MID($C$50,3,9)</f>
        <v>EY_ERR</v>
      </c>
      <c r="T74" s="20" t="e" cm="1">
        <f t="array" aca="1" ref="T74" ca="1">_xll.DIMNM(db_name&amp;":period",_xll.DIMIX(db_name&amp;":period",$S74)+T71)</f>
        <v>#VALUE!</v>
      </c>
      <c r="U74" s="20" t="e" cm="1">
        <f t="array" aca="1" ref="U74" ca="1">_xll.DIMNM(db_name&amp;":period",_xll.DIMIX(db_name&amp;":period",$S74)+U71)</f>
        <v>#VALUE!</v>
      </c>
      <c r="V74" s="20" t="e" cm="1">
        <f t="array" aca="1" ref="V74" ca="1">_xll.DIMNM(db_name&amp;":period",_xll.DIMIX(db_name&amp;":period",$S74)+V71)</f>
        <v>#VALUE!</v>
      </c>
      <c r="W74" s="20" t="e" cm="1">
        <f t="array" aca="1" ref="W74" ca="1">_xll.DIMNM(db_name&amp;":period",_xll.DIMIX(db_name&amp;":period",$S74)+W71)</f>
        <v>#VALUE!</v>
      </c>
      <c r="X74" s="20" t="e" cm="1">
        <f t="array" aca="1" ref="X74" ca="1">_xll.DIMNM(db_name&amp;":period",_xll.DIMIX(db_name&amp;":period",$S74)+X71)</f>
        <v>#VALUE!</v>
      </c>
      <c r="Y74" s="20" t="e" cm="1">
        <f t="array" aca="1" ref="Y74" ca="1">_xll.DIMNM(db_name&amp;":period",_xll.DIMIX(db_name&amp;":period",$S74)+Y71)</f>
        <v>#VALUE!</v>
      </c>
      <c r="Z74" s="20" t="e" cm="1">
        <f t="array" aca="1" ref="Z74" ca="1">_xll.DIMNM(db_name&amp;":period",_xll.DIMIX(db_name&amp;":period",$S74)+Z71)</f>
        <v>#VALUE!</v>
      </c>
      <c r="AA74" s="20" t="e" cm="1">
        <f t="array" aca="1" ref="AA74" ca="1">_xll.DIMNM(db_name&amp;":period",_xll.DIMIX(db_name&amp;":period",$S74)+AA71)</f>
        <v>#VALUE!</v>
      </c>
      <c r="AB74" s="20" t="e" cm="1">
        <f t="array" aca="1" ref="AB74" ca="1">_xll.DIMNM(db_name&amp;":period",_xll.DIMIX(db_name&amp;":period",$S74)+AB71)</f>
        <v>#VALUE!</v>
      </c>
      <c r="AC74" s="21" t="e" cm="1">
        <f t="array" aca="1" ref="AC74" ca="1">_xll.DIMNM(db_name&amp;":period",_xll.DIMIX(db_name&amp;":period",$S74)+AC71)</f>
        <v>#VALUE!</v>
      </c>
    </row>
    <row r="75" spans="2:29" hidden="1" outlineLevel="1" x14ac:dyDescent="0.3">
      <c r="B75" s="17" t="s">
        <v>56</v>
      </c>
      <c r="C75" s="4" t="str" cm="1">
        <f t="array" aca="1" ref="C75" ca="1">_xll.DBR($C$68,psHLYear,psScenario,psID,$B75)</f>
        <v>*KEY_ERR</v>
      </c>
      <c r="D75" s="17" t="s">
        <v>60</v>
      </c>
      <c r="E75" s="4" t="str" cm="1">
        <f t="array" aca="1" ref="E75" ca="1">_xll.SUBNM(db_name&amp;":appropriation item","","Total approp item","CBMS")</f>
        <v/>
      </c>
    </row>
    <row r="76" spans="2:29" hidden="1" outlineLevel="1" x14ac:dyDescent="0.3">
      <c r="B76" s="17" t="s">
        <v>61</v>
      </c>
      <c r="C76" s="4" t="str" cm="1">
        <f t="array" aca="1" ref="C76" ca="1">_xll.DBR($C$68,psHLYear,psScenario,psID,$B76)</f>
        <v>*KEY_ERR</v>
      </c>
    </row>
    <row r="77" spans="2:29" hidden="1" outlineLevel="1" x14ac:dyDescent="0.3">
      <c r="B77" s="17" t="s">
        <v>54</v>
      </c>
      <c r="C77" s="4" t="str" cm="1">
        <f t="array" aca="1" ref="C77" ca="1">_xll.DBR($C$68,psHLYear,psScenario,psID,$B77)</f>
        <v>*KEY_ERR</v>
      </c>
    </row>
    <row r="78" spans="2:29" hidden="1" outlineLevel="1" x14ac:dyDescent="0.3">
      <c r="B78" s="17" t="s">
        <v>60</v>
      </c>
      <c r="C78" s="4" t="str" cm="1">
        <f t="array" aca="1" ref="C78" ca="1">_xll.DBR($C$68,psHLYear,psScenario,psID,$B78)</f>
        <v>*KEY_ERR</v>
      </c>
    </row>
    <row r="79" spans="2:29" hidden="1" outlineLevel="1" x14ac:dyDescent="0.3">
      <c r="B79" s="17" t="s">
        <v>62</v>
      </c>
      <c r="C79" s="4" t="str" cm="1">
        <f t="array" aca="1" ref="C79" ca="1">_xll.DBR($C$68,psHLYear,psScenario,psID,$B79)</f>
        <v>*KEY_ERR</v>
      </c>
    </row>
    <row r="80" spans="2:29" hidden="1" outlineLevel="1" x14ac:dyDescent="0.3">
      <c r="B80" s="17" t="s">
        <v>63</v>
      </c>
      <c r="C80" s="4" t="str" cm="1">
        <f t="array" aca="1" ref="C80" ca="1">_xll.DBR($C$68,psHLYear,psScenario,psID,$B80)</f>
        <v>*KEY_ERR</v>
      </c>
    </row>
    <row r="81" spans="1:29" hidden="1" outlineLevel="1" x14ac:dyDescent="0.3">
      <c r="B81" s="17" t="s">
        <v>140</v>
      </c>
      <c r="C81" s="4" t="str" cm="1">
        <f t="array" aca="1" ref="C81" ca="1">_xll.DBR($C$68,psHLYear,psScenario,psID,$B81)</f>
        <v>*KEY_ERR</v>
      </c>
    </row>
    <row r="82" spans="1:29" hidden="1" outlineLevel="1" x14ac:dyDescent="0.3"/>
    <row r="83" spans="1:29" ht="40.200000000000003" customHeight="1" collapsed="1" x14ac:dyDescent="0.3">
      <c r="H83" s="32"/>
      <c r="I83" s="35"/>
      <c r="J83" s="35"/>
      <c r="K83" s="35"/>
      <c r="L83" s="35"/>
      <c r="M83" s="35"/>
      <c r="N83" s="35"/>
      <c r="O83" s="35"/>
      <c r="P83" s="35"/>
      <c r="Q83" s="35"/>
      <c r="R83" s="36" t="s">
        <v>64</v>
      </c>
      <c r="S83" s="35"/>
      <c r="T83" s="35"/>
      <c r="U83" s="35"/>
      <c r="V83" s="36"/>
      <c r="W83" s="35"/>
      <c r="X83" s="35"/>
      <c r="Y83" s="36"/>
      <c r="Z83" s="36"/>
      <c r="AA83" s="36"/>
      <c r="AB83" s="36"/>
      <c r="AC83" s="36"/>
    </row>
    <row r="84" spans="1:29" ht="4.5" customHeight="1" x14ac:dyDescent="0.3"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9" ht="24" customHeight="1" x14ac:dyDescent="0.3">
      <c r="H85" s="15"/>
      <c r="I85" s="15"/>
      <c r="J85" s="37"/>
      <c r="K85" s="38"/>
      <c r="L85" s="38"/>
      <c r="M85" s="37"/>
      <c r="N85" s="38"/>
      <c r="O85" s="38"/>
      <c r="P85" s="38"/>
      <c r="Q85" s="15"/>
      <c r="R85" s="15"/>
      <c r="S85" s="15"/>
      <c r="T85" s="15"/>
      <c r="U85" s="15"/>
      <c r="V85" s="15"/>
      <c r="W85" s="15"/>
      <c r="X85" s="15"/>
      <c r="Y85" s="15"/>
    </row>
    <row r="86" spans="1:29" ht="1.5" customHeight="1" x14ac:dyDescent="0.3">
      <c r="H86" s="1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spans="1:29" ht="4.5" customHeight="1" x14ac:dyDescent="0.3"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9" x14ac:dyDescent="0.3">
      <c r="J88" s="50" t="s">
        <v>137</v>
      </c>
      <c r="K88" s="67" t="str">
        <f ca="1">psHLYear</f>
        <v>*KEY_ERR</v>
      </c>
      <c r="L88" s="68"/>
      <c r="M88" s="47" t="s">
        <v>84</v>
      </c>
      <c r="N88" s="67" t="str">
        <f ca="1">psScenario</f>
        <v>*KEY_ERR</v>
      </c>
      <c r="O88" s="68"/>
      <c r="P88" s="48" t="s">
        <v>85</v>
      </c>
      <c r="Q88" s="51" t="str">
        <f ca="1">psID</f>
        <v>*KEY_ERR</v>
      </c>
      <c r="R88" s="49"/>
      <c r="T88" s="50" t="s">
        <v>86</v>
      </c>
      <c r="U88" s="63" t="str" cm="1">
        <f t="array" aca="1" ref="U88" ca="1">_xll.SUBNM(db_name&amp;":sys_report display","","Expand")</f>
        <v/>
      </c>
      <c r="V88" s="63"/>
    </row>
    <row r="89" spans="1:29" x14ac:dyDescent="0.3">
      <c r="J89" s="50" t="s">
        <v>138</v>
      </c>
      <c r="K89" s="64" t="str">
        <f ca="1">$C$79</f>
        <v>*KEY_ERR</v>
      </c>
      <c r="L89" s="65"/>
      <c r="M89" s="65"/>
      <c r="N89" s="65"/>
      <c r="O89" s="65"/>
      <c r="P89" s="65"/>
      <c r="Q89" s="66"/>
      <c r="R89" s="49"/>
      <c r="T89" s="50" t="s">
        <v>87</v>
      </c>
      <c r="U89" s="63" t="str" cm="1">
        <f t="array" aca="1" ref="U89" ca="1">_xll.SUBNM(db_name&amp;":sys_period display","","Current")</f>
        <v/>
      </c>
      <c r="V89" s="63"/>
    </row>
    <row r="90" spans="1:29" ht="4.5" customHeight="1" x14ac:dyDescent="0.3"/>
    <row r="91" spans="1:29" x14ac:dyDescent="0.3">
      <c r="J91" s="30" t="s">
        <v>66</v>
      </c>
    </row>
    <row r="92" spans="1:29" ht="4.5" customHeight="1" x14ac:dyDescent="0.3">
      <c r="J92" s="22"/>
    </row>
    <row r="93" spans="1:29" x14ac:dyDescent="0.3">
      <c r="B93" s="29" t="s">
        <v>67</v>
      </c>
      <c r="C93" s="29" t="s">
        <v>68</v>
      </c>
      <c r="D93" s="29" t="s">
        <v>69</v>
      </c>
      <c r="E93" s="29" t="s">
        <v>70</v>
      </c>
      <c r="F93" s="29" t="s">
        <v>71</v>
      </c>
      <c r="G93" s="29" t="s">
        <v>72</v>
      </c>
      <c r="J93" s="29" t="s">
        <v>135</v>
      </c>
      <c r="K93" s="61" t="s">
        <v>68</v>
      </c>
      <c r="L93" s="61"/>
      <c r="M93" s="61"/>
      <c r="N93" s="62" t="s">
        <v>69</v>
      </c>
      <c r="O93" s="62"/>
      <c r="P93" s="62"/>
      <c r="Q93" s="29" t="s">
        <v>70</v>
      </c>
      <c r="R93" s="29" t="s">
        <v>71</v>
      </c>
      <c r="S93" s="29" t="s">
        <v>73</v>
      </c>
      <c r="T93" s="29" t="e">
        <f t="shared" ref="T93:AC93" ca="1" si="1">T$74</f>
        <v>#VALUE!</v>
      </c>
      <c r="U93" s="29" t="e">
        <f t="shared" ca="1" si="1"/>
        <v>#VALUE!</v>
      </c>
      <c r="V93" s="29" t="e">
        <f t="shared" ca="1" si="1"/>
        <v>#VALUE!</v>
      </c>
      <c r="W93" s="29" t="e">
        <f t="shared" ca="1" si="1"/>
        <v>#VALUE!</v>
      </c>
      <c r="X93" s="29" t="e">
        <f t="shared" ca="1" si="1"/>
        <v>#VALUE!</v>
      </c>
      <c r="Y93" s="29" t="e">
        <f t="shared" ca="1" si="1"/>
        <v>#VALUE!</v>
      </c>
      <c r="Z93" s="29" t="e">
        <f t="shared" ca="1" si="1"/>
        <v>#VALUE!</v>
      </c>
      <c r="AA93" s="29" t="e">
        <f t="shared" ca="1" si="1"/>
        <v>#VALUE!</v>
      </c>
      <c r="AB93" s="29" t="e">
        <f t="shared" ca="1" si="1"/>
        <v>#VALUE!</v>
      </c>
      <c r="AC93" s="29" t="e">
        <f t="shared" ca="1" si="1"/>
        <v>#VALUE!</v>
      </c>
    </row>
    <row r="94" spans="1:29" x14ac:dyDescent="0.3">
      <c r="A94" t="str" cm="1">
        <f t="array" aca="1" ref="A94" ca="1">IF(_xll.TM1RPTELISCONSOLIDATED($F$94,$F94),IF(_xll.TM1RPTELLEV($F$94,$F94)&lt;=3,_xll.TM1RPTELLEV($F$94,$F94),"D"),"N")</f>
        <v>N</v>
      </c>
      <c r="B94" s="28" t="str" cm="1">
        <f t="array" aca="1" ref="B94" ca="1">_xll.TM1RPTROW($C$59,db_name&amp;":programme","","","code and description",0,$C$61)</f>
        <v/>
      </c>
      <c r="C94" s="28" t="str" cm="1">
        <f t="array" aca="1" ref="C94" ca="1">_xll.TM1RPTROW($C$59,db_name&amp;":account","","","Code and Description",0,$C$62)</f>
        <v/>
      </c>
      <c r="D94" s="28" t="str" cm="1">
        <f t="array" aca="1" ref="D94" ca="1">_xll.TM1RPTROW($C$59,db_name&amp;":movement account","","","code and description",0,$C$63)</f>
        <v/>
      </c>
      <c r="E94" s="28" t="str" cm="1">
        <f t="array" aca="1" ref="E94" ca="1">_xll.TM1RPTROW($C$59,db_name&amp;":related entity","","","code and description",0,$C$64)</f>
        <v/>
      </c>
      <c r="F94" s="28" t="str" cm="1">
        <f t="array" aca="1" ref="F94" ca="1">_xll.TM1RPTROW($C$59,db_name&amp;":jurisdiction","","","description",0,$C$65)</f>
        <v/>
      </c>
      <c r="G94" t="str" cm="1">
        <f t="array" aca="1" ref="G94" ca="1">IF(LEFT($D94,2)="No",UPPER(_xll.DBRA(db_name&amp;":account",$C94,"DR/CR")),UPPER(_xll.DBRA(db_name&amp;":movement account",$D94,"DR/CR")))</f>
        <v/>
      </c>
      <c r="J94" s="3" t="str">
        <f ca="1">B94</f>
        <v/>
      </c>
      <c r="K94" s="53" t="str">
        <f ca="1">C94</f>
        <v/>
      </c>
      <c r="L94" s="54"/>
      <c r="M94" s="55"/>
      <c r="N94" s="53" t="str">
        <f ca="1">D94</f>
        <v/>
      </c>
      <c r="O94" s="54"/>
      <c r="P94" s="55"/>
      <c r="Q94" s="4" t="str">
        <f ca="1">E94</f>
        <v/>
      </c>
      <c r="R94" s="46" t="str">
        <f ca="1">F94</f>
        <v/>
      </c>
      <c r="S94" s="5" t="str">
        <f ca="1">G94</f>
        <v/>
      </c>
      <c r="T94" s="6" t="str" cm="1">
        <f t="array" aca="1" ref="T94" ca="1">_xll.DBRW($C$59,$C$50,$C$51,$E$68,$E$69,$E94,$E$70,$E$71,$E$72,$E$73,$E$74,$D94,$E$75,$B94,$C94,$C$52,$F94,T$93)</f>
        <v/>
      </c>
      <c r="U94" s="6" t="str" cm="1">
        <f t="array" aca="1" ref="U94" ca="1">_xll.DBRW($C$59,$C$50,$C$51,$E$68,$E$69,$E94,$E$70,$E$71,$E$72,$E$73,$E$74,$D94,$E$75,$B94,$C94,$C$52,$F94,U$93)</f>
        <v/>
      </c>
      <c r="V94" s="6" t="str" cm="1">
        <f t="array" aca="1" ref="V94" ca="1">_xll.DBRW($C$59,$C$50,$C$51,$E$68,$E$69,$E94,$E$70,$E$71,$E$72,$E$73,$E$74,$D94,$E$75,$B94,$C94,$C$52,$F94,V$93)</f>
        <v/>
      </c>
      <c r="W94" s="6" t="str" cm="1">
        <f t="array" aca="1" ref="W94" ca="1">_xll.DBRW($C$59,$C$50,$C$51,$E$68,$E$69,$E94,$E$70,$E$71,$E$72,$E$73,$E$74,$D94,$E$75,$B94,$C94,$C$52,$F94,W$93)</f>
        <v/>
      </c>
      <c r="X94" s="6" t="str" cm="1">
        <f t="array" aca="1" ref="X94" ca="1">_xll.DBRW($C$59,$C$50,$C$51,$E$68,$E$69,$E94,$E$70,$E$71,$E$72,$E$73,$E$74,$D94,$E$75,$B94,$C94,$C$52,$F94,X$93)</f>
        <v/>
      </c>
      <c r="Y94" s="6" t="str" cm="1">
        <f t="array" aca="1" ref="Y94" ca="1">_xll.DBRW($C$59,$C$50,$C$51,$E$68,$E$69,$E94,$E$70,$E$71,$E$72,$E$73,$E$74,$D94,$E$75,$B94,$C94,$C$52,$F94,Y$93)</f>
        <v/>
      </c>
      <c r="Z94" s="6" t="str" cm="1">
        <f t="array" aca="1" ref="Z94" ca="1">_xll.DBRW($C$59,$C$50,$C$51,$E$68,$E$69,$E94,$E$70,$E$71,$E$72,$E$73,$E$74,$D94,$E$75,$B94,$C94,$C$52,$F94,Z$93)</f>
        <v/>
      </c>
      <c r="AA94" s="6" t="str" cm="1">
        <f t="array" aca="1" ref="AA94" ca="1">_xll.DBRW($C$59,$C$50,$C$51,$E$68,$E$69,$E94,$E$70,$E$71,$E$72,$E$73,$E$74,$D94,$E$75,$B94,$C94,$C$52,$F94,AA$93)</f>
        <v/>
      </c>
      <c r="AB94" s="6" t="str" cm="1">
        <f t="array" aca="1" ref="AB94" ca="1">_xll.DBRW($C$59,$C$50,$C$51,$E$68,$E$69,$E94,$E$70,$E$71,$E$72,$E$73,$E$74,$D94,$E$75,$B94,$C94,$C$52,$F94,AB$93)</f>
        <v/>
      </c>
      <c r="AC94" s="6" t="str" cm="1">
        <f t="array" aca="1" ref="AC94" ca="1">_xll.DBRW($C$59,$C$50,$C$51,$E$68,$E$69,$E94,$E$70,$E$71,$E$72,$E$73,$E$74,$D94,$E$75,$B94,$C94,$C$52,$F94,AC$93)</f>
        <v/>
      </c>
    </row>
    <row r="95" spans="1:29" ht="5.0999999999999996" customHeight="1" x14ac:dyDescent="0.3"/>
    <row r="96" spans="1:29" hidden="1" x14ac:dyDescent="0.3">
      <c r="B96" t="str">
        <f ca="1">$C$80 &amp; " programmes"</f>
        <v>*KEY_ERR programmes</v>
      </c>
      <c r="C96" s="23" t="s">
        <v>74</v>
      </c>
      <c r="D96" s="15" t="s">
        <v>75</v>
      </c>
      <c r="E96" s="15" t="s">
        <v>76</v>
      </c>
      <c r="F96" s="15" t="s">
        <v>77</v>
      </c>
      <c r="G96" s="15"/>
      <c r="H96" s="15"/>
      <c r="I96" s="15"/>
      <c r="J96" s="15"/>
      <c r="K96" s="15"/>
      <c r="S96" s="24" t="s">
        <v>78</v>
      </c>
      <c r="T96" s="25" t="str" cm="1">
        <f t="array" aca="1" ref="T96" ca="1">_xll.DBR($C$60,$C$50,$C$51,$E$68,$E$69,$E96,$E$70,$E$71,$E$72,$E$73,$E$74,$D96,$E$75,$B96,$C96,$C$52,$F96,T$93)</f>
        <v>*KEY_ERR</v>
      </c>
      <c r="U96" s="25" t="str" cm="1">
        <f t="array" aca="1" ref="U96" ca="1">_xll.DBR($C$60,$C$50,$C$51,$E$68,$E$69,$E96,$E$70,$E$71,$E$72,$E$73,$E$74,$D96,$E$75,$B96,$C96,$C$52,$F96,U$93)</f>
        <v>*KEY_ERR</v>
      </c>
      <c r="V96" s="25" t="str" cm="1">
        <f t="array" aca="1" ref="V96" ca="1">_xll.DBR($C$60,$C$50,$C$51,$E$68,$E$69,$E96,$E$70,$E$71,$E$72,$E$73,$E$74,$D96,$E$75,$B96,$C96,$C$52,$F96,V$93)</f>
        <v>*KEY_ERR</v>
      </c>
      <c r="W96" s="25" t="str" cm="1">
        <f t="array" aca="1" ref="W96" ca="1">_xll.DBR($C$60,$C$50,$C$51,$E$68,$E$69,$E96,$E$70,$E$71,$E$72,$E$73,$E$74,$D96,$E$75,$B96,$C96,$C$52,$F96,W$93)</f>
        <v>*KEY_ERR</v>
      </c>
      <c r="X96" s="25" t="str" cm="1">
        <f t="array" aca="1" ref="X96" ca="1">_xll.DBR($C$60,$C$50,$C$51,$E$68,$E$69,$E96,$E$70,$E$71,$E$72,$E$73,$E$74,$D96,$E$75,$B96,$C96,$C$52,$F96,X$93)</f>
        <v>*KEY_ERR</v>
      </c>
      <c r="Y96" s="25" t="str" cm="1">
        <f t="array" aca="1" ref="Y96" ca="1">_xll.DBR($C$60,$C$50,$C$51,$E$68,$E$69,$E96,$E$70,$E$71,$E$72,$E$73,$E$74,$D96,$E$75,$B96,$C96,$C$52,$F96,Y$93)</f>
        <v>*KEY_ERR</v>
      </c>
      <c r="Z96" s="25" t="str" cm="1">
        <f t="array" aca="1" ref="Z96" ca="1">_xll.DBR($C$60,$C$50,$C$51,$E$68,$E$69,$E96,$E$70,$E$71,$E$72,$E$73,$E$74,$D96,$E$75,$B96,$C96,$C$52,$F96,Z$93)</f>
        <v>*KEY_ERR</v>
      </c>
      <c r="AA96" s="25" t="str" cm="1">
        <f t="array" aca="1" ref="AA96" ca="1">_xll.DBR($C$60,$C$50,$C$51,$E$68,$E$69,$E96,$E$70,$E$71,$E$72,$E$73,$E$74,$D96,$E$75,$B96,$C96,$C$52,$F96,AA$93)</f>
        <v>*KEY_ERR</v>
      </c>
      <c r="AB96" s="25" t="str" cm="1">
        <f t="array" aca="1" ref="AB96" ca="1">_xll.DBR($C$60,$C$50,$C$51,$E$68,$E$69,$E96,$E$70,$E$71,$E$72,$E$73,$E$74,$D96,$E$75,$B96,$C96,$C$52,$F96,AB$93)</f>
        <v>*KEY_ERR</v>
      </c>
      <c r="AC96" s="25" t="str" cm="1">
        <f t="array" aca="1" ref="AC96" ca="1">_xll.DBR($C$60,$C$50,$C$51,$E$68,$E$69,$E96,$E$70,$E$71,$E$72,$E$73,$E$74,$D96,$E$75,$B96,$C96,$C$52,$F96,AC$93)</f>
        <v>*KEY_ERR</v>
      </c>
    </row>
    <row r="97" spans="1:29" hidden="1" x14ac:dyDescent="0.3">
      <c r="B97" t="str">
        <f ca="1">$C$80 &amp; " programmes"</f>
        <v>*KEY_ERR programmes</v>
      </c>
      <c r="C97" s="23" t="s">
        <v>79</v>
      </c>
      <c r="D97" s="15" t="s">
        <v>75</v>
      </c>
      <c r="E97" s="15" t="s">
        <v>76</v>
      </c>
      <c r="F97" s="15" t="s">
        <v>77</v>
      </c>
      <c r="G97" s="15"/>
      <c r="H97" s="15"/>
      <c r="I97" s="15"/>
      <c r="J97" s="15"/>
      <c r="K97" s="15"/>
      <c r="S97" s="24" t="s">
        <v>78</v>
      </c>
      <c r="T97" s="25" t="str" cm="1">
        <f t="array" aca="1" ref="T97" ca="1">_xll.DBR($C$60,$C$50,$C$51,$E$68,$E$69,$E97,$E$70,$E$71,$E$72,$E$73,$E$74,$D97,$E$75,$B97,$C97,$C$52,$F97,T$93)</f>
        <v>*KEY_ERR</v>
      </c>
      <c r="U97" s="25" t="str" cm="1">
        <f t="array" aca="1" ref="U97" ca="1">_xll.DBR($C$60,$C$50,$C$51,$E$68,$E$69,$E97,$E$70,$E$71,$E$72,$E$73,$E$74,$D97,$E$75,$B97,$C97,$C$52,$F97,U$93)</f>
        <v>*KEY_ERR</v>
      </c>
      <c r="V97" s="25" t="str" cm="1">
        <f t="array" aca="1" ref="V97" ca="1">_xll.DBR($C$60,$C$50,$C$51,$E$68,$E$69,$E97,$E$70,$E$71,$E$72,$E$73,$E$74,$D97,$E$75,$B97,$C97,$C$52,$F97,V$93)</f>
        <v>*KEY_ERR</v>
      </c>
      <c r="W97" s="25" t="str" cm="1">
        <f t="array" aca="1" ref="W97" ca="1">_xll.DBR($C$60,$C$50,$C$51,$E$68,$E$69,$E97,$E$70,$E$71,$E$72,$E$73,$E$74,$D97,$E$75,$B97,$C97,$C$52,$F97,W$93)</f>
        <v>*KEY_ERR</v>
      </c>
      <c r="X97" s="25" t="str" cm="1">
        <f t="array" aca="1" ref="X97" ca="1">_xll.DBR($C$60,$C$50,$C$51,$E$68,$E$69,$E97,$E$70,$E$71,$E$72,$E$73,$E$74,$D97,$E$75,$B97,$C97,$C$52,$F97,X$93)</f>
        <v>*KEY_ERR</v>
      </c>
      <c r="Y97" s="25" t="str" cm="1">
        <f t="array" aca="1" ref="Y97" ca="1">_xll.DBR($C$60,$C$50,$C$51,$E$68,$E$69,$E97,$E$70,$E$71,$E$72,$E$73,$E$74,$D97,$E$75,$B97,$C97,$C$52,$F97,Y$93)</f>
        <v>*KEY_ERR</v>
      </c>
      <c r="Z97" s="25" t="str" cm="1">
        <f t="array" aca="1" ref="Z97" ca="1">_xll.DBR($C$60,$C$50,$C$51,$E$68,$E$69,$E97,$E$70,$E$71,$E$72,$E$73,$E$74,$D97,$E$75,$B97,$C97,$C$52,$F97,Z$93)</f>
        <v>*KEY_ERR</v>
      </c>
      <c r="AA97" s="25" t="str" cm="1">
        <f t="array" aca="1" ref="AA97" ca="1">_xll.DBR($C$60,$C$50,$C$51,$E$68,$E$69,$E97,$E$70,$E$71,$E$72,$E$73,$E$74,$D97,$E$75,$B97,$C97,$C$52,$F97,AA$93)</f>
        <v>*KEY_ERR</v>
      </c>
      <c r="AB97" s="25" t="str" cm="1">
        <f t="array" aca="1" ref="AB97" ca="1">_xll.DBR($C$60,$C$50,$C$51,$E$68,$E$69,$E97,$E$70,$E$71,$E$72,$E$73,$E$74,$D97,$E$75,$B97,$C97,$C$52,$F97,AB$93)</f>
        <v>*KEY_ERR</v>
      </c>
      <c r="AC97" s="25" t="str" cm="1">
        <f t="array" aca="1" ref="AC97" ca="1">_xll.DBR($C$60,$C$50,$C$51,$E$68,$E$69,$E97,$E$70,$E$71,$E$72,$E$73,$E$74,$D97,$E$75,$B97,$C97,$C$52,$F97,AC$93)</f>
        <v>*KEY_ERR</v>
      </c>
    </row>
    <row r="98" spans="1:29" x14ac:dyDescent="0.3">
      <c r="S98" s="26" t="s">
        <v>80</v>
      </c>
      <c r="T98" s="27" t="e">
        <f ca="1">T96-T97</f>
        <v>#VALUE!</v>
      </c>
      <c r="U98" s="27" t="e">
        <f t="shared" ref="U98:AC98" ca="1" si="2">U96-U97</f>
        <v>#VALUE!</v>
      </c>
      <c r="V98" s="27" t="e">
        <f t="shared" ca="1" si="2"/>
        <v>#VALUE!</v>
      </c>
      <c r="W98" s="27" t="e">
        <f t="shared" ca="1" si="2"/>
        <v>#VALUE!</v>
      </c>
      <c r="X98" s="27" t="e">
        <f t="shared" ca="1" si="2"/>
        <v>#VALUE!</v>
      </c>
      <c r="Y98" s="27" t="e">
        <f t="shared" ca="1" si="2"/>
        <v>#VALUE!</v>
      </c>
      <c r="Z98" s="27" t="e">
        <f t="shared" ca="1" si="2"/>
        <v>#VALUE!</v>
      </c>
      <c r="AA98" s="27" t="e">
        <f t="shared" ca="1" si="2"/>
        <v>#VALUE!</v>
      </c>
      <c r="AB98" s="27" t="e">
        <f t="shared" ca="1" si="2"/>
        <v>#VALUE!</v>
      </c>
      <c r="AC98" s="27" t="e">
        <f t="shared" ca="1" si="2"/>
        <v>#VALUE!</v>
      </c>
    </row>
    <row r="99" spans="1:29" ht="5.0999999999999996" customHeight="1" x14ac:dyDescent="0.3"/>
    <row r="100" spans="1:29" x14ac:dyDescent="0.3">
      <c r="J100" s="30" t="s">
        <v>81</v>
      </c>
    </row>
    <row r="101" spans="1:29" ht="3" customHeight="1" x14ac:dyDescent="0.3">
      <c r="J101" s="31"/>
      <c r="K101" s="31"/>
    </row>
    <row r="102" spans="1:29" x14ac:dyDescent="0.3">
      <c r="B102" s="29" t="s">
        <v>67</v>
      </c>
      <c r="C102" s="29" t="s">
        <v>68</v>
      </c>
      <c r="D102" s="29" t="s">
        <v>69</v>
      </c>
      <c r="E102" s="29" t="s">
        <v>70</v>
      </c>
      <c r="F102" s="29" t="s">
        <v>71</v>
      </c>
      <c r="G102" s="29"/>
      <c r="J102" s="29" t="s">
        <v>135</v>
      </c>
      <c r="K102" s="61" t="s">
        <v>68</v>
      </c>
      <c r="L102" s="61"/>
      <c r="M102" s="61"/>
      <c r="N102" s="62" t="s">
        <v>69</v>
      </c>
      <c r="O102" s="62"/>
      <c r="P102" s="62"/>
      <c r="Q102" s="29" t="s">
        <v>70</v>
      </c>
      <c r="R102" s="29" t="s">
        <v>71</v>
      </c>
      <c r="S102" s="29" t="s">
        <v>73</v>
      </c>
      <c r="T102" s="29" t="e">
        <f t="shared" ref="T102:AC102" ca="1" si="3">T$74</f>
        <v>#VALUE!</v>
      </c>
      <c r="U102" s="29" t="e">
        <f t="shared" ca="1" si="3"/>
        <v>#VALUE!</v>
      </c>
      <c r="V102" s="29" t="e">
        <f t="shared" ca="1" si="3"/>
        <v>#VALUE!</v>
      </c>
      <c r="W102" s="29" t="e">
        <f t="shared" ca="1" si="3"/>
        <v>#VALUE!</v>
      </c>
      <c r="X102" s="29" t="e">
        <f t="shared" ca="1" si="3"/>
        <v>#VALUE!</v>
      </c>
      <c r="Y102" s="29" t="e">
        <f t="shared" ca="1" si="3"/>
        <v>#VALUE!</v>
      </c>
      <c r="Z102" s="29" t="e">
        <f t="shared" ca="1" si="3"/>
        <v>#VALUE!</v>
      </c>
      <c r="AA102" s="29" t="e">
        <f t="shared" ca="1" si="3"/>
        <v>#VALUE!</v>
      </c>
      <c r="AB102" s="29" t="e">
        <f t="shared" ca="1" si="3"/>
        <v>#VALUE!</v>
      </c>
      <c r="AC102" s="29" t="e">
        <f t="shared" ca="1" si="3"/>
        <v>#VALUE!</v>
      </c>
    </row>
    <row r="103" spans="1:29" x14ac:dyDescent="0.3">
      <c r="A103" t="str" cm="1">
        <f t="array" aca="1" ref="A103" ca="1">IF(_xll.TM1RPTELISCONSOLIDATED($F$103,$F103),IF(_xll.TM1RPTELLEV($F$103,$F103)&lt;=3,_xll.TM1RPTELLEV($F$103,$F103),"D"),"N")</f>
        <v>N</v>
      </c>
      <c r="B103" s="28" t="str" cm="1">
        <f t="array" aca="1" ref="B103" ca="1">_xll.TM1RPTROW($D$59,db_name&amp;":programme","","","code and description",0,$C$61)</f>
        <v/>
      </c>
      <c r="C103" s="28" t="str" cm="1">
        <f t="array" aca="1" ref="C103" ca="1">_xll.TM1RPTROW($D$59,db_name&amp;":account","","","Code and description",0,$D$62)</f>
        <v/>
      </c>
      <c r="D103" s="28" t="str" cm="1">
        <f t="array" aca="1" ref="D103" ca="1">_xll.TM1RPTROW($D$59,db_name&amp;":movement account","","","code and description",0,$C$63)</f>
        <v/>
      </c>
      <c r="E103" s="28" t="str" cm="1">
        <f t="array" aca="1" ref="E103" ca="1">_xll.TM1RPTROW($D$59,db_name&amp;":related entity","","","code and description",0,$C$64)</f>
        <v/>
      </c>
      <c r="F103" s="28" t="str" cm="1">
        <f t="array" aca="1" ref="F103" ca="1">_xll.TM1RPTROW($D$59,db_name&amp;":jurisdiction","","","description",0,$C$65)</f>
        <v/>
      </c>
      <c r="G103" t="str" cm="1">
        <f t="array" aca="1" ref="G103" ca="1">IF(LEFT($D103,2)="No",UPPER(_xll.DBRA(db_name&amp;":account",$C103,"DR/CR")),UPPER(_xll.DBRA(db_name&amp;":movement account",$D103,"DR/CR")))</f>
        <v/>
      </c>
      <c r="J103" s="3" t="str">
        <f ca="1">B103</f>
        <v/>
      </c>
      <c r="K103" s="53" t="str">
        <f ca="1">C103</f>
        <v/>
      </c>
      <c r="L103" s="54"/>
      <c r="M103" s="55"/>
      <c r="N103" s="53" t="str">
        <f ca="1">D103</f>
        <v/>
      </c>
      <c r="O103" s="54"/>
      <c r="P103" s="55"/>
      <c r="Q103" s="4" t="str">
        <f ca="1">E103</f>
        <v/>
      </c>
      <c r="R103" s="46" t="str">
        <f ca="1">F103</f>
        <v/>
      </c>
      <c r="S103" s="5" t="str">
        <f ca="1">G103</f>
        <v/>
      </c>
      <c r="T103" s="6" t="str" cm="1">
        <f t="array" aca="1" ref="T103" ca="1">_xll.DBRW($D$59,$C$50,$C$51,$E$68,$E$69,$E103,$E$70,$E$71,$E$72,$E$73,$E$74,$D103,$E$75,$B103,$C103,$C$52,$F103,T$93)</f>
        <v/>
      </c>
      <c r="U103" s="6" t="str" cm="1">
        <f t="array" aca="1" ref="U103" ca="1">_xll.DBRW($D$59,$C$50,$C$51,$E$68,$E$69,$E103,$E$70,$E$71,$E$72,$E$73,$E$74,$D103,$E$75,$B103,$C103,$C$52,$F103,U$93)</f>
        <v/>
      </c>
      <c r="V103" s="6" t="str" cm="1">
        <f t="array" aca="1" ref="V103" ca="1">_xll.DBRW($D$59,$C$50,$C$51,$E$68,$E$69,$E103,$E$70,$E$71,$E$72,$E$73,$E$74,$D103,$E$75,$B103,$C103,$C$52,$F103,V$93)</f>
        <v/>
      </c>
      <c r="W103" s="6" t="str" cm="1">
        <f t="array" aca="1" ref="W103" ca="1">_xll.DBRW($D$59,$C$50,$C$51,$E$68,$E$69,$E103,$E$70,$E$71,$E$72,$E$73,$E$74,$D103,$E$75,$B103,$C103,$C$52,$F103,W$93)</f>
        <v/>
      </c>
      <c r="X103" s="6" t="str" cm="1">
        <f t="array" aca="1" ref="X103" ca="1">_xll.DBRW($D$59,$C$50,$C$51,$E$68,$E$69,$E103,$E$70,$E$71,$E$72,$E$73,$E$74,$D103,$E$75,$B103,$C103,$C$52,$F103,X$93)</f>
        <v/>
      </c>
      <c r="Y103" s="6" t="str" cm="1">
        <f t="array" aca="1" ref="Y103" ca="1">_xll.DBRW($D$59,$C$50,$C$51,$E$68,$E$69,$E103,$E$70,$E$71,$E$72,$E$73,$E$74,$D103,$E$75,$B103,$C103,$C$52,$F103,Y$93)</f>
        <v/>
      </c>
      <c r="Z103" s="6" t="str" cm="1">
        <f t="array" aca="1" ref="Z103" ca="1">_xll.DBRW($D$59,$C$50,$C$51,$E$68,$E$69,$E103,$E$70,$E$71,$E$72,$E$73,$E$74,$D103,$E$75,$B103,$C103,$C$52,$F103,Z$93)</f>
        <v/>
      </c>
      <c r="AA103" s="6" t="str" cm="1">
        <f t="array" aca="1" ref="AA103" ca="1">_xll.DBRW($D$59,$C$50,$C$51,$E$68,$E$69,$E103,$E$70,$E$71,$E$72,$E$73,$E$74,$D103,$E$75,$B103,$C103,$C$52,$F103,AA$93)</f>
        <v/>
      </c>
      <c r="AB103" s="6" t="str" cm="1">
        <f t="array" aca="1" ref="AB103" ca="1">_xll.DBRW($D$59,$C$50,$C$51,$E$68,$E$69,$E103,$E$70,$E$71,$E$72,$E$73,$E$74,$D103,$E$75,$B103,$C103,$C$52,$F103,AB$93)</f>
        <v/>
      </c>
      <c r="AC103" s="6" t="str" cm="1">
        <f t="array" aca="1" ref="AC103" ca="1">_xll.DBRW($D$59,$C$50,$C$51,$E$68,$E$69,$E103,$E$70,$E$71,$E$72,$E$73,$E$74,$D103,$E$75,$B103,$C103,$C$52,$F103,AC$93)</f>
        <v/>
      </c>
    </row>
  </sheetData>
  <sheetProtection sheet="1" objects="1" scenarios="1"/>
  <mergeCells count="32">
    <mergeCell ref="U88:V88"/>
    <mergeCell ref="U89:V89"/>
    <mergeCell ref="K89:Q89"/>
    <mergeCell ref="K88:L88"/>
    <mergeCell ref="N88:O88"/>
    <mergeCell ref="K102:M102"/>
    <mergeCell ref="N102:P102"/>
    <mergeCell ref="K103:M103"/>
    <mergeCell ref="N103:P103"/>
    <mergeCell ref="K93:M93"/>
    <mergeCell ref="N93:P93"/>
    <mergeCell ref="K94:M94"/>
    <mergeCell ref="N94:P94"/>
    <mergeCell ref="B11:C11"/>
    <mergeCell ref="B67:C67"/>
    <mergeCell ref="D67:E67"/>
    <mergeCell ref="K5:M5"/>
    <mergeCell ref="B19:D19"/>
    <mergeCell ref="B29:D29"/>
    <mergeCell ref="B46:D46"/>
    <mergeCell ref="B58:D58"/>
    <mergeCell ref="N5:P5"/>
    <mergeCell ref="K6:M6"/>
    <mergeCell ref="N6:P6"/>
    <mergeCell ref="K7:M7"/>
    <mergeCell ref="N7:P7"/>
    <mergeCell ref="K2:M2"/>
    <mergeCell ref="N2:P2"/>
    <mergeCell ref="K3:M3"/>
    <mergeCell ref="N3:P3"/>
    <mergeCell ref="K4:M4"/>
    <mergeCell ref="N4:P4"/>
  </mergeCells>
  <conditionalFormatting sqref="J7:AC7 J103:AC103 J94:AC94">
    <cfRule type="expression" dxfId="0" priority="31">
      <formula>OR(LEFT($C7,7)="2330009",LEFT($C7,7)="2330008")</formula>
    </cfRule>
  </conditionalFormatting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100" r:id="rId4" name="TIButton2">
          <controlPr defaultSize="0" print="0" autoLine="0" autoPict="0" r:id="rId5">
            <anchor moveWithCells="1" sizeWithCells="1">
              <from>
                <xdr:col>9</xdr:col>
                <xdr:colOff>1303020</xdr:colOff>
                <xdr:row>84</xdr:row>
                <xdr:rowOff>22860</xdr:rowOff>
              </from>
              <to>
                <xdr:col>9</xdr:col>
                <xdr:colOff>2087880</xdr:colOff>
                <xdr:row>84</xdr:row>
                <xdr:rowOff>274320</xdr:rowOff>
              </to>
            </anchor>
          </controlPr>
        </control>
      </mc:Choice>
      <mc:Fallback>
        <control shapeId="1100" r:id="rId4" name="TIButton2"/>
      </mc:Fallback>
    </mc:AlternateContent>
    <mc:AlternateContent xmlns:mc="http://schemas.openxmlformats.org/markup-compatibility/2006">
      <mc:Choice Requires="x14">
        <control shapeId="1099" r:id="rId6" name="TIButton1">
          <controlPr defaultSize="0" print="0" autoLine="0" autoPict="0" r:id="rId7">
            <anchor moveWithCells="1" sizeWithCells="1">
              <from>
                <xdr:col>9</xdr:col>
                <xdr:colOff>22860</xdr:colOff>
                <xdr:row>84</xdr:row>
                <xdr:rowOff>22860</xdr:rowOff>
              </from>
              <to>
                <xdr:col>9</xdr:col>
                <xdr:colOff>1280160</xdr:colOff>
                <xdr:row>84</xdr:row>
                <xdr:rowOff>274320</xdr:rowOff>
              </to>
            </anchor>
          </controlPr>
        </control>
      </mc:Choice>
      <mc:Fallback>
        <control shapeId="1099" r:id="rId6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group adj cbms</vt:lpstr>
      <vt:lpstr>ae_grpadj_cbmsper</vt:lpstr>
      <vt:lpstr>ae_grpadj_display</vt:lpstr>
      <vt:lpstr>ae_grpcbmsadj_pyflag</vt:lpstr>
      <vt:lpstr>db_name</vt:lpstr>
      <vt:lpstr>Freeze_here</vt:lpstr>
      <vt:lpstr>psApp</vt:lpstr>
      <vt:lpstr>psHLYear</vt:lpstr>
      <vt:lpstr>psID</vt:lpstr>
      <vt:lpstr>psProgDimName</vt:lpstr>
      <vt:lpstr>psScenario</vt:lpstr>
      <vt:lpstr>psUser</vt:lpstr>
      <vt:lpstr>sys_disprep_list</vt:lpstr>
      <vt:lpstr>sys_perdisplay_list</vt:lpstr>
      <vt:lpstr>TargetCells</vt:lpstr>
      <vt:lpstr>TM1AdjIDListCAP</vt:lpstr>
      <vt:lpstr>TM1AdjIDListWB</vt:lpstr>
      <vt:lpstr>TM1BackToAdjWB</vt:lpstr>
      <vt:lpstr>TM1BackToAdjWS</vt:lpstr>
      <vt:lpstr>TM1GrpNewAdj01HeaderCAP</vt:lpstr>
      <vt:lpstr>TM1GrpNewAdj01HeaderWB</vt:lpstr>
      <vt:lpstr>TM1GrpNewAdj01HeaderWS</vt:lpstr>
      <vt:lpstr>TM1GrpNewAdj02ExpDataEntryCAP</vt:lpstr>
      <vt:lpstr>TM1GrpNewAdj02ExpDataEntryWB</vt:lpstr>
      <vt:lpstr>TM1GrpNewAdj02ExpDataEntryWS</vt:lpstr>
      <vt:lpstr>TM1GrpNewAdj03CashDataEntryCAP</vt:lpstr>
      <vt:lpstr>TM1GrpNewAdj03CashDataEntryWB</vt:lpstr>
      <vt:lpstr>TM1GrpNewAdj03CashDataEntryWS</vt:lpstr>
      <vt:lpstr>TM1GrpNewAdj08RecogDataEntryCAP</vt:lpstr>
      <vt:lpstr>TM1GrpNewAdj08RecogDataEntryWB</vt:lpstr>
      <vt:lpstr>TM1GrpNewAdj08RecogDataEntryWS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TM1NewAdj03AuthCAP</vt:lpstr>
      <vt:lpstr>TM1NewAdj03AuthWB</vt:lpstr>
      <vt:lpstr>TM1NewAdj03AuthWS</vt:lpstr>
      <vt:lpstr>'group adj cbms'!TM1RPTDATARNG1</vt:lpstr>
      <vt:lpstr>'group adj cbms'!TM1RPTDATARNGARPTGRPCF</vt:lpstr>
      <vt:lpstr>'group adj cbms'!TM1RPTFMTIDCOL</vt:lpstr>
      <vt:lpstr>'group adj cbms'!TM1RPTFMTRNG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2019-08-14T22:38:52Z</dcterms:created>
  <dcterms:modified xsi:type="dcterms:W3CDTF">2023-02-14T22:32:54Z</dcterms:modified>
</cp:coreProperties>
</file>