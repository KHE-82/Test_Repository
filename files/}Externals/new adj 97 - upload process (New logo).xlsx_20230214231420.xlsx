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activeX/activeX1.xml" ContentType="application/vnd.ms-office.activeX+xml"/>
  <Override PartName="/xl/activeX/activeX2.xml" ContentType="application/vnd.ms-office.activeX+xml"/>
  <Override PartName="/xl/activeX/activeX1.bin" ContentType="application/vnd.ms-office.activeX"/>
  <Override PartName="/xl/activeX/activeX3.xml" ContentType="application/vnd.ms-office.activeX+xml"/>
  <Override PartName="/xl/activeX/activeX2.bin" ContentType="application/vnd.ms-office.activeX"/>
  <Override PartName="/xl/activeX/activeX4.xml" ContentType="application/vnd.ms-office.activeX+xml"/>
  <Override PartName="/xl/activeX/activeX5.xml" ContentType="application/vnd.ms-office.activeX+xml"/>
  <Override PartName="/xl/activeX/activeX6.xml" ContentType="application/vnd.ms-office.activeX+xml"/>
  <Override PartName="/xl/activeX/activeX7.xml" ContentType="application/vnd.ms-office.activeX+xml"/>
  <Override PartName="/xl/activeX/activeX3.bin" ContentType="application/vnd.ms-office.activeX"/>
  <Override PartName="/xl/activeX/activeX8.xml" ContentType="application/vnd.ms-office.activeX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khe\Test_Repository\files\}Externals\"/>
    </mc:Choice>
  </mc:AlternateContent>
  <xr:revisionPtr revIDLastSave="0" documentId="8_{08402C74-5763-41BD-991C-1EAAA59EA201}" xr6:coauthVersionLast="47" xr6:coauthVersionMax="47" xr10:uidLastSave="{00000000-0000-0000-0000-000000000000}"/>
  <bookViews>
    <workbookView xWindow="29580" yWindow="780" windowWidth="21600" windowHeight="11385" xr2:uid="{00000000-000D-0000-FFFF-FFFF00000000}"/>
  </bookViews>
  <sheets>
    <sheet name="upload" sheetId="1" r:id="rId1"/>
    <sheet name="{PL}PickLst" sheetId="2" state="hidden" r:id="rId2"/>
  </sheets>
  <definedNames>
    <definedName name="db_name">upload!$B$2</definedName>
    <definedName name="FFType">upload!$B$54:$B$55</definedName>
    <definedName name="psApp">upload!$B$29</definedName>
    <definedName name="psFFType">upload!$M$74</definedName>
    <definedName name="psFileName">upload!$M$72</definedName>
    <definedName name="psHLYear">upload!$B$45</definedName>
    <definedName name="psScenario">upload!$B$46</definedName>
    <definedName name="psSign">upload!$M$76</definedName>
    <definedName name="psUser">upload!$B$4</definedName>
    <definedName name="TM1AdjIDListCAP">upload!$C$34</definedName>
    <definedName name="TM1AdjIDListWB">upload!$E$34</definedName>
    <definedName name="TM1AdjIDListWS">upload!$G$34</definedName>
    <definedName name="TM1HomeAECAP">upload!$C$32</definedName>
    <definedName name="TM1HomeAEDataEntryCAP">upload!$C$33</definedName>
    <definedName name="TM1HomeAEDataEntryWB">upload!$E$33</definedName>
    <definedName name="TM1HomeAEDataEntryWS">upload!$G$33</definedName>
    <definedName name="TM1HomeAEWB">upload!$E$32</definedName>
    <definedName name="TM1HomeAEWS">upload!$G$32</definedName>
    <definedName name="TM1HomeCAP">upload!$C$31</definedName>
    <definedName name="TM1HomeWB">upload!$E$31</definedName>
    <definedName name="TM1HomeWS">upload!$G$31</definedName>
    <definedName name="TM1UploadAB_Confirm">upload!$B$53</definedName>
    <definedName name="TM1UploadAB_Fail">upload!$B$52</definedName>
    <definedName name="TM1UploadAB_Success">upload!$B$51</definedName>
    <definedName name="TM1UploadErrLogCAP">upload!$C$36</definedName>
    <definedName name="TM1UploadErrLogWB">upload!$E$36</definedName>
    <definedName name="TM1UploadErrLogWS">upload!$G$36</definedName>
    <definedName name="TM1UploadTempCAP">upload!$C$35</definedName>
    <definedName name="TM1UploadTempWB">upload!$E$35</definedName>
    <definedName name="TM1UploadTempWS">upload!$G$35</definedName>
  </definedNames>
  <calcPr calcId="181029" calcMode="manual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8" i="1" l="1" a="1"/>
  <c r="B28" i="1"/>
  <c r="G36" i="1"/>
  <c r="F36" i="1"/>
  <c r="E36" i="1"/>
  <c r="D36" i="1"/>
  <c r="C36" i="1"/>
  <c r="B36" i="1"/>
  <c r="B42" i="1" a="1"/>
  <c r="B42" i="1"/>
  <c r="B4" i="1" a="1"/>
  <c r="B4" i="1"/>
  <c r="C48" i="1" a="1"/>
  <c r="C48" i="1"/>
  <c r="B48" i="1" a="1"/>
  <c r="B48" i="1"/>
  <c r="C47" i="1" a="1"/>
  <c r="C47" i="1"/>
  <c r="B47" i="1" a="1"/>
  <c r="B47" i="1"/>
  <c r="C46" i="1" a="1"/>
  <c r="C46" i="1"/>
  <c r="B46" i="1" a="1"/>
  <c r="B46" i="1"/>
  <c r="C45" i="1" a="1"/>
  <c r="C45" i="1"/>
  <c r="B45" i="1" a="1"/>
  <c r="B45" i="1"/>
  <c r="B44" i="1" a="1"/>
  <c r="B44" i="1"/>
  <c r="G35" i="1" a="1"/>
  <c r="G35" i="1"/>
  <c r="F35" i="1" a="1"/>
  <c r="F35" i="1"/>
  <c r="E35" i="1" a="1"/>
  <c r="E35" i="1"/>
  <c r="D35" i="1" a="1"/>
  <c r="D35" i="1"/>
  <c r="C35" i="1" a="1"/>
  <c r="C35" i="1"/>
  <c r="B35" i="1" a="1"/>
  <c r="B35" i="1"/>
  <c r="G34" i="1" a="1"/>
  <c r="G34" i="1"/>
  <c r="F34" i="1" a="1"/>
  <c r="F34" i="1"/>
  <c r="E34" i="1" a="1"/>
  <c r="E34" i="1"/>
  <c r="D34" i="1" a="1"/>
  <c r="D34" i="1"/>
  <c r="C34" i="1" a="1"/>
  <c r="C34" i="1"/>
  <c r="B34" i="1" a="1"/>
  <c r="B34" i="1"/>
  <c r="G33" i="1" a="1"/>
  <c r="G33" i="1"/>
  <c r="F33" i="1" a="1"/>
  <c r="F33" i="1"/>
  <c r="E33" i="1" a="1"/>
  <c r="E33" i="1"/>
  <c r="D33" i="1" a="1"/>
  <c r="D33" i="1"/>
  <c r="C33" i="1" a="1"/>
  <c r="C33" i="1"/>
  <c r="B33" i="1" a="1"/>
  <c r="B33" i="1"/>
  <c r="G32" i="1" a="1"/>
  <c r="G32" i="1"/>
  <c r="F32" i="1" a="1"/>
  <c r="F32" i="1"/>
  <c r="E32" i="1" a="1"/>
  <c r="E32" i="1"/>
  <c r="D32" i="1" a="1"/>
  <c r="D32" i="1"/>
  <c r="C32" i="1" a="1"/>
  <c r="C32" i="1"/>
  <c r="B32" i="1" a="1"/>
  <c r="B32" i="1"/>
  <c r="G31" i="1" a="1"/>
  <c r="G31" i="1"/>
  <c r="F31" i="1" a="1"/>
  <c r="F31" i="1"/>
  <c r="E31" i="1" a="1"/>
  <c r="E31" i="1"/>
  <c r="D31" i="1" a="1"/>
  <c r="D31" i="1"/>
  <c r="C31" i="1" a="1"/>
  <c r="C31" i="1"/>
  <c r="B31" i="1" a="1"/>
  <c r="B31" i="1"/>
  <c r="B10" i="1" a="1"/>
  <c r="B10" i="1"/>
  <c r="B21" i="1" a="1"/>
  <c r="B21" i="1"/>
  <c r="B19" i="1" a="1"/>
  <c r="B19" i="1"/>
  <c r="B16" i="1" a="1"/>
  <c r="B16" i="1"/>
  <c r="B15" i="1" a="1"/>
  <c r="B15" i="1"/>
  <c r="B14" i="1" a="1"/>
  <c r="B14" i="1"/>
  <c r="B13" i="1" a="1"/>
  <c r="B13" i="1"/>
  <c r="B12" i="1" a="1"/>
  <c r="B12" i="1"/>
  <c r="B11" i="1" a="1"/>
  <c r="B11" i="1"/>
  <c r="B3" i="1" a="1"/>
  <c r="B3" i="1"/>
  <c r="B6" i="1" a="1"/>
  <c r="B6" i="1"/>
  <c r="B5" i="1" a="1"/>
  <c r="B5" i="1"/>
  <c r="M90" i="1"/>
  <c r="B25" i="1"/>
  <c r="M88" i="1"/>
  <c r="M85" i="1"/>
  <c r="M84" i="1"/>
  <c r="M83" i="1"/>
  <c r="M78" i="1"/>
  <c r="M70" i="1"/>
  <c r="B22" i="1"/>
  <c r="B7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<sst xmlns="http://schemas.openxmlformats.org/spreadsheetml/2006/main" count="88" uniqueCount="86">
  <si>
    <t>Database Variables</t>
  </si>
  <si>
    <t>Database Name</t>
  </si>
  <si>
    <t>}Clients</t>
  </si>
  <si>
    <t>TM1 User</t>
  </si>
  <si>
    <t>}TM1_DefaultDisplayValue</t>
  </si>
  <si>
    <t>GEUS User Name</t>
  </si>
  <si>
    <t>Current User</t>
  </si>
  <si>
    <t>System Variables</t>
  </si>
  <si>
    <t>View</t>
  </si>
  <si>
    <t>headline year</t>
  </si>
  <si>
    <t>headline scenario</t>
  </si>
  <si>
    <t>current budget round</t>
  </si>
  <si>
    <t>save location</t>
  </si>
  <si>
    <t>sys_upload directory</t>
  </si>
  <si>
    <t>sys_ImpFileExceptionLogs</t>
  </si>
  <si>
    <t>Hyperlink Configuration</t>
  </si>
  <si>
    <t>sys_shared directory</t>
  </si>
  <si>
    <t>sys_Web URL</t>
  </si>
  <si>
    <t>http://localhost:9510/</t>
  </si>
  <si>
    <t>sys_Web URL Linked Folder</t>
  </si>
  <si>
    <t>Hyperlink File Path</t>
  </si>
  <si>
    <t>Attachment Hyperlink Configuration</t>
  </si>
  <si>
    <t>Full File Path</t>
  </si>
  <si>
    <t>sys_application MDX</t>
  </si>
  <si>
    <t>Slice View (sys_application)</t>
  </si>
  <si>
    <t>Current Workbook</t>
  </si>
  <si>
    <t>Data Entry - New Adj 97 - Upload</t>
  </si>
  <si>
    <t>Application</t>
  </si>
  <si>
    <t>Caption Name</t>
  </si>
  <si>
    <t>Caption</t>
  </si>
  <si>
    <t>Workbook Name</t>
  </si>
  <si>
    <t>Workbook</t>
  </si>
  <si>
    <t>Worksheet Name</t>
  </si>
  <si>
    <t>Worksheet</t>
  </si>
  <si>
    <t>Homepage - Home</t>
  </si>
  <si>
    <t>Homepage - Annual Estimates</t>
  </si>
  <si>
    <t>Homepage - Annual Estimates - Data Entry</t>
  </si>
  <si>
    <t>Adjustment - ID List</t>
  </si>
  <si>
    <t>Data Entry - Upload Template</t>
  </si>
  <si>
    <t>Client Preference</t>
  </si>
  <si>
    <t>value</t>
  </si>
  <si>
    <t>validate</t>
  </si>
  <si>
    <t>sys_client preference measure</t>
  </si>
  <si>
    <t>geus hl year</t>
  </si>
  <si>
    <t>geus scenario</t>
  </si>
  <si>
    <t>geus adj</t>
  </si>
  <si>
    <t>sys_ImpFileValidation</t>
  </si>
  <si>
    <t>Action Button Messages and Parameters</t>
  </si>
  <si>
    <t>Success</t>
  </si>
  <si>
    <t>Flat file successfully loaded into GEUS.</t>
  </si>
  <si>
    <t>Failure</t>
  </si>
  <si>
    <t>Validation FAILED. Please review exception logs, or ensure the files do not have any commas or dashes as zeroes, or th or file does not exist.</t>
  </si>
  <si>
    <t>Confirmation</t>
  </si>
  <si>
    <t xml:space="preserve">Are you sure you want to upload a flatfile? </t>
  </si>
  <si>
    <t>psFFType</t>
  </si>
  <si>
    <t>Upload Flatfile Process</t>
  </si>
  <si>
    <t>Data Upload Directory :</t>
  </si>
  <si>
    <t>Enter File Name :</t>
  </si>
  <si>
    <t>flatfile upload.csv</t>
  </si>
  <si>
    <t>Note : Add the file extension (*.csv)</t>
  </si>
  <si>
    <t>FF Account Signage :</t>
  </si>
  <si>
    <t xml:space="preserve">Note : GEUS will update weightings based on FF Account Signage selected. </t>
  </si>
  <si>
    <t>Upload Validation :</t>
  </si>
  <si>
    <t>Note : When upload fails, error log files will also be saved in the same directory.</t>
  </si>
  <si>
    <t>Note :</t>
  </si>
  <si>
    <t>The upload process will put you in a queue and may take a few moments to complete.</t>
  </si>
  <si>
    <t>General Comments :</t>
  </si>
  <si>
    <t xml:space="preserve">Please ensure the upload file has enforced the following formats : </t>
  </si>
  <si>
    <t>- Store attachments in the location as indicated below</t>
  </si>
  <si>
    <t>sys_adj process</t>
  </si>
  <si>
    <t>Attachment File Path :</t>
  </si>
  <si>
    <t>Exception Log File Path :</t>
  </si>
  <si>
    <t>Note : Check this file path first when an error happens during upload. This identifies issues within the flatfile upload.</t>
  </si>
  <si>
    <t>Copy</t>
  </si>
  <si>
    <t>Reverse</t>
  </si>
  <si>
    <t>Copy and Reverse</t>
  </si>
  <si>
    <t>Delete</t>
  </si>
  <si>
    <t>approved non-flat file</t>
  </si>
  <si>
    <t>CBMS</t>
  </si>
  <si>
    <t>Account Template</t>
  </si>
  <si>
    <t>Old CBMS Format</t>
  </si>
  <si>
    <t>Standard CBMS Format</t>
  </si>
  <si>
    <t>FF Type :</t>
  </si>
  <si>
    <t>All DR Sign</t>
  </si>
  <si>
    <t>Data Entry - Upload Adjustment - Error log Report</t>
  </si>
  <si>
    <t>finance_geus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</si>
</sst>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rgb="FFFF0000"/>
      <name val="Calibri"/>
      <family val="2"/>
    </font>
    <font>
      <sz val="11"/>
      <name val="Calibri"/>
      <family val="2"/>
    </font>
    <font>
      <u/>
      <sz val="11"/>
      <color theme="1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rgb="FFF3F2F2"/>
        <bgColor indexed="64"/>
      </patternFill>
    </fill>
    <fill>
      <patternFill patternType="solid">
        <fgColor theme="0" tint="-0.2499465926084170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2" fillId="0" borderId="0"/>
    <xf numFmtId="0" fontId="9" fillId="0" borderId="0" applyNumberFormat="0" applyFill="0" applyBorder="0" applyAlignment="0" applyProtection="0"/>
  </cellStyleXfs>
  <cellXfs count="35">
    <xf numFmtId="0" fontId="0" fillId="0" borderId="0" xfId="0"/>
    <xf numFmtId="0" fontId="2" fillId="0" borderId="1" xfId="0" applyFont="1" applyBorder="1"/>
    <xf numFmtId="0" fontId="0" fillId="0" borderId="2" xfId="0" applyBorder="1"/>
    <xf numFmtId="0" fontId="0" fillId="0" borderId="1" xfId="0" applyBorder="1"/>
    <xf numFmtId="0" fontId="2" fillId="0" borderId="1" xfId="0" applyFont="1" applyBorder="1" applyAlignment="1">
      <alignment horizontal="center"/>
    </xf>
    <xf numFmtId="0" fontId="3" fillId="3" borderId="0" xfId="0" applyFont="1" applyFill="1" applyAlignment="1">
      <alignment horizontal="right" vertical="center"/>
    </xf>
    <xf numFmtId="0" fontId="4" fillId="0" borderId="0" xfId="0" applyFont="1" applyAlignment="1" applyProtection="1">
      <alignment vertical="top" wrapText="1"/>
      <protection locked="0"/>
    </xf>
    <xf numFmtId="0" fontId="2" fillId="0" borderId="0" xfId="0" applyFont="1" applyAlignment="1">
      <alignment horizontal="right" indent="1"/>
    </xf>
    <xf numFmtId="0" fontId="0" fillId="0" borderId="0" xfId="0" applyAlignment="1">
      <alignment horizontal="left" indent="1"/>
    </xf>
    <xf numFmtId="0" fontId="0" fillId="0" borderId="0" xfId="0" applyAlignment="1">
      <alignment vertical="top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9" fillId="0" borderId="1" xfId="7" applyNumberFormat="1" applyBorder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0" xfId="0" applyFont="1" applyAlignment="1">
      <alignment horizontal="right" vertical="top" indent="1"/>
    </xf>
    <xf numFmtId="0" fontId="4" fillId="4" borderId="1" xfId="0" applyFont="1" applyFill="1" applyBorder="1" applyAlignment="1">
      <alignment horizontal="left" vertical="top" wrapText="1" indent="1"/>
    </xf>
    <xf numFmtId="0" fontId="5" fillId="0" borderId="0" xfId="0" applyFont="1" applyAlignment="1">
      <alignment horizontal="right" indent="1"/>
    </xf>
    <xf numFmtId="0" fontId="4" fillId="0" borderId="1" xfId="0" applyFont="1" applyBorder="1" applyAlignment="1" applyProtection="1">
      <alignment horizontal="left" indent="1"/>
      <protection locked="0"/>
    </xf>
    <xf numFmtId="0" fontId="10" fillId="0" borderId="0" xfId="0" applyFont="1" applyAlignment="1">
      <alignment horizontal="left"/>
    </xf>
    <xf numFmtId="0" fontId="11" fillId="4" borderId="1" xfId="0" applyFont="1" applyFill="1" applyBorder="1" applyAlignment="1">
      <alignment horizontal="left" indent="1"/>
    </xf>
    <xf numFmtId="0" fontId="10" fillId="0" borderId="0" xfId="0" applyFont="1"/>
    <xf numFmtId="0" fontId="6" fillId="0" borderId="0" xfId="0" applyFont="1" applyAlignment="1">
      <alignment horizontal="right" indent="1"/>
    </xf>
    <xf numFmtId="0" fontId="7" fillId="0" borderId="0" xfId="0" applyFont="1"/>
    <xf numFmtId="0" fontId="8" fillId="4" borderId="4" xfId="0" applyFont="1" applyFill="1" applyBorder="1"/>
    <xf numFmtId="0" fontId="8" fillId="4" borderId="3" xfId="0" applyFont="1" applyFill="1" applyBorder="1" applyAlignment="1">
      <alignment horizontal="left"/>
    </xf>
    <xf numFmtId="0" fontId="8" fillId="4" borderId="5" xfId="0" quotePrefix="1" applyFont="1" applyFill="1" applyBorder="1" applyAlignment="1">
      <alignment horizontal="left"/>
    </xf>
    <xf numFmtId="0" fontId="6" fillId="0" borderId="0" xfId="0" applyFont="1" applyAlignment="1">
      <alignment horizontal="right" vertical="top" indent="1"/>
    </xf>
    <xf numFmtId="0" fontId="0" fillId="4" borderId="1" xfId="0" applyFill="1" applyBorder="1" applyAlignment="1">
      <alignment horizontal="left" vertical="top" wrapText="1" indent="1"/>
    </xf>
    <xf numFmtId="0" fontId="10" fillId="0" borderId="0" xfId="0" applyFont="1" applyAlignment="1">
      <alignment vertical="top" wrapText="1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</cellXfs>
  <cellStyles count="8">
    <cellStyle name="Comma" xfId="4" xr:uid="{00000000-0005-0000-0000-000000000000}"/>
    <cellStyle name="Comma [0]" xfId="5" xr:uid="{00000000-0005-0000-0000-000001000000}"/>
    <cellStyle name="Currency" xfId="2" xr:uid="{00000000-0005-0000-0000-000002000000}"/>
    <cellStyle name="Currency [0]" xfId="3" xr:uid="{00000000-0005-0000-0000-000003000000}"/>
    <cellStyle name="Hyperlink" xfId="7" xr:uid="{00000000-0005-0000-0000-000004000000}"/>
    <cellStyle name="Normal" xfId="0" builtinId="0"/>
    <cellStyle name="Normal 3" xfId="6" xr:uid="{00000000-0005-0000-0000-000006000000}"/>
    <cellStyle name="Percent" xfId="1" xr:uid="{00000000-0005-0000-0000-000007000000}"/>
  </cellStyles>
  <dxfs count="3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70C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529"/>
  <ax:ocxPr ax:name="_ExtentY" ax:value="79"/>
  <ax:ocxPr ax:name="_StockProps" ax:value="0"/>
  <ax:ocxPr ax:name="ServerName" ax:value="=db_name"/>
  <ax:ocxPr ax:name="ProcessName" ax:value="-- Get Process info from Worksheet --"/>
  <ax:ocxPr ax:name="Name" ax:value="psUser"/>
  <ax:ocxPr ax:name="Type" ax:value="0"/>
  <ax:ocxPr ax:name="Value" ax:value="=psUser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Flatfile Upload Template"/>
  <ax:ocxPr ax:name="UseFormula" ax:value="-1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0"/>
  <ax:ocxPr ax:name="ShowFailureMessage" ax:value="0"/>
  <ax:ocxPr ax:name="TargetWorkbookName" ax:value="=TM1UploadTempWB"/>
  <ax:ocxPr ax:name="TargetWorksheetName" ax:value="=TM1UploadTempWS"/>
  <ax:ocxPr ax:name="AutoTitles" ax:value="0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ResizeButtonToCaption" ax:value="0"/>
</ax:ocx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265"/>
  <ax:ocxPr ax:name="_ExtentY" ax:value="79"/>
  <ax:ocxPr ax:name="_StockProps" ax:value="0"/>
  <ax:ocxPr ax:name="ServerName" ax:value="=db_name"/>
  <ax:ocxPr ax:name="ProcessName" ax:value="sys_Client - Clear Client Preference Data"/>
  <ax:ocxPr ax:name="Name" ax:value="psUser"/>
  <ax:ocxPr ax:name="Type" ax:value="0"/>
  <ax:ocxPr ax:name="Value" ax:value="=psUser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Adj List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0"/>
  <ax:ocxPr ax:name="ShowFailureMessage" ax:value="0"/>
  <ax:ocxPr ax:name="TargetWorkbookName" ax:value="=TM1AdjIDListWB"/>
  <ax:ocxPr ax:name="TargetWorksheetName" ax:value="=TM1AdjIDListWS"/>
  <ax:ocxPr ax:name="AutoTitles" ax:value="0"/>
  <ax:ocxPr ax:name="ReplaceWindow" ax:value="-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-1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CaptionNotEval" ax:value="=TM1AdjIDListCAP"/>
  <ax:ocxPr ax:name="ResizeButtonToCaption" ax:value="0"/>
</ax:ocx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423"/>
  <ax:ocxPr ax:name="_ExtentY" ax:value="79"/>
  <ax:ocxPr ax:name="_StockProps" ax:value="0"/>
  <ax:ocxPr ax:name="ServerName" ax:value="=db_name"/>
  <ax:ocxPr ax:name="ProcessName" ax:value="sys_Client - Clear Client Preference Data"/>
  <ax:ocxPr ax:name="Name" ax:value="psUser"/>
  <ax:ocxPr ax:name="Type" ax:value="0"/>
  <ax:ocxPr ax:name="Value" ax:value="=psUser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Data Entry Menu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0"/>
  <ax:ocxPr ax:name="ShowFailureMessage" ax:value="0"/>
  <ax:ocxPr ax:name="TargetWorkbookName" ax:value="=TM1HomeAEDataEntryWB"/>
  <ax:ocxPr ax:name="TargetWorksheetName" ax:value="=TM1HomeAEDataEntryWS"/>
  <ax:ocxPr ax:name="AutoTitles" ax:value="0"/>
  <ax:ocxPr ax:name="ReplaceWindow" ax:value="-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-1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CaptionNotEval" ax:value="=TM1HomeAEDataEntryCAP"/>
  <ax:ocxPr ax:name="ResizeButtonToCaption" ax:value="0"/>
</ax:ocx>
</file>

<file path=xl/activeX/activeX6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265"/>
  <ax:ocxPr ax:name="_ExtentY" ax:value="79"/>
  <ax:ocxPr ax:name="_StockProps" ax:value="0"/>
  <ax:ocxPr ax:name="ServerName" ax:value="=db_name"/>
  <ax:ocxPr ax:name="ProcessName" ax:value="sys_Client - Clear Client Preference Data"/>
  <ax:ocxPr ax:name="Name" ax:value="psUser"/>
  <ax:ocxPr ax:name="Type" ax:value="0"/>
  <ax:ocxPr ax:name="Value" ax:value="=psUser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Home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0"/>
  <ax:ocxPr ax:name="ShowFailureMessage" ax:value="0"/>
  <ax:ocxPr ax:name="TargetWorkbookName" ax:value="=TM1HomeWB"/>
  <ax:ocxPr ax:name="TargetWorksheetName" ax:value="=TM1HomeWS"/>
  <ax:ocxPr ax:name="AutoTitles" ax:value="0"/>
  <ax:ocxPr ax:name="ReplaceWindow" ax:value="-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-1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CaptionNotEval" ax:value="=TM1HomeCAP"/>
  <ax:ocxPr ax:name="ResizeButtonToCaption" ax:value="0"/>
</ax:ocx>
</file>

<file path=xl/activeX/activeX7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4048"/>
  <ax:ocxPr ax:name="_ExtentY" ax:value="688"/>
  <ax:ocxPr ax:name="_StockProps" ax:value="0"/>
  <ax:ocxPr ax:name="ServerName" ax:value="=db_name"/>
  <ax:ocxPr ax:name="ProcessName" ax:value="-- Get Process info from Worksheet --"/>
  <ax:ocxPr ax:name="Name" ax:value="psUser"/>
  <ax:ocxPr ax:name="Type" ax:value="0"/>
  <ax:ocxPr ax:name="Value" ax:value="=psUser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=TM1UploadErrLogCAP"/>
  <ax:ocxPr ax:name="UseFormula" ax:value="-1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0"/>
  <ax:ocxPr ax:name="ShowFailureMessage" ax:value="0"/>
  <ax:ocxPr ax:name="TargetWorkbookName" ax:value="=TM1UploadErrLogWB"/>
  <ax:ocxPr ax:name="TargetWorksheetName" ax:value="=TM1UploadErrLogWS"/>
  <ax:ocxPr ax:name="AutoTitles" ax:value="0"/>
  <ax:ocxPr ax:name="ReplaceWindow" ax:value="-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ResizeButtonToCaption" ax:value="0"/>
</ax:ocx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5.emf"/><Relationship Id="rId7" Type="http://schemas.openxmlformats.org/officeDocument/2006/relationships/image" Target="../media/image1.emf"/><Relationship Id="rId2" Type="http://schemas.openxmlformats.org/officeDocument/2006/relationships/image" Target="../media/image6.emf"/><Relationship Id="rId1" Type="http://schemas.openxmlformats.org/officeDocument/2006/relationships/image" Target="../media/image7.emf"/><Relationship Id="rId6" Type="http://schemas.openxmlformats.org/officeDocument/2006/relationships/image" Target="../media/image2.emf"/><Relationship Id="rId5" Type="http://schemas.openxmlformats.org/officeDocument/2006/relationships/image" Target="../media/image3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38100</xdr:colOff>
      <xdr:row>64</xdr:row>
      <xdr:rowOff>28575</xdr:rowOff>
    </xdr:from>
    <xdr:to>
      <xdr:col>10</xdr:col>
      <xdr:colOff>1181100</xdr:colOff>
      <xdr:row>64</xdr:row>
      <xdr:rowOff>474345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28575"/>
          <a:ext cx="1809750" cy="44767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4286250</xdr:colOff>
          <xdr:row>66</xdr:row>
          <xdr:rowOff>0</xdr:rowOff>
        </xdr:from>
        <xdr:to>
          <xdr:col>12</xdr:col>
          <xdr:colOff>5067300</xdr:colOff>
          <xdr:row>66</xdr:row>
          <xdr:rowOff>247650</xdr:rowOff>
        </xdr:to>
        <xdr:sp macro="" textlink="">
          <xdr:nvSpPr>
            <xdr:cNvPr id="1031" name="TIButton1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66</xdr:row>
          <xdr:rowOff>0</xdr:rowOff>
        </xdr:from>
        <xdr:to>
          <xdr:col>10</xdr:col>
          <xdr:colOff>66675</xdr:colOff>
          <xdr:row>66</xdr:row>
          <xdr:rowOff>247650</xdr:rowOff>
        </xdr:to>
        <xdr:sp macro="" textlink="">
          <xdr:nvSpPr>
            <xdr:cNvPr id="1035" name="TIButton3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104775</xdr:colOff>
          <xdr:row>66</xdr:row>
          <xdr:rowOff>0</xdr:rowOff>
        </xdr:from>
        <xdr:to>
          <xdr:col>10</xdr:col>
          <xdr:colOff>1228725</xdr:colOff>
          <xdr:row>66</xdr:row>
          <xdr:rowOff>247650</xdr:rowOff>
        </xdr:to>
        <xdr:sp macro="" textlink="">
          <xdr:nvSpPr>
            <xdr:cNvPr id="1036" name="TIButton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1257300</xdr:colOff>
          <xdr:row>66</xdr:row>
          <xdr:rowOff>0</xdr:rowOff>
        </xdr:from>
        <xdr:to>
          <xdr:col>12</xdr:col>
          <xdr:colOff>342900</xdr:colOff>
          <xdr:row>66</xdr:row>
          <xdr:rowOff>247650</xdr:rowOff>
        </xdr:to>
        <xdr:sp macro="" textlink="">
          <xdr:nvSpPr>
            <xdr:cNvPr id="1037" name="TIButton4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3343275</xdr:colOff>
          <xdr:row>66</xdr:row>
          <xdr:rowOff>0</xdr:rowOff>
        </xdr:from>
        <xdr:to>
          <xdr:col>12</xdr:col>
          <xdr:colOff>4238625</xdr:colOff>
          <xdr:row>66</xdr:row>
          <xdr:rowOff>247650</xdr:rowOff>
        </xdr:to>
        <xdr:sp macro="" textlink="">
          <xdr:nvSpPr>
            <xdr:cNvPr id="1039" name="TIButton6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4524375</xdr:colOff>
          <xdr:row>65</xdr:row>
          <xdr:rowOff>28575</xdr:rowOff>
        </xdr:from>
        <xdr:to>
          <xdr:col>15</xdr:col>
          <xdr:colOff>0</xdr:colOff>
          <xdr:row>66</xdr:row>
          <xdr:rowOff>285750</xdr:rowOff>
        </xdr:to>
        <xdr:sp macro="" textlink="">
          <xdr:nvSpPr>
            <xdr:cNvPr id="1042" name="TIButton5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381000</xdr:colOff>
          <xdr:row>66</xdr:row>
          <xdr:rowOff>0</xdr:rowOff>
        </xdr:from>
        <xdr:to>
          <xdr:col>12</xdr:col>
          <xdr:colOff>1838325</xdr:colOff>
          <xdr:row>66</xdr:row>
          <xdr:rowOff>247650</xdr:rowOff>
        </xdr:to>
        <xdr:sp macro="" textlink="">
          <xdr:nvSpPr>
            <xdr:cNvPr id="1043" name="TIButton7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1866900</xdr:colOff>
          <xdr:row>66</xdr:row>
          <xdr:rowOff>0</xdr:rowOff>
        </xdr:from>
        <xdr:to>
          <xdr:col>12</xdr:col>
          <xdr:colOff>3324225</xdr:colOff>
          <xdr:row>66</xdr:row>
          <xdr:rowOff>247650</xdr:rowOff>
        </xdr:to>
        <xdr:sp macro="" textlink="">
          <xdr:nvSpPr>
            <xdr:cNvPr id="1044" name="TIButton8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emf"/><Relationship Id="rId13" Type="http://schemas.openxmlformats.org/officeDocument/2006/relationships/control" Target="../activeX/activeX5.xml"/><Relationship Id="rId18" Type="http://schemas.openxmlformats.org/officeDocument/2006/relationships/image" Target="../media/image7.emf"/><Relationship Id="rId3" Type="http://schemas.openxmlformats.org/officeDocument/2006/relationships/drawing" Target="../drawings/drawing1.xml"/><Relationship Id="rId7" Type="http://schemas.openxmlformats.org/officeDocument/2006/relationships/control" Target="../activeX/activeX2.xml"/><Relationship Id="rId12" Type="http://schemas.openxmlformats.org/officeDocument/2006/relationships/image" Target="../media/image4.emf"/><Relationship Id="rId17" Type="http://schemas.openxmlformats.org/officeDocument/2006/relationships/control" Target="../activeX/activeX7.xml"/><Relationship Id="rId2" Type="http://schemas.openxmlformats.org/officeDocument/2006/relationships/printerSettings" Target="../printerSettings/printerSettings1.bin"/><Relationship Id="rId16" Type="http://schemas.openxmlformats.org/officeDocument/2006/relationships/image" Target="../media/image6.emf"/><Relationship Id="rId20" Type="http://schemas.openxmlformats.org/officeDocument/2006/relationships/image" Target="../media/image8.emf"/><Relationship Id="rId1" Type="http://schemas.openxmlformats.org/officeDocument/2006/relationships/hyperlink" Target="http://localhost:9510/" TargetMode="External"/><Relationship Id="rId6" Type="http://schemas.openxmlformats.org/officeDocument/2006/relationships/image" Target="../media/image1.emf"/><Relationship Id="rId11" Type="http://schemas.openxmlformats.org/officeDocument/2006/relationships/control" Target="../activeX/activeX4.xml"/><Relationship Id="rId5" Type="http://schemas.openxmlformats.org/officeDocument/2006/relationships/control" Target="../activeX/activeX1.xml"/><Relationship Id="rId15" Type="http://schemas.openxmlformats.org/officeDocument/2006/relationships/control" Target="../activeX/activeX6.xml"/><Relationship Id="rId10" Type="http://schemas.openxmlformats.org/officeDocument/2006/relationships/image" Target="../media/image3.emf"/><Relationship Id="rId19" Type="http://schemas.openxmlformats.org/officeDocument/2006/relationships/control" Target="../activeX/activeX8.xml"/><Relationship Id="rId4" Type="http://schemas.openxmlformats.org/officeDocument/2006/relationships/vmlDrawing" Target="../drawings/vmlDrawing1.vml"/><Relationship Id="rId9" Type="http://schemas.openxmlformats.org/officeDocument/2006/relationships/control" Target="../activeX/activeX3.xml"/><Relationship Id="rId14" Type="http://schemas.openxmlformats.org/officeDocument/2006/relationships/image" Target="../media/image5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O91"/>
  <sheetViews>
    <sheetView showGridLines="0" tabSelected="1" topLeftCell="I65" workbookViewId="0">
      <pane ySplit="27" topLeftCell="A92" activePane="bottomLeft" state="frozen"/>
      <selection activeCell="I65" sqref="I65"/>
      <selection pane="bottomLeft" sqref="A1:C1"/>
    </sheetView>
  </sheetViews>
  <sheetFormatPr defaultRowHeight="14.45" customHeight="1" outlineLevelRow="1" outlineLevelCol="1" x14ac:dyDescent="0.25"/>
  <cols>
    <col min="1" max="1" width="25.140625" hidden="1" customWidth="1" outlineLevel="1"/>
    <col min="2" max="2" width="39.28515625" hidden="1" customWidth="1" outlineLevel="1"/>
    <col min="3" max="3" width="16.42578125" hidden="1" customWidth="1" outlineLevel="1"/>
    <col min="4" max="4" width="24.28515625" hidden="1" customWidth="1" outlineLevel="1"/>
    <col min="5" max="5" width="33.85546875" hidden="1" customWidth="1" outlineLevel="1"/>
    <col min="6" max="6" width="24.140625" hidden="1" customWidth="1" outlineLevel="1"/>
    <col min="7" max="7" width="10.85546875" hidden="1" customWidth="1" outlineLevel="1"/>
    <col min="8" max="8" width="9.140625" hidden="1" customWidth="1" outlineLevel="1"/>
    <col min="9" max="9" width="0.85546875" customWidth="1" collapsed="1"/>
    <col min="11" max="11" width="22.7109375" customWidth="1"/>
    <col min="12" max="12" width="0.85546875" customWidth="1"/>
    <col min="13" max="13" width="80.7109375" customWidth="1"/>
    <col min="14" max="14" width="4" customWidth="1"/>
    <col min="15" max="15" width="72.5703125" customWidth="1"/>
  </cols>
  <sheetData>
    <row r="1" spans="1:3" ht="14.45" hidden="1" customHeight="1" outlineLevel="1" x14ac:dyDescent="0.25">
      <c r="A1" s="30" t="s">
        <v>0</v>
      </c>
      <c r="B1" s="31"/>
      <c r="C1" s="32"/>
    </row>
    <row r="2" spans="1:3" ht="14.45" hidden="1" customHeight="1" outlineLevel="1" x14ac:dyDescent="0.25">
      <c r="A2" s="1" t="s">
        <v>1</v>
      </c>
      <c r="B2" s="10" t="s">
        <v>85</v>
      </c>
      <c r="C2" s="2"/>
    </row>
    <row r="3" spans="1:3" ht="14.45" hidden="1" customHeight="1" outlineLevel="1" x14ac:dyDescent="0.25">
      <c r="A3" s="1" t="s">
        <v>2</v>
      </c>
      <c r="B3" s="11" t="e" cm="1">
        <f t="array" aca="1" ref="B3" ca="1">_xll.VIEW((db_name&amp;":}ElementAttributes_}Clients"),"!","!")</f>
        <v>#NAME?</v>
      </c>
      <c r="C3" s="2"/>
    </row>
    <row r="4" spans="1:3" ht="14.45" hidden="1" customHeight="1" outlineLevel="1" x14ac:dyDescent="0.25">
      <c r="A4" s="1" t="s">
        <v>3</v>
      </c>
      <c r="B4" s="10" t="e" cm="1">
        <f t="array" aca="1" ref="B4" ca="1">_xll.TM1USER(db_name)</f>
        <v>#NAME?</v>
      </c>
      <c r="C4" s="2"/>
    </row>
    <row r="5" spans="1:3" ht="14.45" hidden="1" customHeight="1" outlineLevel="1" x14ac:dyDescent="0.25">
      <c r="A5" s="1" t="s">
        <v>4</v>
      </c>
      <c r="B5" s="10" t="e" cm="1">
        <f t="array" aca="1" ref="B5" ca="1">_xll.DBR($B$3,$B$4,$A5)</f>
        <v>#NAME?</v>
      </c>
      <c r="C5" s="2"/>
    </row>
    <row r="6" spans="1:3" ht="14.45" hidden="1" customHeight="1" outlineLevel="1" x14ac:dyDescent="0.25">
      <c r="A6" s="1" t="s">
        <v>5</v>
      </c>
      <c r="B6" s="10" t="e" cm="1">
        <f t="array" aca="1" ref="B6" ca="1">_xll.DBR($B$3,$B$4,$A6)</f>
        <v>#NAME?</v>
      </c>
      <c r="C6" s="2"/>
    </row>
    <row r="7" spans="1:3" ht="14.45" hidden="1" customHeight="1" outlineLevel="1" x14ac:dyDescent="0.25">
      <c r="A7" s="1" t="s">
        <v>6</v>
      </c>
      <c r="B7" s="10" t="e">
        <f ca="1">IF((LEFT($B$5,6)="CAM_AD"),$B$6,$B$5)</f>
        <v>#NAME?</v>
      </c>
      <c r="C7" s="3"/>
    </row>
    <row r="8" spans="1:3" ht="14.45" hidden="1" customHeight="1" outlineLevel="1" x14ac:dyDescent="0.25"/>
    <row r="9" spans="1:3" ht="14.45" hidden="1" customHeight="1" outlineLevel="1" x14ac:dyDescent="0.25">
      <c r="A9" s="30" t="s">
        <v>7</v>
      </c>
      <c r="B9" s="31"/>
      <c r="C9" s="32"/>
    </row>
    <row r="10" spans="1:3" ht="14.45" hidden="1" customHeight="1" outlineLevel="1" x14ac:dyDescent="0.25">
      <c r="A10" s="1" t="s">
        <v>8</v>
      </c>
      <c r="B10" s="3" t="e" cm="1">
        <f t="array" aca="1" ref="B10" ca="1">_xll.VIEW((db_name&amp;":}ElementAttributes_variables"),"!","!")</f>
        <v>#NAME?</v>
      </c>
      <c r="C10" s="3"/>
    </row>
    <row r="11" spans="1:3" ht="14.45" hidden="1" customHeight="1" outlineLevel="1" x14ac:dyDescent="0.25">
      <c r="A11" s="1" t="s">
        <v>9</v>
      </c>
      <c r="B11" s="3" t="e" cm="1">
        <f t="array" aca="1" ref="B11" ca="1">_xll.DBR($B$10,$A11,"value")</f>
        <v>#NAME?</v>
      </c>
      <c r="C11" s="3"/>
    </row>
    <row r="12" spans="1:3" ht="14.45" hidden="1" customHeight="1" outlineLevel="1" x14ac:dyDescent="0.25">
      <c r="A12" s="1" t="s">
        <v>10</v>
      </c>
      <c r="B12" s="3" t="e" cm="1">
        <f t="array" aca="1" ref="B12" ca="1">_xll.DBR($B$10,$A12,"value")</f>
        <v>#NAME?</v>
      </c>
      <c r="C12" s="3"/>
    </row>
    <row r="13" spans="1:3" ht="14.45" hidden="1" customHeight="1" outlineLevel="1" x14ac:dyDescent="0.25">
      <c r="A13" s="1" t="s">
        <v>11</v>
      </c>
      <c r="B13" s="3" t="e" cm="1">
        <f t="array" aca="1" ref="B13" ca="1">_xll.DBR($B$10,$A13,"value")</f>
        <v>#NAME?</v>
      </c>
      <c r="C13" s="3"/>
    </row>
    <row r="14" spans="1:3" ht="14.45" hidden="1" customHeight="1" outlineLevel="1" x14ac:dyDescent="0.25">
      <c r="A14" s="1" t="s">
        <v>12</v>
      </c>
      <c r="B14" s="3" t="e" cm="1">
        <f t="array" aca="1" ref="B14" ca="1">_xll.DBR($B$10,$A14,"value")</f>
        <v>#NAME?</v>
      </c>
      <c r="C14" s="3"/>
    </row>
    <row r="15" spans="1:3" ht="14.45" hidden="1" customHeight="1" outlineLevel="1" x14ac:dyDescent="0.25">
      <c r="A15" s="1" t="s">
        <v>13</v>
      </c>
      <c r="B15" s="3" t="e" cm="1">
        <f t="array" aca="1" ref="B15" ca="1">_xll.DBR($B$10,$A15,"value")</f>
        <v>#NAME?</v>
      </c>
      <c r="C15" s="3"/>
    </row>
    <row r="16" spans="1:3" ht="14.45" hidden="1" customHeight="1" outlineLevel="1" x14ac:dyDescent="0.25">
      <c r="A16" s="1" t="s">
        <v>14</v>
      </c>
      <c r="B16" s="3" t="e" cm="1">
        <f t="array" aca="1" ref="B16" ca="1">_xll.DBR($B$10,$A16,"value")</f>
        <v>#NAME?</v>
      </c>
      <c r="C16" s="3"/>
    </row>
    <row r="17" spans="1:7" ht="14.45" hidden="1" customHeight="1" outlineLevel="1" x14ac:dyDescent="0.25">
      <c r="A17" s="1"/>
      <c r="B17" s="3"/>
      <c r="C17" s="3"/>
    </row>
    <row r="18" spans="1:7" ht="14.45" hidden="1" customHeight="1" outlineLevel="1" x14ac:dyDescent="0.25">
      <c r="A18" s="30" t="s">
        <v>15</v>
      </c>
      <c r="B18" s="31"/>
      <c r="C18" s="32"/>
    </row>
    <row r="19" spans="1:7" ht="14.45" hidden="1" customHeight="1" outlineLevel="1" x14ac:dyDescent="0.25">
      <c r="A19" s="1" t="s">
        <v>16</v>
      </c>
      <c r="B19" s="3" t="e" cm="1">
        <f t="array" aca="1" ref="B19" ca="1">_xll.DBR($B$10,$A19,"value")</f>
        <v>#NAME?</v>
      </c>
      <c r="C19" s="3"/>
    </row>
    <row r="20" spans="1:7" ht="14.45" hidden="1" customHeight="1" outlineLevel="1" x14ac:dyDescent="0.25">
      <c r="A20" s="1" t="s">
        <v>17</v>
      </c>
      <c r="B20" s="12" t="s">
        <v>18</v>
      </c>
      <c r="C20" s="3"/>
    </row>
    <row r="21" spans="1:7" ht="14.45" hidden="1" customHeight="1" outlineLevel="1" x14ac:dyDescent="0.25">
      <c r="A21" s="1" t="s">
        <v>19</v>
      </c>
      <c r="B21" s="3" t="e" cm="1">
        <f t="array" aca="1" ref="B21" ca="1">_xll.DBR($B$10,$A21,"value")</f>
        <v>#NAME?</v>
      </c>
      <c r="C21" s="3"/>
    </row>
    <row r="22" spans="1:7" ht="14.45" hidden="1" customHeight="1" outlineLevel="1" x14ac:dyDescent="0.25">
      <c r="A22" s="1" t="s">
        <v>20</v>
      </c>
      <c r="B22" s="3" t="e">
        <f ca="1">($B$20&amp;("/"&amp;($B$21&amp;"/")))</f>
        <v>#NAME?</v>
      </c>
      <c r="C22" s="3"/>
    </row>
    <row r="23" spans="1:7" ht="14.45" hidden="1" customHeight="1" outlineLevel="1" x14ac:dyDescent="0.25"/>
    <row r="24" spans="1:7" ht="14.45" hidden="1" customHeight="1" outlineLevel="1" x14ac:dyDescent="0.25">
      <c r="A24" s="33" t="s">
        <v>21</v>
      </c>
      <c r="B24" s="33"/>
      <c r="C24" s="33"/>
    </row>
    <row r="25" spans="1:7" ht="14.45" hidden="1" customHeight="1" outlineLevel="1" x14ac:dyDescent="0.25">
      <c r="A25" s="1" t="s">
        <v>22</v>
      </c>
      <c r="B25" s="3" t="e">
        <f ca="1">($B$19&amp;("\"&amp;($B$21&amp;("\"&amp;($B$11&amp;("\"&amp;($B$13&amp;"\")))))))</f>
        <v>#NAME?</v>
      </c>
      <c r="C25" s="3"/>
    </row>
    <row r="26" spans="1:7" ht="14.45" hidden="1" customHeight="1" outlineLevel="1" x14ac:dyDescent="0.25"/>
    <row r="27" spans="1:7" ht="14.45" hidden="1" customHeight="1" outlineLevel="1" x14ac:dyDescent="0.25">
      <c r="A27" s="30" t="s">
        <v>23</v>
      </c>
      <c r="B27" s="31"/>
      <c r="C27" s="32"/>
    </row>
    <row r="28" spans="1:7" ht="14.45" hidden="1" customHeight="1" outlineLevel="1" x14ac:dyDescent="0.25">
      <c r="A28" s="3" t="s">
        <v>24</v>
      </c>
      <c r="B28" s="3" t="e" cm="1">
        <f t="array" aca="1" ref="B28" ca="1">_xll.VIEW((db_name&amp;":sys_application"),"!","!")</f>
        <v>#NAME?</v>
      </c>
    </row>
    <row r="29" spans="1:7" ht="14.45" hidden="1" customHeight="1" outlineLevel="1" x14ac:dyDescent="0.25">
      <c r="A29" s="3" t="s">
        <v>25</v>
      </c>
      <c r="B29" s="3" t="s">
        <v>26</v>
      </c>
    </row>
    <row r="30" spans="1:7" ht="14.45" hidden="1" customHeight="1" outlineLevel="1" x14ac:dyDescent="0.25">
      <c r="A30" s="13" t="s">
        <v>27</v>
      </c>
      <c r="B30" s="14" t="s">
        <v>28</v>
      </c>
      <c r="C30" s="14" t="s">
        <v>29</v>
      </c>
      <c r="D30" s="14" t="s">
        <v>30</v>
      </c>
      <c r="E30" s="14" t="s">
        <v>31</v>
      </c>
      <c r="F30" s="14" t="s">
        <v>32</v>
      </c>
      <c r="G30" s="14" t="s">
        <v>33</v>
      </c>
    </row>
    <row r="31" spans="1:7" ht="14.45" hidden="1" customHeight="1" outlineLevel="1" x14ac:dyDescent="0.25">
      <c r="A31" s="3" t="s">
        <v>34</v>
      </c>
      <c r="B31" s="3" t="e" cm="1">
        <f t="array" aca="1" ref="B31" ca="1">_xll.DBR($B$28,$A31,B$30)</f>
        <v>#NAME?</v>
      </c>
      <c r="C31" s="3" t="e" cm="1">
        <f t="array" aca="1" ref="C31" ca="1">_xll.DBR($B$28,$A31,C$30)</f>
        <v>#NAME?</v>
      </c>
      <c r="D31" s="3" t="e" cm="1">
        <f t="array" aca="1" ref="D31" ca="1">_xll.DBR($B$28,$A31,D$30)</f>
        <v>#NAME?</v>
      </c>
      <c r="E31" s="3" t="e" cm="1">
        <f t="array" aca="1" ref="E31" ca="1">_xll.DBR($B$28,$A31,E$30)</f>
        <v>#NAME?</v>
      </c>
      <c r="F31" s="3" t="e" cm="1">
        <f t="array" aca="1" ref="F31" ca="1">_xll.DBR($B$28,$A31,F$30)</f>
        <v>#NAME?</v>
      </c>
      <c r="G31" s="3" t="e" cm="1">
        <f t="array" aca="1" ref="G31" ca="1">_xll.DBR($B$28,$A31,G$30)</f>
        <v>#NAME?</v>
      </c>
    </row>
    <row r="32" spans="1:7" ht="14.45" hidden="1" customHeight="1" outlineLevel="1" x14ac:dyDescent="0.25">
      <c r="A32" s="3" t="s">
        <v>35</v>
      </c>
      <c r="B32" s="3" t="e" cm="1">
        <f t="array" aca="1" ref="B32" ca="1">_xll.DBR($B$28,$A32,B$30)</f>
        <v>#NAME?</v>
      </c>
      <c r="C32" s="3" t="e" cm="1">
        <f t="array" aca="1" ref="C32" ca="1">_xll.DBR($B$28,$A32,C$30)</f>
        <v>#NAME?</v>
      </c>
      <c r="D32" s="3" t="e" cm="1">
        <f t="array" aca="1" ref="D32" ca="1">_xll.DBR($B$28,$A32,D$30)</f>
        <v>#NAME?</v>
      </c>
      <c r="E32" s="3" t="e" cm="1">
        <f t="array" aca="1" ref="E32" ca="1">_xll.DBR($B$28,$A32,E$30)</f>
        <v>#NAME?</v>
      </c>
      <c r="F32" s="3" t="e" cm="1">
        <f t="array" aca="1" ref="F32" ca="1">_xll.DBR($B$28,$A32,F$30)</f>
        <v>#NAME?</v>
      </c>
      <c r="G32" s="3" t="e" cm="1">
        <f t="array" aca="1" ref="G32" ca="1">_xll.DBR($B$28,$A32,G$30)</f>
        <v>#NAME?</v>
      </c>
    </row>
    <row r="33" spans="1:7" ht="14.45" hidden="1" customHeight="1" outlineLevel="1" x14ac:dyDescent="0.25">
      <c r="A33" s="3" t="s">
        <v>36</v>
      </c>
      <c r="B33" s="3" t="e" cm="1">
        <f t="array" aca="1" ref="B33" ca="1">_xll.DBR($B$28,$A33,B$30)</f>
        <v>#NAME?</v>
      </c>
      <c r="C33" s="3" t="e" cm="1">
        <f t="array" aca="1" ref="C33" ca="1">_xll.DBR($B$28,$A33,C$30)</f>
        <v>#NAME?</v>
      </c>
      <c r="D33" s="3" t="e" cm="1">
        <f t="array" aca="1" ref="D33" ca="1">_xll.DBR($B$28,$A33,D$30)</f>
        <v>#NAME?</v>
      </c>
      <c r="E33" s="3" t="e" cm="1">
        <f t="array" aca="1" ref="E33" ca="1">_xll.DBR($B$28,$A33,E$30)</f>
        <v>#NAME?</v>
      </c>
      <c r="F33" s="3" t="e" cm="1">
        <f t="array" aca="1" ref="F33" ca="1">_xll.DBR($B$28,$A33,F$30)</f>
        <v>#NAME?</v>
      </c>
      <c r="G33" s="3" t="e" cm="1">
        <f t="array" aca="1" ref="G33" ca="1">_xll.DBR($B$28,$A33,G$30)</f>
        <v>#NAME?</v>
      </c>
    </row>
    <row r="34" spans="1:7" ht="14.45" hidden="1" customHeight="1" outlineLevel="1" x14ac:dyDescent="0.25">
      <c r="A34" s="3" t="s">
        <v>37</v>
      </c>
      <c r="B34" s="3" t="e" cm="1">
        <f t="array" aca="1" ref="B34" ca="1">_xll.DBR($B$28,$A34,B$30)</f>
        <v>#NAME?</v>
      </c>
      <c r="C34" s="3" t="e" cm="1">
        <f t="array" aca="1" ref="C34" ca="1">_xll.DBR($B$28,$A34,C$30)</f>
        <v>#NAME?</v>
      </c>
      <c r="D34" s="3" t="e" cm="1">
        <f t="array" aca="1" ref="D34" ca="1">_xll.DBR($B$28,$A34,D$30)</f>
        <v>#NAME?</v>
      </c>
      <c r="E34" s="3" t="e" cm="1">
        <f t="array" aca="1" ref="E34" ca="1">_xll.DBR($B$28,$A34,E$30)</f>
        <v>#NAME?</v>
      </c>
      <c r="F34" s="3" t="e" cm="1">
        <f t="array" aca="1" ref="F34" ca="1">_xll.DBR($B$28,$A34,F$30)</f>
        <v>#NAME?</v>
      </c>
      <c r="G34" s="3" t="e" cm="1">
        <f t="array" aca="1" ref="G34" ca="1">_xll.DBR($B$28,$A34,G$30)</f>
        <v>#NAME?</v>
      </c>
    </row>
    <row r="35" spans="1:7" ht="14.45" hidden="1" customHeight="1" outlineLevel="1" x14ac:dyDescent="0.25">
      <c r="A35" s="3" t="s">
        <v>38</v>
      </c>
      <c r="B35" s="3" t="e" cm="1">
        <f t="array" aca="1" ref="B35" ca="1">_xll.DBR($B$28,$A35,B$30)</f>
        <v>#NAME?</v>
      </c>
      <c r="C35" s="3" t="e" cm="1">
        <f t="array" aca="1" ref="C35" ca="1">_xll.DBR($B$28,$A35,C$30)</f>
        <v>#NAME?</v>
      </c>
      <c r="D35" s="3" t="e" cm="1">
        <f t="array" aca="1" ref="D35" ca="1">_xll.DBR($B$28,$A35,D$30)</f>
        <v>#NAME?</v>
      </c>
      <c r="E35" s="3" t="e" cm="1">
        <f t="array" aca="1" ref="E35" ca="1">_xll.DBR($B$28,$A35,E$30)</f>
        <v>#NAME?</v>
      </c>
      <c r="F35" s="3" t="e" cm="1">
        <f t="array" aca="1" ref="F35" ca="1">_xll.DBR($B$28,$A35,F$30)</f>
        <v>#NAME?</v>
      </c>
      <c r="G35" s="3" t="e" cm="1">
        <f t="array" aca="1" ref="G35" ca="1">_xll.DBR($B$28,$A35,G$30)</f>
        <v>#NAME?</v>
      </c>
    </row>
    <row r="36" spans="1:7" ht="14.45" hidden="1" customHeight="1" outlineLevel="1" x14ac:dyDescent="0.25">
      <c r="A36" s="3" t="s">
        <v>84</v>
      </c>
      <c r="B36" s="3" t="e">
        <f ca="1">_xll.DBR($B$28,$A36,B$30)</f>
        <v>#NAME?</v>
      </c>
      <c r="C36" s="3" t="e">
        <f ca="1">_xll.DBR($B$28,$A36,C$30)</f>
        <v>#NAME?</v>
      </c>
      <c r="D36" s="3" t="e">
        <f ca="1">_xll.DBR($B$28,$A36,D$30)</f>
        <v>#NAME?</v>
      </c>
      <c r="E36" s="3" t="e">
        <f ca="1">_xll.DBR($B$28,$A36,E$30)</f>
        <v>#NAME?</v>
      </c>
      <c r="F36" s="3" t="e">
        <f ca="1">_xll.DBR($B$28,$A36,F$30)</f>
        <v>#NAME?</v>
      </c>
      <c r="G36" s="3" t="e">
        <f ca="1">_xll.DBR($B$28,$A36,G$30)</f>
        <v>#NAME?</v>
      </c>
    </row>
    <row r="37" spans="1:7" ht="14.45" hidden="1" customHeight="1" outlineLevel="1" x14ac:dyDescent="0.25"/>
    <row r="38" spans="1:7" ht="14.45" hidden="1" customHeight="1" outlineLevel="1" x14ac:dyDescent="0.25"/>
    <row r="39" spans="1:7" ht="14.45" hidden="1" customHeight="1" outlineLevel="1" x14ac:dyDescent="0.25"/>
    <row r="40" spans="1:7" ht="14.45" hidden="1" customHeight="1" outlineLevel="1" x14ac:dyDescent="0.25"/>
    <row r="41" spans="1:7" ht="14.45" hidden="1" customHeight="1" outlineLevel="1" x14ac:dyDescent="0.25">
      <c r="A41" s="30" t="s">
        <v>39</v>
      </c>
      <c r="B41" s="31"/>
      <c r="C41" s="32"/>
    </row>
    <row r="42" spans="1:7" ht="14.45" hidden="1" customHeight="1" outlineLevel="1" x14ac:dyDescent="0.25">
      <c r="A42" s="1" t="s">
        <v>8</v>
      </c>
      <c r="B42" s="3" t="e" cm="1">
        <f t="array" aca="1" ref="B42" ca="1">_xll.VIEW((db_name&amp;":sys_client preference"),"!","!","!")</f>
        <v>#NAME?</v>
      </c>
      <c r="C42" s="3"/>
    </row>
    <row r="43" spans="1:7" ht="14.45" hidden="1" customHeight="1" outlineLevel="1" x14ac:dyDescent="0.25">
      <c r="A43" s="1"/>
      <c r="B43" s="4" t="s">
        <v>40</v>
      </c>
      <c r="C43" s="4" t="s">
        <v>41</v>
      </c>
    </row>
    <row r="44" spans="1:7" ht="14.45" hidden="1" customHeight="1" outlineLevel="1" x14ac:dyDescent="0.25">
      <c r="A44" s="1" t="s">
        <v>42</v>
      </c>
      <c r="B44" s="3" t="e" cm="1">
        <f t="array" aca="1" ref="B44" ca="1">_xll.SUBNM((db_name&amp;":sys_client preference measure"),"","value")</f>
        <v>#NAME?</v>
      </c>
      <c r="C44" s="4"/>
    </row>
    <row r="45" spans="1:7" ht="14.45" hidden="1" customHeight="1" outlineLevel="1" x14ac:dyDescent="0.25">
      <c r="A45" s="1" t="s">
        <v>43</v>
      </c>
      <c r="B45" s="3" t="e" cm="1">
        <f t="array" aca="1" ref="B45" ca="1">_xll.DBR($B$42,psUser,$A45,B$43)</f>
        <v>#NAME?</v>
      </c>
      <c r="C45" s="3" t="e" cm="1">
        <f t="array" aca="1" ref="C45" ca="1">_xll.DBR($B$42,psUser,$A45,C$43)</f>
        <v>#NAME?</v>
      </c>
    </row>
    <row r="46" spans="1:7" ht="14.45" hidden="1" customHeight="1" outlineLevel="1" x14ac:dyDescent="0.25">
      <c r="A46" s="1" t="s">
        <v>44</v>
      </c>
      <c r="B46" s="3" t="e" cm="1">
        <f t="array" aca="1" ref="B46" ca="1">_xll.DBR($B$42,psUser,$A46,B$43)</f>
        <v>#NAME?</v>
      </c>
      <c r="C46" s="3" t="e" cm="1">
        <f t="array" aca="1" ref="C46" ca="1">_xll.DBR($B$42,psUser,$A46,C$43)</f>
        <v>#NAME?</v>
      </c>
    </row>
    <row r="47" spans="1:7" ht="14.45" hidden="1" customHeight="1" outlineLevel="1" x14ac:dyDescent="0.25">
      <c r="A47" s="1" t="s">
        <v>45</v>
      </c>
      <c r="B47" s="3" t="e" cm="1">
        <f t="array" aca="1" ref="B47" ca="1">_xll.DBR($B$42,psUser,$A47,B$43)</f>
        <v>#NAME?</v>
      </c>
      <c r="C47" s="3" t="e" cm="1">
        <f t="array" aca="1" ref="C47" ca="1">_xll.DBR($B$42,psUser,$A47,C$43)</f>
        <v>#NAME?</v>
      </c>
    </row>
    <row r="48" spans="1:7" ht="14.45" hidden="1" customHeight="1" outlineLevel="1" x14ac:dyDescent="0.25">
      <c r="A48" s="1" t="s">
        <v>46</v>
      </c>
      <c r="B48" s="3" t="e" cm="1">
        <f t="array" aca="1" ref="B48" ca="1">_xll.DBR($B$42,psUser,$A48,B$43)</f>
        <v>#NAME?</v>
      </c>
      <c r="C48" s="3" t="e" cm="1">
        <f t="array" aca="1" ref="C48" ca="1">_xll.DBR($B$42,psUser,$A48,C$43)</f>
        <v>#NAME?</v>
      </c>
    </row>
    <row r="49" spans="1:3" ht="14.45" hidden="1" customHeight="1" outlineLevel="1" x14ac:dyDescent="0.25"/>
    <row r="50" spans="1:3" ht="14.45" hidden="1" customHeight="1" outlineLevel="1" x14ac:dyDescent="0.25">
      <c r="A50" s="34" t="s">
        <v>47</v>
      </c>
      <c r="B50" s="34"/>
      <c r="C50" s="34"/>
    </row>
    <row r="51" spans="1:3" ht="14.45" hidden="1" customHeight="1" outlineLevel="1" x14ac:dyDescent="0.25">
      <c r="A51" s="3" t="s">
        <v>48</v>
      </c>
      <c r="B51" s="3" t="s">
        <v>49</v>
      </c>
      <c r="C51" s="3"/>
    </row>
    <row r="52" spans="1:3" ht="14.45" hidden="1" customHeight="1" outlineLevel="1" x14ac:dyDescent="0.25">
      <c r="A52" s="3" t="s">
        <v>50</v>
      </c>
      <c r="B52" s="3" t="s">
        <v>51</v>
      </c>
      <c r="C52" s="3"/>
    </row>
    <row r="53" spans="1:3" ht="14.45" hidden="1" customHeight="1" outlineLevel="1" x14ac:dyDescent="0.25">
      <c r="A53" s="3" t="s">
        <v>52</v>
      </c>
      <c r="B53" s="3" t="s">
        <v>53</v>
      </c>
      <c r="C53" s="3"/>
    </row>
    <row r="54" spans="1:3" ht="14.45" hidden="1" customHeight="1" outlineLevel="1" x14ac:dyDescent="0.25">
      <c r="A54" s="3" t="s">
        <v>54</v>
      </c>
      <c r="B54" s="3" t="s">
        <v>80</v>
      </c>
      <c r="C54" s="3"/>
    </row>
    <row r="55" spans="1:3" ht="14.45" hidden="1" customHeight="1" outlineLevel="1" x14ac:dyDescent="0.25">
      <c r="B55" s="3" t="s">
        <v>81</v>
      </c>
      <c r="C55" s="3"/>
    </row>
    <row r="56" spans="1:3" ht="14.45" hidden="1" customHeight="1" outlineLevel="1" x14ac:dyDescent="0.25">
      <c r="B56" s="3" t="s">
        <v>79</v>
      </c>
    </row>
    <row r="57" spans="1:3" ht="14.45" hidden="1" customHeight="1" outlineLevel="1" x14ac:dyDescent="0.25"/>
    <row r="58" spans="1:3" ht="14.45" hidden="1" customHeight="1" outlineLevel="1" x14ac:dyDescent="0.25"/>
    <row r="59" spans="1:3" ht="14.45" hidden="1" customHeight="1" outlineLevel="1" x14ac:dyDescent="0.25"/>
    <row r="60" spans="1:3" ht="14.45" hidden="1" customHeight="1" outlineLevel="1" x14ac:dyDescent="0.25"/>
    <row r="61" spans="1:3" ht="14.45" hidden="1" customHeight="1" outlineLevel="1" x14ac:dyDescent="0.25"/>
    <row r="62" spans="1:3" ht="14.45" hidden="1" customHeight="1" outlineLevel="1" x14ac:dyDescent="0.25"/>
    <row r="63" spans="1:3" ht="14.45" hidden="1" customHeight="1" outlineLevel="1" x14ac:dyDescent="0.25"/>
    <row r="64" spans="1:3" ht="14.45" hidden="1" customHeight="1" outlineLevel="1" x14ac:dyDescent="0.25"/>
    <row r="65" spans="9:15" ht="39.75" customHeight="1" collapsed="1" x14ac:dyDescent="0.25">
      <c r="I65" s="5"/>
      <c r="J65" s="5"/>
      <c r="K65" s="5"/>
      <c r="L65" s="5"/>
      <c r="M65" s="5"/>
      <c r="N65" s="5"/>
      <c r="O65" s="5" t="s">
        <v>55</v>
      </c>
    </row>
    <row r="66" spans="9:15" ht="4.5" customHeight="1" x14ac:dyDescent="0.25"/>
    <row r="67" spans="9:15" ht="24" customHeight="1" x14ac:dyDescent="0.25"/>
    <row r="68" spans="9:15" ht="1.5" customHeight="1" x14ac:dyDescent="0.25">
      <c r="I68" s="5"/>
      <c r="J68" s="5"/>
      <c r="K68" s="5"/>
      <c r="L68" s="5"/>
      <c r="M68" s="5"/>
      <c r="N68" s="5"/>
      <c r="O68" s="5"/>
    </row>
    <row r="69" spans="9:15" ht="5.25" customHeight="1" x14ac:dyDescent="0.25"/>
    <row r="70" spans="9:15" ht="30" customHeight="1" x14ac:dyDescent="0.25">
      <c r="K70" s="15" t="s">
        <v>56</v>
      </c>
      <c r="M70" s="16" t="e">
        <f ca="1">$B$15</f>
        <v>#NAME?</v>
      </c>
    </row>
    <row r="71" spans="9:15" ht="5.0999999999999996" customHeight="1" x14ac:dyDescent="0.25"/>
    <row r="72" spans="9:15" ht="14.45" customHeight="1" x14ac:dyDescent="0.25">
      <c r="K72" s="17" t="s">
        <v>57</v>
      </c>
      <c r="M72" s="18" t="s">
        <v>58</v>
      </c>
      <c r="O72" s="19" t="s">
        <v>59</v>
      </c>
    </row>
    <row r="73" spans="9:15" ht="4.5" customHeight="1" x14ac:dyDescent="0.25">
      <c r="K73" s="7"/>
      <c r="M73" s="8"/>
    </row>
    <row r="74" spans="9:15" ht="14.45" customHeight="1" x14ac:dyDescent="0.25">
      <c r="K74" s="17" t="s">
        <v>82</v>
      </c>
      <c r="M74" s="18" t="s">
        <v>80</v>
      </c>
      <c r="O74" s="19"/>
    </row>
    <row r="75" spans="9:15" ht="4.5" customHeight="1" x14ac:dyDescent="0.25">
      <c r="K75" s="7"/>
      <c r="M75" s="8"/>
    </row>
    <row r="76" spans="9:15" ht="14.45" customHeight="1" x14ac:dyDescent="0.25">
      <c r="K76" s="17" t="s">
        <v>60</v>
      </c>
      <c r="M76" s="18" t="s">
        <v>83</v>
      </c>
      <c r="O76" s="19" t="s">
        <v>61</v>
      </c>
    </row>
    <row r="77" spans="9:15" ht="5.0999999999999996" customHeight="1" x14ac:dyDescent="0.25"/>
    <row r="78" spans="9:15" ht="14.45" customHeight="1" x14ac:dyDescent="0.25">
      <c r="K78" s="7" t="s">
        <v>62</v>
      </c>
      <c r="M78" s="20" t="e">
        <f ca="1">$B$48</f>
        <v>#NAME?</v>
      </c>
      <c r="O78" s="21" t="s">
        <v>63</v>
      </c>
    </row>
    <row r="79" spans="9:15" ht="4.5" customHeight="1" x14ac:dyDescent="0.25"/>
    <row r="80" spans="9:15" ht="14.45" customHeight="1" x14ac:dyDescent="0.25">
      <c r="K80" s="22" t="s">
        <v>64</v>
      </c>
      <c r="M80" s="23" t="s">
        <v>65</v>
      </c>
    </row>
    <row r="81" spans="1:15" ht="5.0999999999999996" customHeight="1" x14ac:dyDescent="0.25"/>
    <row r="82" spans="1:15" ht="14.45" customHeight="1" x14ac:dyDescent="0.25">
      <c r="K82" s="7" t="s">
        <v>66</v>
      </c>
      <c r="M82" s="24" t="s">
        <v>67</v>
      </c>
    </row>
    <row r="83" spans="1:15" ht="14.45" customHeight="1" x14ac:dyDescent="0.25">
      <c r="M83" s="25" t="str">
        <f>"- General Format in excel"</f>
        <v>- General Format in excel</v>
      </c>
    </row>
    <row r="84" spans="1:15" ht="14.45" customHeight="1" x14ac:dyDescent="0.25">
      <c r="M84" s="25" t="str">
        <f>"- No commas (,) to seperate thousands"</f>
        <v>- No commas (,) to seperate thousands</v>
      </c>
    </row>
    <row r="85" spans="1:15" ht="14.45" customHeight="1" x14ac:dyDescent="0.25">
      <c r="M85" s="25" t="str">
        <f>"- Zeroes are set as 0 not dashes (-)"</f>
        <v>- Zeroes are set as 0 not dashes (-)</v>
      </c>
    </row>
    <row r="86" spans="1:15" ht="14.45" customHeight="1" x14ac:dyDescent="0.25">
      <c r="M86" s="26" t="s">
        <v>68</v>
      </c>
    </row>
    <row r="87" spans="1:15" ht="4.5" customHeight="1" x14ac:dyDescent="0.25"/>
    <row r="88" spans="1:15" ht="30" customHeight="1" x14ac:dyDescent="0.25">
      <c r="A88" t="s">
        <v>69</v>
      </c>
      <c r="K88" s="27" t="s">
        <v>70</v>
      </c>
      <c r="M88" s="28" t="e">
        <f ca="1">$B$25</f>
        <v>#NAME?</v>
      </c>
    </row>
    <row r="89" spans="1:15" ht="4.5" customHeight="1" x14ac:dyDescent="0.25">
      <c r="M89" s="6"/>
    </row>
    <row r="90" spans="1:15" ht="28.9" customHeight="1" x14ac:dyDescent="0.25">
      <c r="K90" s="27" t="s">
        <v>71</v>
      </c>
      <c r="L90" s="9"/>
      <c r="M90" s="28" t="e">
        <f ca="1">$B$16</f>
        <v>#NAME?</v>
      </c>
      <c r="O90" s="29" t="s">
        <v>72</v>
      </c>
    </row>
    <row r="91" spans="1:15" ht="14.45" customHeight="1" x14ac:dyDescent="0.25">
      <c r="M91" s="6"/>
    </row>
  </sheetData>
  <sheetProtection sheet="1" objects="1" scenarios="1"/>
  <mergeCells count="7">
    <mergeCell ref="A18:C18"/>
    <mergeCell ref="A24:C24"/>
    <mergeCell ref="A50:C50"/>
    <mergeCell ref="A1:C1"/>
    <mergeCell ref="A9:C9"/>
    <mergeCell ref="A27:C27"/>
    <mergeCell ref="A41:C41"/>
  </mergeCells>
  <conditionalFormatting sqref="M70">
    <cfRule type="containsText" dxfId="2" priority="2" operator="containsText" text="approve">
      <formula>NOT(ISERROR(SEARCH("approve",M70)))</formula>
    </cfRule>
    <cfRule type="beginsWith" dxfId="1" priority="3" operator="beginsWith" text="un">
      <formula>LEFT(M70,LEN("un"))="un"</formula>
    </cfRule>
  </conditionalFormatting>
  <conditionalFormatting sqref="M78">
    <cfRule type="notContainsText" dxfId="0" priority="1" operator="notContains" text="PASS">
      <formula>ISERROR(SEARCH("PASS",M78))</formula>
    </cfRule>
  </conditionalFormatting>
  <dataValidations count="2">
    <dataValidation type="list" allowBlank="1" showInputMessage="1" showErrorMessage="1" sqref="M76" xr:uid="{00000000-0002-0000-0000-000000000000}">
      <formula1>"Natural Sign,All DR Sign"</formula1>
    </dataValidation>
    <dataValidation type="list" allowBlank="1" showInputMessage="1" showErrorMessage="1" sqref="M74" xr:uid="{00000000-0002-0000-0000-000001000000}">
      <formula1>FFType</formula1>
    </dataValidation>
  </dataValidations>
  <hyperlinks>
    <hyperlink ref="B20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83" orientation="landscape" r:id="rId2"/>
  <drawing r:id="rId3"/>
  <legacyDrawing r:id="rId4"/>
  <controls>
    <mc:AlternateContent xmlns:mc="http://schemas.openxmlformats.org/markup-compatibility/2006">
      <mc:Choice Requires="x14">
        <control shapeId="1043" r:id="rId5" name="TIButton7">
          <controlPr defaultSize="0" print="0" autoLine="0" r:id="rId6">
            <anchor moveWithCells="1" sizeWithCells="1">
              <from>
                <xdr:col>12</xdr:col>
                <xdr:colOff>381000</xdr:colOff>
                <xdr:row>66</xdr:row>
                <xdr:rowOff>0</xdr:rowOff>
              </from>
              <to>
                <xdr:col>12</xdr:col>
                <xdr:colOff>1838325</xdr:colOff>
                <xdr:row>66</xdr:row>
                <xdr:rowOff>247650</xdr:rowOff>
              </to>
            </anchor>
          </controlPr>
        </control>
      </mc:Choice>
      <mc:Fallback>
        <control shapeId="1043" r:id="rId5" name="TIButton7"/>
      </mc:Fallback>
    </mc:AlternateContent>
    <mc:AlternateContent xmlns:mc="http://schemas.openxmlformats.org/markup-compatibility/2006">
      <mc:Choice Requires="x14">
        <control shapeId="1042" r:id="rId7" name="TIButton5">
          <controlPr defaultSize="0" print="0" autoLine="0" autoPict="0" r:id="rId8">
            <anchor moveWithCells="1" sizeWithCells="1">
              <from>
                <xdr:col>14</xdr:col>
                <xdr:colOff>4524375</xdr:colOff>
                <xdr:row>65</xdr:row>
                <xdr:rowOff>28575</xdr:rowOff>
              </from>
              <to>
                <xdr:col>15</xdr:col>
                <xdr:colOff>0</xdr:colOff>
                <xdr:row>66</xdr:row>
                <xdr:rowOff>285750</xdr:rowOff>
              </to>
            </anchor>
          </controlPr>
        </control>
      </mc:Choice>
      <mc:Fallback>
        <control shapeId="1042" r:id="rId7" name="TIButton5"/>
      </mc:Fallback>
    </mc:AlternateContent>
    <mc:AlternateContent xmlns:mc="http://schemas.openxmlformats.org/markup-compatibility/2006">
      <mc:Choice Requires="x14">
        <control shapeId="1039" r:id="rId9" name="TIButton6">
          <controlPr defaultSize="0" print="0" autoLine="0" r:id="rId10">
            <anchor moveWithCells="1" sizeWithCells="1">
              <from>
                <xdr:col>12</xdr:col>
                <xdr:colOff>3343275</xdr:colOff>
                <xdr:row>66</xdr:row>
                <xdr:rowOff>0</xdr:rowOff>
              </from>
              <to>
                <xdr:col>12</xdr:col>
                <xdr:colOff>4238625</xdr:colOff>
                <xdr:row>66</xdr:row>
                <xdr:rowOff>247650</xdr:rowOff>
              </to>
            </anchor>
          </controlPr>
        </control>
      </mc:Choice>
      <mc:Fallback>
        <control shapeId="1039" r:id="rId9" name="TIButton6"/>
      </mc:Fallback>
    </mc:AlternateContent>
    <mc:AlternateContent xmlns:mc="http://schemas.openxmlformats.org/markup-compatibility/2006">
      <mc:Choice Requires="x14">
        <control shapeId="1037" r:id="rId11" name="TIButton4">
          <controlPr defaultSize="0" print="0" autoLine="0" r:id="rId12">
            <anchor moveWithCells="1" sizeWithCells="1">
              <from>
                <xdr:col>10</xdr:col>
                <xdr:colOff>1257300</xdr:colOff>
                <xdr:row>66</xdr:row>
                <xdr:rowOff>0</xdr:rowOff>
              </from>
              <to>
                <xdr:col>12</xdr:col>
                <xdr:colOff>342900</xdr:colOff>
                <xdr:row>66</xdr:row>
                <xdr:rowOff>247650</xdr:rowOff>
              </to>
            </anchor>
          </controlPr>
        </control>
      </mc:Choice>
      <mc:Fallback>
        <control shapeId="1037" r:id="rId11" name="TIButton4"/>
      </mc:Fallback>
    </mc:AlternateContent>
    <mc:AlternateContent xmlns:mc="http://schemas.openxmlformats.org/markup-compatibility/2006">
      <mc:Choice Requires="x14">
        <control shapeId="1036" r:id="rId13" name="TIButton2">
          <controlPr defaultSize="0" print="0" autoLine="0" r:id="rId14">
            <anchor moveWithCells="1" sizeWithCells="1">
              <from>
                <xdr:col>10</xdr:col>
                <xdr:colOff>104775</xdr:colOff>
                <xdr:row>66</xdr:row>
                <xdr:rowOff>0</xdr:rowOff>
              </from>
              <to>
                <xdr:col>10</xdr:col>
                <xdr:colOff>1228725</xdr:colOff>
                <xdr:row>66</xdr:row>
                <xdr:rowOff>247650</xdr:rowOff>
              </to>
            </anchor>
          </controlPr>
        </control>
      </mc:Choice>
      <mc:Fallback>
        <control shapeId="1036" r:id="rId13" name="TIButton2"/>
      </mc:Fallback>
    </mc:AlternateContent>
    <mc:AlternateContent xmlns:mc="http://schemas.openxmlformats.org/markup-compatibility/2006">
      <mc:Choice Requires="x14">
        <control shapeId="1035" r:id="rId15" name="TIButton3">
          <controlPr defaultSize="0" print="0" autoLine="0" r:id="rId16">
            <anchor moveWithCells="1" sizeWithCells="1">
              <from>
                <xdr:col>9</xdr:col>
                <xdr:colOff>38100</xdr:colOff>
                <xdr:row>66</xdr:row>
                <xdr:rowOff>0</xdr:rowOff>
              </from>
              <to>
                <xdr:col>10</xdr:col>
                <xdr:colOff>66675</xdr:colOff>
                <xdr:row>66</xdr:row>
                <xdr:rowOff>247650</xdr:rowOff>
              </to>
            </anchor>
          </controlPr>
        </control>
      </mc:Choice>
      <mc:Fallback>
        <control shapeId="1035" r:id="rId15" name="TIButton3"/>
      </mc:Fallback>
    </mc:AlternateContent>
    <mc:AlternateContent xmlns:mc="http://schemas.openxmlformats.org/markup-compatibility/2006">
      <mc:Choice Requires="x14">
        <control shapeId="1031" r:id="rId17" name="TIButton1">
          <controlPr defaultSize="0" print="0" autoLine="0" r:id="rId18">
            <anchor moveWithCells="1" sizeWithCells="1">
              <from>
                <xdr:col>12</xdr:col>
                <xdr:colOff>4286250</xdr:colOff>
                <xdr:row>66</xdr:row>
                <xdr:rowOff>0</xdr:rowOff>
              </from>
              <to>
                <xdr:col>12</xdr:col>
                <xdr:colOff>5067300</xdr:colOff>
                <xdr:row>66</xdr:row>
                <xdr:rowOff>247650</xdr:rowOff>
              </to>
            </anchor>
          </controlPr>
        </control>
      </mc:Choice>
      <mc:Fallback>
        <control shapeId="1031" r:id="rId17" name="TIButton1"/>
      </mc:Fallback>
    </mc:AlternateContent>
    <mc:AlternateContent xmlns:mc="http://schemas.openxmlformats.org/markup-compatibility/2006">
      <mc:Choice Requires="x14">
        <control shapeId="1044" r:id="rId19" name="TIButton8">
          <controlPr defaultSize="0" print="0" autoLine="0" r:id="rId20">
            <anchor moveWithCells="1" sizeWithCells="1">
              <from>
                <xdr:col>12</xdr:col>
                <xdr:colOff>1866900</xdr:colOff>
                <xdr:row>66</xdr:row>
                <xdr:rowOff>0</xdr:rowOff>
              </from>
              <to>
                <xdr:col>12</xdr:col>
                <xdr:colOff>3324225</xdr:colOff>
                <xdr:row>66</xdr:row>
                <xdr:rowOff>247650</xdr:rowOff>
              </to>
            </anchor>
          </controlPr>
        </control>
      </mc:Choice>
      <mc:Fallback>
        <control shapeId="1044" r:id="rId19" name="TIButton8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6"/>
  <sheetViews>
    <sheetView workbookViewId="0"/>
  </sheetViews>
  <sheetFormatPr defaultRowHeight="14.45" customHeight="1" x14ac:dyDescent="0.25"/>
  <sheetData>
    <row r="1" spans="1:1" ht="14.45" customHeight="1" x14ac:dyDescent="0.25">
      <c r="A1" t="s">
        <v>73</v>
      </c>
    </row>
    <row r="2" spans="1:1" ht="14.45" customHeight="1" x14ac:dyDescent="0.25">
      <c r="A2" t="s">
        <v>74</v>
      </c>
    </row>
    <row r="3" spans="1:1" ht="14.45" customHeight="1" x14ac:dyDescent="0.25">
      <c r="A3" t="s">
        <v>75</v>
      </c>
    </row>
    <row r="4" spans="1:1" ht="14.45" customHeight="1" x14ac:dyDescent="0.25">
      <c r="A4" t="s">
        <v>76</v>
      </c>
    </row>
    <row r="5" spans="1:1" ht="14.45" customHeight="1" x14ac:dyDescent="0.25">
      <c r="A5" t="s">
        <v>77</v>
      </c>
    </row>
    <row r="6" spans="1:1" ht="14.45" customHeight="1" x14ac:dyDescent="0.25">
      <c r="A6" t="s">
        <v>78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30</vt:i4>
      </vt:variant>
    </vt:vector>
  </HeadingPairs>
  <TitlesOfParts>
    <vt:vector size="32" baseType="lpstr">
      <vt:lpstr>upload</vt:lpstr>
      <vt:lpstr>{PL}PickLst</vt:lpstr>
      <vt:lpstr>db_name</vt:lpstr>
      <vt:lpstr>FFType</vt:lpstr>
      <vt:lpstr>psApp</vt:lpstr>
      <vt:lpstr>psFFType</vt:lpstr>
      <vt:lpstr>psFileName</vt:lpstr>
      <vt:lpstr>psHLYear</vt:lpstr>
      <vt:lpstr>psScenario</vt:lpstr>
      <vt:lpstr>psSign</vt:lpstr>
      <vt:lpstr>psUser</vt:lpstr>
      <vt:lpstr>TM1AdjIDListCAP</vt:lpstr>
      <vt:lpstr>TM1AdjIDListWB</vt:lpstr>
      <vt:lpstr>TM1AdjIDListWS</vt:lpstr>
      <vt:lpstr>TM1HomeAECAP</vt:lpstr>
      <vt:lpstr>TM1HomeAEDataEntryCAP</vt:lpstr>
      <vt:lpstr>TM1HomeAEDataEntryWB</vt:lpstr>
      <vt:lpstr>TM1HomeAEDataEntryWS</vt:lpstr>
      <vt:lpstr>TM1HomeAEWB</vt:lpstr>
      <vt:lpstr>TM1HomeAEWS</vt:lpstr>
      <vt:lpstr>TM1HomeCAP</vt:lpstr>
      <vt:lpstr>TM1HomeWB</vt:lpstr>
      <vt:lpstr>TM1HomeWS</vt:lpstr>
      <vt:lpstr>TM1UploadAB_Confirm</vt:lpstr>
      <vt:lpstr>TM1UploadAB_Fail</vt:lpstr>
      <vt:lpstr>TM1UploadAB_Success</vt:lpstr>
      <vt:lpstr>TM1UploadErrLogCAP</vt:lpstr>
      <vt:lpstr>TM1UploadErrLogWB</vt:lpstr>
      <vt:lpstr>TM1UploadErrLogWS</vt:lpstr>
      <vt:lpstr>TM1UploadTempCAP</vt:lpstr>
      <vt:lpstr>TM1UploadTempWB</vt:lpstr>
      <vt:lpstr>TM1UploadTempWS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khe</dc:creator>
  <cp:keywords/>
  <dc:description/>
  <cp:lastModifiedBy>Xin HE</cp:lastModifiedBy>
  <dcterms:created xsi:type="dcterms:W3CDTF">2023-03-21T23:13:30Z</dcterms:created>
  <dcterms:modified xsi:type="dcterms:W3CDTF">2025-08-05T04:38:32Z</dcterms:modified>
  <cp:category/>
  <cp:contentStatus/>
</cp:coreProperties>
</file>