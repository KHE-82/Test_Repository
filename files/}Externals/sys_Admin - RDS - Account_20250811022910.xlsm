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A5A1307-5833-4DC6-94F0-A1D44178B84C}" xr6:coauthVersionLast="47" xr6:coauthVersionMax="47" xr10:uidLastSave="{00000000-0000-0000-0000-000000000000}"/>
  <bookViews>
    <workbookView xWindow="2868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RDS!$L$61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RDS!$62:$62</definedName>
    <definedName name="TM1RPTFMTIDCOL" localSheetId="0">RDS!$A$1:$A$8</definedName>
    <definedName name="TM1RPTFMTRNG" localSheetId="0">RDS!$J$1:$AA$8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1" l="1"/>
  <c r="C41" i="1"/>
  <c r="J62" i="1"/>
  <c r="C28" i="1"/>
  <c r="L58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43" i="1"/>
  <c r="C40" i="1"/>
  <c r="C20" i="1"/>
  <c r="C25" i="1"/>
  <c r="C24" i="1"/>
  <c r="C23" i="1"/>
  <c r="C22" i="1"/>
  <c r="C21" i="1"/>
  <c r="C13" i="1"/>
  <c r="C14" i="1"/>
  <c r="C15" i="1"/>
  <c r="C17" i="1"/>
  <c r="C16" i="1"/>
  <c r="AA62" i="1"/>
  <c r="R62" i="1"/>
  <c r="Q62" i="1"/>
  <c r="P62" i="1"/>
  <c r="Z62" i="1"/>
  <c r="Y62" i="1"/>
  <c r="X62" i="1"/>
  <c r="W62" i="1"/>
  <c r="V62" i="1"/>
  <c r="U62" i="1"/>
  <c r="T62" i="1"/>
  <c r="S62" i="1"/>
  <c r="O62" i="1"/>
  <c r="N62" i="1"/>
  <c r="M62" i="1"/>
  <c r="L62" i="1"/>
  <c r="A62" i="1"/>
  <c r="A5" i="1"/>
  <c r="A4" i="1"/>
  <c r="A3" i="1"/>
  <c r="A2" i="1"/>
</calcChain>
</file>

<file path=xl/sharedStrings.xml><?xml version="1.0" encoding="utf-8"?>
<sst xmlns="http://schemas.openxmlformats.org/spreadsheetml/2006/main" count="86" uniqueCount="83">
  <si>
    <t>description</t>
  </si>
  <si>
    <t>code and description</t>
  </si>
  <si>
    <t>Account Type</t>
  </si>
  <si>
    <t>DR/CR</t>
  </si>
  <si>
    <t>related entity enabled</t>
  </si>
  <si>
    <t>assumed related entity</t>
  </si>
  <si>
    <t>movement account required</t>
  </si>
  <si>
    <t>jurisdiction required</t>
  </si>
  <si>
    <t>appropriation type required</t>
  </si>
  <si>
    <t>SPP Required</t>
  </si>
  <si>
    <t>control type restriction</t>
  </si>
  <si>
    <t>B/M</t>
  </si>
  <si>
    <t>apply parameter</t>
  </si>
  <si>
    <t>cash flow map</t>
  </si>
  <si>
    <t>flat file</t>
  </si>
  <si>
    <t>disabled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</si>
  <si>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</si>
  <si>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</si>
  <si>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</si>
  <si>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</si>
  <si>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</si>
  <si>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</si>
  <si>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</si>
  <si>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</si>
  <si>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</si>
  <si>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</si>
  <si>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</si>
  <si>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</si>
  <si>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</si>
  <si>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</si>
  <si>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</si>
  <si>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</si>
  <si>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</si>
  <si>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</si>
  <si>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</si>
  <si>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</si>
  <si>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{TM1SUBSETALL( [account] )}</t>
  </si>
  <si>
    <t>Dimension MDX To Use</t>
  </si>
  <si>
    <t>Account  :</t>
  </si>
  <si>
    <t>Filter :</t>
  </si>
  <si>
    <t>REPORT PARAMETERS</t>
  </si>
  <si>
    <t>All MDX</t>
  </si>
  <si>
    <t>Filter MDX</t>
  </si>
  <si>
    <t>Attribute Fields</t>
  </si>
  <si>
    <t>Assumed Related Entity</t>
  </si>
  <si>
    <t>Control Type Restriction</t>
  </si>
  <si>
    <t>Cash Flow Map</t>
  </si>
  <si>
    <t>Disabled</t>
  </si>
  <si>
    <t>Account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</si>
  <si>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</si>
  <si>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</si>
  <si>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</si>
  <si>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</si>
  <si>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</si>
  <si>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</si>
  <si>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</si>
  <si>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</si>
  <si>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</si>
  <si>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</si>
  <si>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</si>
  <si>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</si>
  <si>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</si>
  <si>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</si>
  <si>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</si>
  <si>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</si>
  <si>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Administration RDS - Account Attributes</t>
  </si>
  <si>
    <t>Description (ALIAS)</t>
  </si>
  <si>
    <t>Code and Description (ALIAS)</t>
  </si>
  <si>
    <t>}ElementAttributes_</t>
  </si>
  <si>
    <t>Admin RDS - Account</t>
  </si>
  <si>
    <t>Note : This screen is used to manage the Account attribute cube which is required for GEUS.</t>
  </si>
  <si>
    <t>No</t>
  </si>
  <si>
    <t xml:space="preserve">Apply Parameter : Leave BLANK to allow account to be used in calculating indexation. </t>
  </si>
  <si>
    <t>Related Entity Enabaled (Y)</t>
  </si>
  <si>
    <t>Flat File (N)</t>
  </si>
  <si>
    <t>Apply Parameter (N)</t>
  </si>
  <si>
    <t>Movement Account Required (Y)</t>
  </si>
  <si>
    <t>Jurisdiction Required (Y)</t>
  </si>
  <si>
    <t>Appropriation Type Required (Y)</t>
  </si>
  <si>
    <t>SPP Required (Y)</t>
  </si>
  <si>
    <t>Cash Flow Map : Should match the same cash flow mapped in the AE cash flow derivation weighting cube.</t>
  </si>
  <si>
    <t>Flat File : Leave BLANK to be generated during flat file creations.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</si>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</sst>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7" fillId="0" borderId="0" xfId="0" applyFont="1"/>
    <xf numFmtId="0" fontId="4" fillId="0" borderId="4" xfId="0" applyFont="1" applyBorder="1"/>
    <xf numFmtId="0" fontId="6" fillId="5" borderId="0" xfId="0" applyFont="1" applyFill="1" applyAlignment="1">
      <alignment horizontal="left" vertical="center"/>
    </xf>
    <xf numFmtId="164" fontId="5" fillId="6" borderId="4" xfId="0" applyNumberFormat="1" applyFont="1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indent="1"/>
      <protection locked="0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47</xdr:row>
      <xdr:rowOff>19050</xdr:rowOff>
    </xdr:from>
    <xdr:to>
      <xdr:col>10</xdr:col>
      <xdr:colOff>19050</xdr:colOff>
      <xdr:row>47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48</xdr:row>
      <xdr:rowOff>47625</xdr:rowOff>
    </xdr:from>
    <xdr:to>
      <xdr:col>9</xdr:col>
      <xdr:colOff>638175</xdr:colOff>
      <xdr:row>49</xdr:row>
      <xdr:rowOff>238125</xdr:rowOff>
    </xdr:to>
    <xdr:sp macro="Sheet1.ExecuteAction_33b9587f_549d_49f5_8210_5ec84fd285ee" textlink="TM1HomeCAP">
      <xdr:nvSpPr>
        <xdr:cNvPr id="3" name="TM1Button_33b9587f_549d_49f5_8210_5ec84fd285ee">
          <a:extLst>
            <a:ext uri="{FF2B5EF4-FFF2-40B4-BE49-F238E27FC236}">
              <a16:creationId xmlns:a16="http://schemas.microsoft.com/office/drawing/2014/main" id="{A7FFB61E-3805-60BF-6439-0FEE19DAC2D4}"/>
            </a:ext>
          </a:extLst>
        </xdr:cNvPr>
        <xdr:cNvSpPr txBox="1"/>
      </xdr:nvSpPr>
      <xdr:spPr>
        <a:xfrm>
          <a:off x="57150" y="5524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F0DAB1A-ECED-454E-8983-B48BECF3853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48</xdr:row>
      <xdr:rowOff>47625</xdr:rowOff>
    </xdr:from>
    <xdr:to>
      <xdr:col>10</xdr:col>
      <xdr:colOff>19050</xdr:colOff>
      <xdr:row>49</xdr:row>
      <xdr:rowOff>238125</xdr:rowOff>
    </xdr:to>
    <xdr:sp macro="Sheet1.ExecuteAction_56ee5ac3_367a_4b4e_8408_3f94907ce3b8" textlink="TM1HomeAdminCAP">
      <xdr:nvSpPr>
        <xdr:cNvPr id="4" name="TM1Button_56ee5ac3_367a_4b4e_8408_3f94907ce3b8">
          <a:extLst>
            <a:ext uri="{FF2B5EF4-FFF2-40B4-BE49-F238E27FC236}">
              <a16:creationId xmlns:a16="http://schemas.microsoft.com/office/drawing/2014/main" id="{5AE0F9DF-56FF-AD3E-9D11-1BD5C9E84BF9}"/>
            </a:ext>
          </a:extLst>
        </xdr:cNvPr>
        <xdr:cNvSpPr txBox="1"/>
      </xdr:nvSpPr>
      <xdr:spPr>
        <a:xfrm>
          <a:off x="733425" y="55245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2A72BCD-C59F-467C-85F3-34AF4A26F13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57150</xdr:colOff>
      <xdr:row>48</xdr:row>
      <xdr:rowOff>47625</xdr:rowOff>
    </xdr:from>
    <xdr:to>
      <xdr:col>11</xdr:col>
      <xdr:colOff>1552575</xdr:colOff>
      <xdr:row>49</xdr:row>
      <xdr:rowOff>238125</xdr:rowOff>
    </xdr:to>
    <xdr:sp macro="Sheet1.ExecuteAction_031b1f32_2085_49fb_9371_226794215e17" textlink="TM1HomeAdminRDSCAP">
      <xdr:nvSpPr>
        <xdr:cNvPr id="5" name="TM1Button_031b1f32_2085_49fb_9371_226794215e17">
          <a:extLst>
            <a:ext uri="{FF2B5EF4-FFF2-40B4-BE49-F238E27FC236}">
              <a16:creationId xmlns:a16="http://schemas.microsoft.com/office/drawing/2014/main" id="{3F8E7BC3-BA8C-0CCD-6CF7-4325A662B5F1}"/>
            </a:ext>
          </a:extLst>
        </xdr:cNvPr>
        <xdr:cNvSpPr txBox="1"/>
      </xdr:nvSpPr>
      <xdr:spPr>
        <a:xfrm>
          <a:off x="1952625" y="552450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9223E52-0DDF-4CC3-8EFF-FCAD99191EE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323850</xdr:colOff>
      <xdr:row>48</xdr:row>
      <xdr:rowOff>9525</xdr:rowOff>
    </xdr:from>
    <xdr:to>
      <xdr:col>15</xdr:col>
      <xdr:colOff>638175</xdr:colOff>
      <xdr:row>49</xdr:row>
      <xdr:rowOff>266700</xdr:rowOff>
    </xdr:to>
    <xdr:sp macro="Sheet1.ExecuteAction_a5bc1b03_d821_4e58_ae85_2fd92155b17f" textlink="">
      <xdr:nvSpPr>
        <xdr:cNvPr id="6" name="TM1Button_a5bc1b03_d821_4e58_ae85_2fd92155b17f">
          <a:extLst>
            <a:ext uri="{FF2B5EF4-FFF2-40B4-BE49-F238E27FC236}">
              <a16:creationId xmlns:a16="http://schemas.microsoft.com/office/drawing/2014/main" id="{856A23FA-1F8B-BB28-4ABE-EB2620D921D5}"/>
            </a:ext>
          </a:extLst>
        </xdr:cNvPr>
        <xdr:cNvSpPr txBox="1"/>
      </xdr:nvSpPr>
      <xdr:spPr>
        <a:xfrm>
          <a:off x="11677650" y="51435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1581150</xdr:colOff>
      <xdr:row>48</xdr:row>
      <xdr:rowOff>47625</xdr:rowOff>
    </xdr:from>
    <xdr:to>
      <xdr:col>11</xdr:col>
      <xdr:colOff>2362200</xdr:colOff>
      <xdr:row>49</xdr:row>
      <xdr:rowOff>238125</xdr:rowOff>
    </xdr:to>
    <xdr:sp macro="Sheet1.ExecuteAction_9cb7da22_c90b_4cb1_99b0_8286e263babf" textlink="">
      <xdr:nvSpPr>
        <xdr:cNvPr id="7" name="TM1Button_9cb7da22_c90b_4cb1_99b0_8286e263babf">
          <a:extLst>
            <a:ext uri="{FF2B5EF4-FFF2-40B4-BE49-F238E27FC236}">
              <a16:creationId xmlns:a16="http://schemas.microsoft.com/office/drawing/2014/main" id="{F5216632-180F-EC15-60FD-E6A6F970044B}"/>
            </a:ext>
          </a:extLst>
        </xdr:cNvPr>
        <xdr:cNvSpPr txBox="1"/>
      </xdr:nvSpPr>
      <xdr:spPr>
        <a:xfrm>
          <a:off x="3476625" y="5524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AA62"/>
  <sheetViews>
    <sheetView showGridLines="0" showRowColHeaders="0" tabSelected="1" showOutlineSymbols="0" topLeftCell="A48" workbookViewId="0">
      <pane xSplit="13" ySplit="14" topLeftCell="N62" activePane="bottomRight" state="frozen"/>
      <selection activeCell="I48" sqref="I48"/>
      <selection pane="topRight" activeCell="N48" sqref="N48"/>
      <selection pane="bottomLeft" activeCell="I62" sqref="I62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.7109375" customWidth="1"/>
    <col min="11" max="11" width="0.85546875" customWidth="1"/>
    <col min="12" max="12" width="60.7109375" customWidth="1"/>
    <col min="13" max="13" width="58.7109375" bestFit="1" customWidth="1"/>
    <col min="14" max="14" width="15.7109375" customWidth="1"/>
    <col min="15" max="15" width="6.7109375" customWidth="1"/>
    <col min="16" max="16" width="13.85546875" customWidth="1"/>
    <col min="17" max="17" width="12.7109375" customWidth="1"/>
    <col min="18" max="18" width="11.140625" customWidth="1"/>
    <col min="19" max="21" width="20.7109375" customWidth="1"/>
    <col min="22" max="22" width="15.7109375" customWidth="1"/>
    <col min="23" max="23" width="19" customWidth="1"/>
    <col min="24" max="24" width="14.7109375" customWidth="1"/>
    <col min="25" max="25" width="20.7109375" customWidth="1"/>
    <col min="26" max="26" width="5.7109375" customWidth="1"/>
    <col min="27" max="27" width="9.7109375" customWidth="1"/>
  </cols>
  <sheetData>
    <row r="1" spans="1:27" hidden="1" outlineLevel="1" x14ac:dyDescent="0.25">
      <c r="A1" t="s">
        <v>18</v>
      </c>
    </row>
    <row r="2" spans="1:27" hidden="1" outlineLevel="1" x14ac:dyDescent="0.25">
      <c r="A2">
        <f>0</f>
        <v>0</v>
      </c>
      <c r="J2" s="12"/>
      <c r="L2" s="17"/>
      <c r="M2" s="17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</row>
    <row r="3" spans="1:27" hidden="1" outlineLevel="1" x14ac:dyDescent="0.25">
      <c r="A3">
        <f>1</f>
        <v>1</v>
      </c>
      <c r="J3" s="13"/>
      <c r="L3" s="19"/>
      <c r="M3" s="19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1:27" hidden="1" outlineLevel="1" x14ac:dyDescent="0.25">
      <c r="A4">
        <f>2</f>
        <v>2</v>
      </c>
      <c r="J4" s="13"/>
      <c r="L4" s="19"/>
      <c r="M4" s="19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</row>
    <row r="5" spans="1:27" hidden="1" outlineLevel="1" x14ac:dyDescent="0.25">
      <c r="A5">
        <f>3</f>
        <v>3</v>
      </c>
      <c r="J5" s="13"/>
      <c r="L5" s="19"/>
      <c r="M5" s="19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</row>
    <row r="6" spans="1:27" hidden="1" outlineLevel="1" x14ac:dyDescent="0.25">
      <c r="A6" t="s">
        <v>16</v>
      </c>
      <c r="J6" s="13"/>
      <c r="L6" s="19"/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</row>
    <row r="7" spans="1:27" hidden="1" outlineLevel="1" x14ac:dyDescent="0.25">
      <c r="A7" t="s">
        <v>17</v>
      </c>
      <c r="J7" s="25"/>
      <c r="L7" s="21"/>
      <c r="M7" s="21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</row>
    <row r="8" spans="1:27" hidden="1" outlineLevel="1" x14ac:dyDescent="0.25">
      <c r="A8" t="s">
        <v>19</v>
      </c>
    </row>
    <row r="9" spans="1:27" hidden="1" outlineLevel="1" x14ac:dyDescent="0.25"/>
    <row r="10" spans="1:27" hidden="1" outlineLevel="1" x14ac:dyDescent="0.25"/>
    <row r="11" spans="1:27" hidden="1" outlineLevel="1" x14ac:dyDescent="0.25">
      <c r="B11" s="28" t="s">
        <v>20</v>
      </c>
      <c r="C11" s="29"/>
      <c r="D11" s="30"/>
    </row>
    <row r="12" spans="1:27" hidden="1" outlineLevel="1" x14ac:dyDescent="0.25">
      <c r="B12" s="3" t="s">
        <v>21</v>
      </c>
      <c r="C12" s="4" t="s">
        <v>82</v>
      </c>
      <c r="D12" s="5"/>
    </row>
    <row r="13" spans="1:27" hidden="1" outlineLevel="1" x14ac:dyDescent="0.25">
      <c r="B13" s="3" t="s">
        <v>22</v>
      </c>
      <c r="C13" s="6" t="e">
        <f ca="1">_xll.VIEW(db_name&amp;":}ElementAttributes_}Clients","!","!")</f>
        <v>#NAME?</v>
      </c>
      <c r="D13" s="5"/>
    </row>
    <row r="14" spans="1:27" hidden="1" outlineLevel="1" x14ac:dyDescent="0.25">
      <c r="B14" s="3" t="s">
        <v>23</v>
      </c>
      <c r="C14" s="4" t="e">
        <f ca="1">_xll.TM1USER(db_name)</f>
        <v>#NAME?</v>
      </c>
      <c r="D14" s="5"/>
    </row>
    <row r="15" spans="1:27" hidden="1" outlineLevel="1" x14ac:dyDescent="0.25">
      <c r="B15" s="3" t="s">
        <v>24</v>
      </c>
      <c r="C15" s="4" t="e">
        <f ca="1">_xll.DBR($C$13,$C$14,$B15)</f>
        <v>#NAME?</v>
      </c>
      <c r="D15" s="5"/>
    </row>
    <row r="16" spans="1:27" hidden="1" outlineLevel="1" x14ac:dyDescent="0.25">
      <c r="B16" s="3" t="s">
        <v>25</v>
      </c>
      <c r="C16" s="4" t="e">
        <f ca="1">_xll.DBR($C$13,$C$14,$B16)</f>
        <v>#NAME?</v>
      </c>
      <c r="D16" s="5"/>
    </row>
    <row r="17" spans="2:8" hidden="1" outlineLevel="1" x14ac:dyDescent="0.25">
      <c r="B17" s="3" t="s">
        <v>26</v>
      </c>
      <c r="C17" s="4" t="e">
        <f ca="1">IF(LEFT($C$15,6)="CAM_AD",$C$16,$C$15)</f>
        <v>#NAME?</v>
      </c>
      <c r="D17" s="7"/>
    </row>
    <row r="18" spans="2:8" hidden="1" outlineLevel="1" x14ac:dyDescent="0.25"/>
    <row r="19" spans="2:8" hidden="1" outlineLevel="1" x14ac:dyDescent="0.25">
      <c r="B19" s="28" t="s">
        <v>27</v>
      </c>
      <c r="C19" s="29"/>
      <c r="D19" s="30"/>
    </row>
    <row r="20" spans="2:8" hidden="1" outlineLevel="1" x14ac:dyDescent="0.25">
      <c r="B20" s="3" t="s">
        <v>28</v>
      </c>
      <c r="C20" s="7" t="e">
        <f ca="1">_xll.VIEW(db_name&amp;":}ElementAttributes_variables","!","!")</f>
        <v>#NAME?</v>
      </c>
      <c r="D20" s="7"/>
    </row>
    <row r="21" spans="2:8" hidden="1" outlineLevel="1" x14ac:dyDescent="0.25">
      <c r="B21" s="3" t="s">
        <v>29</v>
      </c>
      <c r="C21" s="7" t="e">
        <f ca="1">_xll.DBR($C$20,$B21,"value")</f>
        <v>#NAME?</v>
      </c>
      <c r="D21" s="7"/>
    </row>
    <row r="22" spans="2:8" hidden="1" outlineLevel="1" x14ac:dyDescent="0.25">
      <c r="B22" s="3" t="s">
        <v>30</v>
      </c>
      <c r="C22" s="7" t="e">
        <f ca="1">_xll.DBR($C$20,$B22,"value")</f>
        <v>#NAME?</v>
      </c>
      <c r="D22" s="7"/>
    </row>
    <row r="23" spans="2:8" hidden="1" outlineLevel="1" x14ac:dyDescent="0.25">
      <c r="B23" s="3" t="s">
        <v>31</v>
      </c>
      <c r="C23" s="7" t="e">
        <f ca="1">_xll.DBR($C$20,$B23,"value")</f>
        <v>#NAME?</v>
      </c>
      <c r="D23" s="7"/>
    </row>
    <row r="24" spans="2:8" hidden="1" outlineLevel="1" x14ac:dyDescent="0.25">
      <c r="B24" s="3" t="s">
        <v>32</v>
      </c>
      <c r="C24" s="7" t="e">
        <f ca="1">_xll.DBR($C$20,$B24,"value")</f>
        <v>#NAME?</v>
      </c>
      <c r="D24" s="7"/>
    </row>
    <row r="25" spans="2:8" hidden="1" outlineLevel="1" x14ac:dyDescent="0.25">
      <c r="B25" s="3" t="s">
        <v>33</v>
      </c>
      <c r="C25" s="7" t="e">
        <f ca="1">_xll.DBR($C$20,$B25,"value")</f>
        <v>#NAME?</v>
      </c>
      <c r="D25" s="7"/>
    </row>
    <row r="26" spans="2:8" hidden="1" outlineLevel="1" x14ac:dyDescent="0.25"/>
    <row r="27" spans="2:8" hidden="1" outlineLevel="1" x14ac:dyDescent="0.25">
      <c r="B27" s="28" t="s">
        <v>49</v>
      </c>
      <c r="C27" s="29"/>
      <c r="D27" s="30"/>
    </row>
    <row r="28" spans="2:8" hidden="1" outlineLevel="1" x14ac:dyDescent="0.25">
      <c r="B28" s="3" t="s">
        <v>50</v>
      </c>
      <c r="C28" s="7" t="e">
        <f ca="1">_xll.VIEW(db_name&amp;":sys_application","!","!")</f>
        <v>#NAME?</v>
      </c>
      <c r="D28" s="7"/>
    </row>
    <row r="29" spans="2:8" hidden="1" outlineLevel="1" x14ac:dyDescent="0.25">
      <c r="B29" s="3" t="s">
        <v>51</v>
      </c>
      <c r="C29" t="s">
        <v>69</v>
      </c>
      <c r="D29" s="7"/>
    </row>
    <row r="30" spans="2:8" hidden="1" outlineLevel="1" x14ac:dyDescent="0.25">
      <c r="B30" s="7"/>
      <c r="C30" s="3" t="s">
        <v>52</v>
      </c>
      <c r="D30" s="3" t="s">
        <v>53</v>
      </c>
      <c r="E30" s="3" t="s">
        <v>54</v>
      </c>
      <c r="F30" s="3" t="s">
        <v>55</v>
      </c>
      <c r="G30" s="3" t="s">
        <v>56</v>
      </c>
      <c r="H30" s="3" t="s">
        <v>57</v>
      </c>
    </row>
    <row r="31" spans="2:8" hidden="1" outlineLevel="1" x14ac:dyDescent="0.25">
      <c r="B31" s="7" t="s">
        <v>58</v>
      </c>
      <c r="C31" s="7" t="e">
        <f ca="1">_xll.DBR($C$28,$B31,C$30)</f>
        <v>#NAME?</v>
      </c>
      <c r="D31" s="7" t="e">
        <f ca="1">_xll.DBR($C$28,$B31,D$30)</f>
        <v>#NAME?</v>
      </c>
      <c r="E31" s="7" t="e">
        <f ca="1">_xll.DBR($C$28,$B31,E$30)</f>
        <v>#NAME?</v>
      </c>
      <c r="F31" s="7" t="e">
        <f ca="1">_xll.DBR($C$28,$B31,F$30)</f>
        <v>#NAME?</v>
      </c>
      <c r="G31" s="7" t="e">
        <f ca="1">_xll.DBR($C$28,$B31,G$30)</f>
        <v>#NAME?</v>
      </c>
      <c r="H31" s="7" t="e">
        <f ca="1">_xll.DBR($C$28,$B31,H$30)</f>
        <v>#NAME?</v>
      </c>
    </row>
    <row r="32" spans="2:8" hidden="1" outlineLevel="1" x14ac:dyDescent="0.25">
      <c r="B32" s="7" t="s">
        <v>59</v>
      </c>
      <c r="C32" s="7" t="e">
        <f ca="1">_xll.DBR($C$28,$B32,C$30)</f>
        <v>#NAME?</v>
      </c>
      <c r="D32" s="7" t="e">
        <f ca="1">_xll.DBR($C$28,$B32,D$30)</f>
        <v>#NAME?</v>
      </c>
      <c r="E32" s="7" t="e">
        <f ca="1">_xll.DBR($C$28,$B32,E$30)</f>
        <v>#NAME?</v>
      </c>
      <c r="F32" s="7" t="e">
        <f ca="1">_xll.DBR($C$28,$B32,F$30)</f>
        <v>#NAME?</v>
      </c>
      <c r="G32" s="7" t="e">
        <f ca="1">_xll.DBR($C$28,$B32,G$30)</f>
        <v>#NAME?</v>
      </c>
      <c r="H32" s="7" t="e">
        <f ca="1">_xll.DBR($C$28,$B32,H$30)</f>
        <v>#NAME?</v>
      </c>
    </row>
    <row r="33" spans="2:27" hidden="1" outlineLevel="1" x14ac:dyDescent="0.25">
      <c r="B33" s="7" t="s">
        <v>60</v>
      </c>
      <c r="C33" s="7" t="e">
        <f ca="1">_xll.DBR($C$28,$B33,C$30)</f>
        <v>#NAME?</v>
      </c>
      <c r="D33" s="7" t="e">
        <f ca="1">_xll.DBR($C$28,$B33,D$30)</f>
        <v>#NAME?</v>
      </c>
      <c r="E33" s="7" t="e">
        <f ca="1">_xll.DBR($C$28,$B33,E$30)</f>
        <v>#NAME?</v>
      </c>
      <c r="F33" s="7" t="e">
        <f ca="1">_xll.DBR($C$28,$B33,F$30)</f>
        <v>#NAME?</v>
      </c>
      <c r="G33" s="7" t="e">
        <f ca="1">_xll.DBR($C$28,$B33,G$30)</f>
        <v>#NAME?</v>
      </c>
      <c r="H33" s="7" t="e">
        <f ca="1">_xll.DBR($C$28,$B33,H$30)</f>
        <v>#NAME?</v>
      </c>
    </row>
    <row r="34" spans="2:27" hidden="1" outlineLevel="1" x14ac:dyDescent="0.25">
      <c r="B34" s="7" t="s">
        <v>61</v>
      </c>
      <c r="C34" s="7" t="e">
        <f ca="1">_xll.DBR($C$28,$B34,C$30)</f>
        <v>#NAME?</v>
      </c>
      <c r="D34" s="7" t="e">
        <f ca="1">_xll.DBR($C$28,$B34,D$30)</f>
        <v>#NAME?</v>
      </c>
      <c r="E34" s="7" t="e">
        <f ca="1">_xll.DBR($C$28,$B34,E$30)</f>
        <v>#NAME?</v>
      </c>
      <c r="F34" s="7" t="e">
        <f ca="1">_xll.DBR($C$28,$B34,F$30)</f>
        <v>#NAME?</v>
      </c>
      <c r="G34" s="7" t="e">
        <f ca="1">_xll.DBR($C$28,$B34,G$30)</f>
        <v>#NAME?</v>
      </c>
      <c r="H34" s="7" t="e">
        <f ca="1">_xll.DBR($C$28,$B34,H$30)</f>
        <v>#NAME?</v>
      </c>
    </row>
    <row r="35" spans="2:27" hidden="1" outlineLevel="1" x14ac:dyDescent="0.25">
      <c r="B35" s="7" t="s">
        <v>62</v>
      </c>
      <c r="C35" s="7" t="e">
        <f ca="1">_xll.DBR($C$28,$B35,C$30)</f>
        <v>#NAME?</v>
      </c>
      <c r="D35" s="7" t="e">
        <f ca="1">_xll.DBR($C$28,$B35,D$30)</f>
        <v>#NAME?</v>
      </c>
      <c r="E35" s="7" t="e">
        <f ca="1">_xll.DBR($C$28,$B35,E$30)</f>
        <v>#NAME?</v>
      </c>
      <c r="F35" s="7" t="e">
        <f ca="1">_xll.DBR($C$28,$B35,F$30)</f>
        <v>#NAME?</v>
      </c>
      <c r="G35" s="7" t="e">
        <f ca="1">_xll.DBR($C$28,$B35,G$30)</f>
        <v>#NAME?</v>
      </c>
      <c r="H35" s="7" t="e">
        <f ca="1">_xll.DBR($C$28,$B35,H$30)</f>
        <v>#NAME?</v>
      </c>
    </row>
    <row r="36" spans="2:27" hidden="1" outlineLevel="1" x14ac:dyDescent="0.25">
      <c r="B36" s="14" t="s">
        <v>64</v>
      </c>
      <c r="C36" s="15" t="s">
        <v>63</v>
      </c>
    </row>
    <row r="37" spans="2:27" ht="17.25" hidden="1" customHeight="1" outlineLevel="1" x14ac:dyDescent="0.25"/>
    <row r="38" spans="2:27" hidden="1" outlineLevel="1" x14ac:dyDescent="0.25">
      <c r="B38" s="28" t="s">
        <v>68</v>
      </c>
      <c r="C38" s="29"/>
      <c r="D38" s="30"/>
    </row>
    <row r="39" spans="2:27" hidden="1" outlineLevel="1" x14ac:dyDescent="0.25">
      <c r="B39" s="3" t="s">
        <v>34</v>
      </c>
      <c r="C39" s="7" t="e">
        <f ca="1">_xll.TM1RPTVIEW(db_name&amp;":}ElementAttributes_account:1", 0,TM1RPTFMTRNG,TM1RPTFMTIDCOL)</f>
        <v>#NAME?</v>
      </c>
    </row>
    <row r="40" spans="2:27" hidden="1" outlineLevel="1" x14ac:dyDescent="0.25">
      <c r="B40" s="3" t="s">
        <v>35</v>
      </c>
      <c r="C40" s="7" t="e">
        <f ca="1">_xll.VIEW(db_name&amp;":}ElementAttributes_account","!","!")</f>
        <v>#NAME?</v>
      </c>
    </row>
    <row r="41" spans="2:27" hidden="1" outlineLevel="1" x14ac:dyDescent="0.25">
      <c r="B41" s="3" t="s">
        <v>37</v>
      </c>
      <c r="C41" s="7" t="str">
        <f>IF($L$59="No",$C$42,$C$43)</f>
        <v>{TM1SUBSETALL( [account] )}</v>
      </c>
      <c r="D41" s="5"/>
    </row>
    <row r="42" spans="2:27" hidden="1" outlineLevel="1" x14ac:dyDescent="0.25">
      <c r="B42" s="3" t="s">
        <v>41</v>
      </c>
      <c r="C42" s="7" t="s">
        <v>36</v>
      </c>
    </row>
    <row r="43" spans="2:27" hidden="1" outlineLevel="1" x14ac:dyDescent="0.25">
      <c r="B43" s="3" t="s">
        <v>42</v>
      </c>
      <c r="C43" s="7" t="e">
        <f ca="1">"{TM1DRILLDOWNMEMBER( {[account].[" &amp; $L$58 &amp; "]}, ALL, RECURSIVE )}"</f>
        <v>#NAME?</v>
      </c>
    </row>
    <row r="44" spans="2:27" hidden="1" outlineLevel="1" x14ac:dyDescent="0.25"/>
    <row r="45" spans="2:27" hidden="1" outlineLevel="1" x14ac:dyDescent="0.25">
      <c r="J45" s="1" t="s">
        <v>43</v>
      </c>
      <c r="L45" s="2" t="s">
        <v>0</v>
      </c>
      <c r="M45" s="2" t="s">
        <v>1</v>
      </c>
      <c r="N45" s="2" t="s">
        <v>2</v>
      </c>
      <c r="O45" s="2" t="s">
        <v>3</v>
      </c>
      <c r="P45" s="2" t="s">
        <v>12</v>
      </c>
      <c r="Q45" s="2" t="s">
        <v>13</v>
      </c>
      <c r="R45" s="2" t="s">
        <v>14</v>
      </c>
      <c r="S45" s="2" t="s">
        <v>4</v>
      </c>
      <c r="T45" s="2" t="s">
        <v>5</v>
      </c>
      <c r="U45" s="2" t="s">
        <v>6</v>
      </c>
      <c r="V45" s="2" t="s">
        <v>7</v>
      </c>
      <c r="W45" s="2" t="s">
        <v>8</v>
      </c>
      <c r="X45" s="2" t="s">
        <v>9</v>
      </c>
      <c r="Y45" s="2" t="s">
        <v>10</v>
      </c>
      <c r="Z45" s="2" t="s">
        <v>11</v>
      </c>
      <c r="AA45" s="2" t="s">
        <v>15</v>
      </c>
    </row>
    <row r="46" spans="2:27" hidden="1" outlineLevel="1" x14ac:dyDescent="0.25"/>
    <row r="47" spans="2:27" hidden="1" outlineLevel="1" x14ac:dyDescent="0.25"/>
    <row r="48" spans="2:27" ht="39.75" customHeight="1" collapsed="1" x14ac:dyDescent="0.25">
      <c r="I48" s="16"/>
      <c r="J48" s="16"/>
      <c r="K48" s="16"/>
      <c r="L48" s="16"/>
      <c r="M48" s="16"/>
      <c r="N48" s="26" t="s">
        <v>65</v>
      </c>
      <c r="O48" s="16"/>
      <c r="P48" s="16"/>
      <c r="Q48" s="26"/>
      <c r="R48" s="16"/>
      <c r="S48" s="16"/>
      <c r="T48" s="16"/>
      <c r="U48" s="16"/>
      <c r="V48" s="16"/>
      <c r="W48" s="16"/>
      <c r="X48" s="16"/>
      <c r="Y48" s="16"/>
      <c r="Z48" s="16"/>
      <c r="AA48" s="16"/>
    </row>
    <row r="49" spans="1:27" ht="4.5" customHeight="1" x14ac:dyDescent="0.25"/>
    <row r="50" spans="1:27" ht="24" customHeight="1" x14ac:dyDescent="0.25">
      <c r="J50" s="1"/>
    </row>
    <row r="51" spans="1:27" ht="1.5" customHeight="1" x14ac:dyDescent="0.25"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7" x14ac:dyDescent="0.25">
      <c r="J52" s="32" t="s">
        <v>70</v>
      </c>
      <c r="K52" s="32"/>
      <c r="L52" s="32"/>
      <c r="M52" s="32"/>
    </row>
    <row r="53" spans="1:27" x14ac:dyDescent="0.25">
      <c r="J53" s="24" t="s">
        <v>72</v>
      </c>
    </row>
    <row r="54" spans="1:27" x14ac:dyDescent="0.25">
      <c r="J54" s="24" t="s">
        <v>81</v>
      </c>
    </row>
    <row r="55" spans="1:27" x14ac:dyDescent="0.25">
      <c r="J55" s="24" t="s">
        <v>80</v>
      </c>
    </row>
    <row r="56" spans="1:27" ht="5.0999999999999996" customHeight="1" x14ac:dyDescent="0.25"/>
    <row r="57" spans="1:27" x14ac:dyDescent="0.25">
      <c r="L57" s="9" t="s">
        <v>40</v>
      </c>
    </row>
    <row r="58" spans="1:27" x14ac:dyDescent="0.25">
      <c r="J58" s="8" t="s">
        <v>38</v>
      </c>
      <c r="L58" s="31" t="e">
        <f ca="1">_xll.SUBNM(db_name&amp;":account","","9000130","code and description")</f>
        <v>#NAME?</v>
      </c>
      <c r="M58" s="31"/>
    </row>
    <row r="59" spans="1:27" x14ac:dyDescent="0.25">
      <c r="J59" s="8" t="s">
        <v>39</v>
      </c>
      <c r="L59" s="23" t="s">
        <v>71</v>
      </c>
    </row>
    <row r="60" spans="1:27" ht="5.0999999999999996" customHeight="1" x14ac:dyDescent="0.25"/>
    <row r="61" spans="1:27" ht="30" x14ac:dyDescent="0.25">
      <c r="J61" s="10" t="s">
        <v>48</v>
      </c>
      <c r="L61" s="11" t="s">
        <v>66</v>
      </c>
      <c r="M61" s="11" t="s">
        <v>67</v>
      </c>
      <c r="N61" s="11" t="s">
        <v>2</v>
      </c>
      <c r="O61" s="11" t="s">
        <v>3</v>
      </c>
      <c r="P61" s="11" t="s">
        <v>75</v>
      </c>
      <c r="Q61" s="11" t="s">
        <v>46</v>
      </c>
      <c r="R61" s="11" t="s">
        <v>74</v>
      </c>
      <c r="S61" s="11" t="s">
        <v>73</v>
      </c>
      <c r="T61" s="11" t="s">
        <v>44</v>
      </c>
      <c r="U61" s="11" t="s">
        <v>76</v>
      </c>
      <c r="V61" s="11" t="s">
        <v>77</v>
      </c>
      <c r="W61" s="11" t="s">
        <v>78</v>
      </c>
      <c r="X61" s="11" t="s">
        <v>79</v>
      </c>
      <c r="Y61" s="11" t="s">
        <v>45</v>
      </c>
      <c r="Z61" s="11" t="s">
        <v>11</v>
      </c>
      <c r="AA61" s="11" t="s">
        <v>47</v>
      </c>
    </row>
    <row r="62" spans="1:27" x14ac:dyDescent="0.25">
      <c r="A62" t="e">
        <f ca="1">IF(_xll.TM1RPTELISCONSOLIDATED($J$62,$J62),IF(_xll.TM1RPTELLEV($J$62,$J62)&lt;=3,_xll.TM1RPTELLEV($J$62,$J62),"D"),"N")</f>
        <v>#NAME?</v>
      </c>
      <c r="J62" s="27" t="e">
        <f ca="1">_xll.TM1RPTROW($C$39,db_name&amp;":account","","","",0,$C$41)</f>
        <v>#NAME?</v>
      </c>
      <c r="L62" s="17" t="e">
        <f ca="1">_xll.DBRW($C$39,$J62,L$45)</f>
        <v>#NAME?</v>
      </c>
      <c r="M62" s="17" t="e">
        <f ca="1">_xll.DBRW($C$39,$J62,M$45)</f>
        <v>#NAME?</v>
      </c>
      <c r="N62" s="18" t="e">
        <f ca="1">_xll.DBRW($C$39,$J62,N$45)</f>
        <v>#NAME?</v>
      </c>
      <c r="O62" s="18" t="e">
        <f ca="1">_xll.DBRW($C$39,$J62,O$45)</f>
        <v>#NAME?</v>
      </c>
      <c r="P62" s="18" t="e">
        <f ca="1">_xll.DBRW($C$39,$J62,P$45)</f>
        <v>#NAME?</v>
      </c>
      <c r="Q62" s="18" t="e">
        <f ca="1">_xll.DBRW($C$39,$J62,Q$45)</f>
        <v>#NAME?</v>
      </c>
      <c r="R62" s="18" t="e">
        <f ca="1">_xll.DBRW($C$39,$J62,R$45)</f>
        <v>#NAME?</v>
      </c>
      <c r="S62" s="18" t="e">
        <f ca="1">_xll.DBRW($C$39,$J62,S$45)</f>
        <v>#NAME?</v>
      </c>
      <c r="T62" s="18" t="e">
        <f ca="1">_xll.DBRW($C$39,$J62,T$45)</f>
        <v>#NAME?</v>
      </c>
      <c r="U62" s="18" t="e">
        <f ca="1">_xll.DBRW($C$39,$J62,U$45)</f>
        <v>#NAME?</v>
      </c>
      <c r="V62" s="18" t="e">
        <f ca="1">_xll.DBRW($C$39,$J62,V$45)</f>
        <v>#NAME?</v>
      </c>
      <c r="W62" s="18" t="e">
        <f ca="1">_xll.DBRW($C$39,$J62,W$45)</f>
        <v>#NAME?</v>
      </c>
      <c r="X62" s="18" t="e">
        <f ca="1">_xll.DBRW($C$39,$J62,X$45)</f>
        <v>#NAME?</v>
      </c>
      <c r="Y62" s="18" t="e">
        <f ca="1">_xll.DBRW($C$39,$J62,Y$45)</f>
        <v>#NAME?</v>
      </c>
      <c r="Z62" s="18" t="e">
        <f ca="1">_xll.DBRW($C$39,$J62,Z$45)</f>
        <v>#NAME?</v>
      </c>
      <c r="AA62" s="18" t="e">
        <f ca="1">_xll.DBRW($C$39,$J62,AA$45)</f>
        <v>#NAME?</v>
      </c>
    </row>
  </sheetData>
  <sheetProtection sheet="1" objects="1" scenarios="1"/>
  <mergeCells count="6">
    <mergeCell ref="B11:D11"/>
    <mergeCell ref="B19:D19"/>
    <mergeCell ref="B38:D38"/>
    <mergeCell ref="L58:M58"/>
    <mergeCell ref="B27:D27"/>
    <mergeCell ref="J52:M52"/>
  </mergeCells>
  <dataValidations count="1">
    <dataValidation type="list" allowBlank="1" showInputMessage="1" showErrorMessage="1" sqref="L59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2019-04-08T23:13:27Z</dcterms:created>
  <dcterms:modified xsi:type="dcterms:W3CDTF">2025-08-11T06:17:51Z</dcterms:modified>
</cp:coreProperties>
</file>