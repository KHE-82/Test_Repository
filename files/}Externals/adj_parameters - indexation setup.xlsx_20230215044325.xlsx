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755088B5-D85E-4145-9A06-C1E1D7EABCA2}" xr6:coauthVersionLast="47" xr6:coauthVersionMax="47" xr10:uidLastSave="{00000000-0000-0000-0000-000000000000}"/>
  <bookViews>
    <workbookView xWindow="29580" yWindow="780" windowWidth="21600" windowHeight="11385" xr2:uid="{6BA47A3A-8083-4887-8B32-0841550876EA}"/>
  </bookViews>
  <sheets>
    <sheet name="setup" sheetId="1" r:id="rId1"/>
  </sheets>
  <definedNames>
    <definedName name="db_name">setup!$C$2</definedName>
    <definedName name="psApp">setup!$C$32</definedName>
    <definedName name="psUser">setup!$C$4</definedName>
    <definedName name="TM1FFExtractCAP">setup!#REF!</definedName>
    <definedName name="TM1FFExtractWB">setup!#REF!</definedName>
    <definedName name="TM1FFExtractWS">setup!#REF!</definedName>
    <definedName name="TM1FFSetSaveLocCAP">setup!#REF!</definedName>
    <definedName name="TM1FFSetSaveLocWB">setup!#REF!</definedName>
    <definedName name="TM1FFSetSaveLocWS">setup!#REF!</definedName>
    <definedName name="TM1HomeAdminCAP">setup!#REF!</definedName>
    <definedName name="TM1HomeAdminGEUSCAP">setup!#REF!</definedName>
    <definedName name="TM1HomeAdminGEUSWB">setup!#REF!</definedName>
    <definedName name="TM1HomeAdminGEUSWS">setup!#REF!</definedName>
    <definedName name="TM1HomeAdminRDSCAP">setup!#REF!</definedName>
    <definedName name="TM1HomeAdminRDSMapCAP">setup!#REF!</definedName>
    <definedName name="TM1HomeAdminRDSMapWB">setup!#REF!</definedName>
    <definedName name="TM1HomeAdminRDSMapWS">setup!#REF!</definedName>
    <definedName name="TM1HomeAdminRDSWB">setup!#REF!</definedName>
    <definedName name="TM1HomeAdminRDSWS">setup!#REF!</definedName>
    <definedName name="TM1HomeAdminWB">setup!#REF!</definedName>
    <definedName name="TM1HomeAdminWS">setup!#REF!</definedName>
    <definedName name="TM1HomeAECAP">setup!$D$35</definedName>
    <definedName name="TM1HomeAEDataEntryCAP">setup!$D$36</definedName>
    <definedName name="TM1HomeAEDataEntryWB">setup!$F$36</definedName>
    <definedName name="TM1HomeAEDataEntryWS">setup!$H$36</definedName>
    <definedName name="TM1HomeAEWB">setup!$F$35</definedName>
    <definedName name="TM1HomeAEWS">setup!$H$35</definedName>
    <definedName name="TM1HomeCAP">setup!$D$34</definedName>
    <definedName name="TM1HomeRepCAP">setup!#REF!</definedName>
    <definedName name="TM1HomeRepWB">setup!#REF!</definedName>
    <definedName name="TM1HomeRepWS">setup!#REF!</definedName>
    <definedName name="TM1HomeUnderCAP">setup!#REF!</definedName>
    <definedName name="TM1HomeUnderWB">setup!#REF!</definedName>
    <definedName name="TM1HomeUnderWS">setup!#REF!</definedName>
    <definedName name="TM1HomeWB">setup!$F$34</definedName>
    <definedName name="TM1HomeWS">setup!$H$34</definedName>
    <definedName name="TM1IndexFE3MapCAP">setup!$D$37</definedName>
    <definedName name="TM1IndexFE3MapWB">setup!$F$37</definedName>
    <definedName name="TM1IndexFE3MapWS">setup!$H$37</definedName>
    <definedName name="TM1IndexRatesCAP">setup!$D$38</definedName>
    <definedName name="TM1IndexRatesWB">setup!$F$38</definedName>
    <definedName name="TM1IndexRatesWS">setup!$H$38</definedName>
    <definedName name="TM1IndexSetupCAP">setup!$D$39</definedName>
    <definedName name="TM1IndexSetupWB">setup!$F$39</definedName>
    <definedName name="TM1IndexSetupWS">setup!$H$39</definedName>
    <definedName name="TM1REBUILDOPTION">1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C10" i="1" a="1"/>
  <c r="C10" i="1"/>
  <c r="L76" i="1" a="1"/>
  <c r="L76" i="1"/>
  <c r="L75" i="1" a="1"/>
  <c r="L75" i="1"/>
  <c r="L74" i="1" a="1"/>
  <c r="L74" i="1"/>
  <c r="L73" i="1" a="1"/>
  <c r="L73" i="1"/>
  <c r="L72" i="1" a="1"/>
  <c r="L72" i="1"/>
  <c r="L71" i="1" a="1"/>
  <c r="L71" i="1"/>
  <c r="L70" i="1" a="1"/>
  <c r="L70" i="1"/>
  <c r="L69" i="1" a="1"/>
  <c r="L69" i="1"/>
  <c r="L65" i="1" a="1"/>
  <c r="L65" i="1"/>
  <c r="L64" i="1" a="1"/>
  <c r="L64" i="1"/>
  <c r="L63" i="1" a="1"/>
  <c r="L63" i="1"/>
  <c r="L62" i="1" a="1"/>
  <c r="L62" i="1"/>
  <c r="L61" i="1" a="1"/>
  <c r="L61" i="1"/>
  <c r="L60" i="1" a="1"/>
  <c r="L60" i="1"/>
  <c r="L59" i="1" a="1"/>
  <c r="L59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C23" i="1" a="1"/>
  <c r="C23" i="1"/>
  <c r="C4" i="1" a="1"/>
  <c r="C4" i="1"/>
  <c r="C27" i="1" a="1"/>
  <c r="C27" i="1"/>
  <c r="C26" i="1" a="1"/>
  <c r="C26" i="1"/>
  <c r="C25" i="1" a="1"/>
  <c r="C25" i="1"/>
  <c r="C24" i="1" a="1"/>
  <c r="C24" i="1"/>
  <c r="C17" i="1" a="1"/>
  <c r="C17" i="1"/>
  <c r="C16" i="1" a="1"/>
  <c r="C16" i="1"/>
  <c r="C15" i="1" a="1"/>
  <c r="C15" i="1"/>
  <c r="C14" i="1" a="1"/>
  <c r="C14" i="1"/>
  <c r="C13" i="1" a="1"/>
  <c r="C13" i="1"/>
  <c r="C12" i="1" a="1"/>
  <c r="C12" i="1"/>
  <c r="C3" i="1" a="1"/>
  <c r="C3" i="1"/>
  <c r="C6" i="1" a="1"/>
  <c r="C6" i="1"/>
  <c r="C5" i="1" a="1"/>
  <c r="C5" i="1"/>
  <c r="C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<sst xmlns="http://schemas.openxmlformats.org/spreadsheetml/2006/main" count="96" uniqueCount="89">
  <si>
    <t>value</t>
  </si>
  <si>
    <t>save location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</si>
  <si>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</si>
  <si>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</si>
  <si>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</si>
  <si>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</si>
  <si>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</si>
  <si>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</si>
  <si>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</si>
  <si>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</si>
  <si>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</si>
  <si>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</si>
  <si>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</si>
  <si>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</si>
  <si>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</si>
  <si>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</si>
  <si>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</si>
  <si>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</si>
  <si>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</si>
  <si>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</si>
  <si>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</si>
  <si>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Client Preference Measure</t>
  </si>
  <si>
    <t>favapp_application</t>
  </si>
  <si>
    <t>sys_application</t>
  </si>
  <si>
    <t>Slice View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</si>
  <si>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</si>
  <si>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</si>
  <si>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</si>
  <si>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</si>
  <si>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</si>
  <si>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</si>
  <si>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</si>
  <si>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</si>
  <si>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</si>
  <si>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Current Workbook</t>
  </si>
  <si>
    <t>validate</t>
  </si>
  <si>
    <t>TM1 Fields</t>
  </si>
  <si>
    <t>agency code</t>
  </si>
  <si>
    <t>parameter reason code</t>
  </si>
  <si>
    <t>efficiency dividend reason code</t>
  </si>
  <si>
    <t>sys_Data Directory</t>
  </si>
  <si>
    <t>current budget round</t>
  </si>
  <si>
    <t>FE3 reason code</t>
  </si>
  <si>
    <t>FE2 Period</t>
  </si>
  <si>
    <t>FE3 Period</t>
  </si>
  <si>
    <t>GEUS System Variables</t>
  </si>
  <si>
    <t>GEUS Data Directory :</t>
  </si>
  <si>
    <t>GEUS Database Directory Location. This is used for TI Processes.</t>
  </si>
  <si>
    <t>FIELDS</t>
  </si>
  <si>
    <t>VALUE</t>
  </si>
  <si>
    <t>COMMENTS</t>
  </si>
  <si>
    <t>Headline Year :</t>
  </si>
  <si>
    <t>Headline Scenario :</t>
  </si>
  <si>
    <t>Current Headline Year. System Initiat set up during Rollover/Baseline Process</t>
  </si>
  <si>
    <t>Always 'current' for current Headline Scenario. System Initial set up during Rollover/Baseline Process</t>
  </si>
  <si>
    <t>During Rollover process, administrator selects current round. Used for reports and display purposes and lets users know where to save attachments</t>
  </si>
  <si>
    <t>Current Budget Round :</t>
  </si>
  <si>
    <t>Archive Year :</t>
  </si>
  <si>
    <t>Archive Scenario :</t>
  </si>
  <si>
    <t>Populated during Rollover process. Provides details of previous archived data set</t>
  </si>
  <si>
    <t>Agency Code :</t>
  </si>
  <si>
    <t>Agency Code used for GEUS Flatfiles</t>
  </si>
  <si>
    <t>Adjustment Setup (Reason Codes/Account Used)</t>
  </si>
  <si>
    <t>Indexation Reason Code :</t>
  </si>
  <si>
    <t>Efficiency Dividend Reason Code :</t>
  </si>
  <si>
    <t>FE3 Reason Code :</t>
  </si>
  <si>
    <t>FE2 Period :</t>
  </si>
  <si>
    <t>FE3 Period :</t>
  </si>
  <si>
    <t>Reason code used for the creation of indexation/parameters</t>
  </si>
  <si>
    <t>Reason code used for the creation of efficiency dividend</t>
  </si>
  <si>
    <t>Reason code used for the creation of Forward Estimates 3 (FE3)</t>
  </si>
  <si>
    <t>FE2 period uses during the creation of FE3</t>
  </si>
  <si>
    <t>FE3 period uses during the creation of FE3</t>
  </si>
  <si>
    <t>Note : This screen is a copy of the }ElementAttributes_variable cube and maintains the system variables required for GEUS</t>
  </si>
  <si>
    <t>Note : Some fields are automatically populated.</t>
  </si>
  <si>
    <t>parameter prefix title</t>
  </si>
  <si>
    <t>efficiency dividend prefix title</t>
  </si>
  <si>
    <t>FE3 prefix title</t>
  </si>
  <si>
    <t>Indexation / Prefix TItle :</t>
  </si>
  <si>
    <t>Efficiency Dividend Prefix Title :</t>
  </si>
  <si>
    <t>FE3 Prefix Title :</t>
  </si>
  <si>
    <t>Prefix Title used during the creation of indexation/parameters adjustments. NOTE : CBMS MAX LENGTH TITLE</t>
  </si>
  <si>
    <t>Prefix Title used during the creation of efficiency dividend adjustments. NOTE : CBMS MAX LENGTH TITLE</t>
  </si>
  <si>
    <t>Prefix Title used during the creation of FE3 adjustments. NOTE : CBMS MAX LENGTH TITLE</t>
  </si>
  <si>
    <t>ED / Indexation and FE3 Administration Setup</t>
  </si>
  <si>
    <t>Adjustment - Indexation and FE3 Navigational Map</t>
  </si>
  <si>
    <t>Adjustment - Indexation Rates</t>
  </si>
  <si>
    <t>Adjustment - Indexation Setup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</si>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</sst>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3" fillId="3" borderId="0" xfId="0" applyFont="1" applyFill="1" applyAlignment="1">
      <alignment horizontal="right" vertical="center"/>
    </xf>
    <xf numFmtId="0" fontId="0" fillId="2" borderId="4" xfId="0" applyFill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6" fillId="0" borderId="4" xfId="0" applyFont="1" applyBorder="1" applyAlignment="1" applyProtection="1">
      <alignment horizontal="left" vertical="top" indent="1"/>
      <protection locked="0"/>
    </xf>
    <xf numFmtId="0" fontId="6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0" fillId="2" borderId="0" xfId="0" applyFill="1"/>
    <xf numFmtId="0" fontId="6" fillId="2" borderId="4" xfId="0" applyFont="1" applyFill="1" applyBorder="1" applyAlignment="1">
      <alignment horizontal="left" vertical="top" indent="1"/>
    </xf>
    <xf numFmtId="0" fontId="5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46</xdr:row>
      <xdr:rowOff>38100</xdr:rowOff>
    </xdr:from>
    <xdr:to>
      <xdr:col>9</xdr:col>
      <xdr:colOff>1769745</xdr:colOff>
      <xdr:row>46</xdr:row>
      <xdr:rowOff>495300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3810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57150</xdr:colOff>
          <xdr:row>48</xdr:row>
          <xdr:rowOff>28575</xdr:rowOff>
        </xdr:from>
        <xdr:to>
          <xdr:col>9</xdr:col>
          <xdr:colOff>695325</xdr:colOff>
          <xdr:row>48</xdr:row>
          <xdr:rowOff>276225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1038225</xdr:colOff>
          <xdr:row>48</xdr:row>
          <xdr:rowOff>28575</xdr:rowOff>
        </xdr:from>
        <xdr:to>
          <xdr:col>11</xdr:col>
          <xdr:colOff>2171700</xdr:colOff>
          <xdr:row>48</xdr:row>
          <xdr:rowOff>276225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2228850</xdr:colOff>
          <xdr:row>48</xdr:row>
          <xdr:rowOff>28575</xdr:rowOff>
        </xdr:from>
        <xdr:to>
          <xdr:col>11</xdr:col>
          <xdr:colOff>3009900</xdr:colOff>
          <xdr:row>48</xdr:row>
          <xdr:rowOff>276225</xdr:rowOff>
        </xdr:to>
        <xdr:sp macro="" textlink="">
          <xdr:nvSpPr>
            <xdr:cNvPr id="1027" name="TIButton4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6715125</xdr:colOff>
          <xdr:row>47</xdr:row>
          <xdr:rowOff>28575</xdr:rowOff>
        </xdr:from>
        <xdr:to>
          <xdr:col>13</xdr:col>
          <xdr:colOff>7029450</xdr:colOff>
          <xdr:row>48</xdr:row>
          <xdr:rowOff>285750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1952625</xdr:colOff>
          <xdr:row>48</xdr:row>
          <xdr:rowOff>28575</xdr:rowOff>
        </xdr:from>
        <xdr:to>
          <xdr:col>11</xdr:col>
          <xdr:colOff>1009650</xdr:colOff>
          <xdr:row>48</xdr:row>
          <xdr:rowOff>276225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733425</xdr:colOff>
          <xdr:row>48</xdr:row>
          <xdr:rowOff>28575</xdr:rowOff>
        </xdr:from>
        <xdr:to>
          <xdr:col>9</xdr:col>
          <xdr:colOff>1914525</xdr:colOff>
          <xdr:row>48</xdr:row>
          <xdr:rowOff>276225</xdr:rowOff>
        </xdr:to>
        <xdr:sp macro="" textlink="">
          <xdr:nvSpPr>
            <xdr:cNvPr id="1031" name="TIButton3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A0CC-13F3-4AE9-A0C8-BF4CCDBFB8D5}">
  <sheetPr codeName="Sheet1">
    <outlinePr showOutlineSymbols="0"/>
    <pageSetUpPr fitToPage="1"/>
  </sheetPr>
  <dimension ref="A1:N77"/>
  <sheetViews>
    <sheetView showGridLines="0" showRowColHeaders="0" tabSelected="1" showOutlineSymbols="0" topLeftCell="A47" workbookViewId="0">
      <pane ySplit="10" topLeftCell="A57" activePane="bottomLeft" state="frozen"/>
      <selection activeCell="I47" sqref="I47"/>
      <selection pane="bottomLeft"/>
    </sheetView>
  </sheetViews>
  <sheetFormatPr defaultRowHeight="15" outlineLevelRow="1" outlineLevelCol="1" x14ac:dyDescent="0.25"/>
  <cols>
    <col min="1" max="1" width="9.140625" hidden="1" customWidth="1" outlineLevel="1"/>
    <col min="2" max="2" width="46.140625" hidden="1" customWidth="1" outlineLevel="1"/>
    <col min="3" max="3" width="16.140625" hidden="1" customWidth="1" outlineLevel="1"/>
    <col min="4" max="4" width="19.5703125" hidden="1" customWidth="1" outlineLevel="1"/>
    <col min="5" max="5" width="24.28515625" hidden="1" customWidth="1" outlineLevel="1"/>
    <col min="6" max="6" width="28.28515625" hidden="1" customWidth="1" outlineLevel="1"/>
    <col min="7" max="7" width="24.140625" hidden="1" customWidth="1" outlineLevel="1"/>
    <col min="8" max="8" width="18" hidden="1" customWidth="1" outlineLevel="1"/>
    <col min="9" max="9" width="0.85546875" customWidth="1" collapsed="1"/>
    <col min="10" max="10" width="35.7109375" customWidth="1"/>
    <col min="11" max="11" width="0.85546875" customWidth="1"/>
    <col min="12" max="12" width="60.7109375" customWidth="1"/>
    <col min="13" max="13" width="0.85546875" customWidth="1"/>
    <col min="14" max="14" width="105.7109375" customWidth="1"/>
  </cols>
  <sheetData>
    <row r="1" spans="2:4" hidden="1" outlineLevel="1" x14ac:dyDescent="0.25">
      <c r="B1" s="20" t="s">
        <v>2</v>
      </c>
      <c r="C1" s="21"/>
      <c r="D1" s="22"/>
    </row>
    <row r="2" spans="2:4" hidden="1" outlineLevel="1" x14ac:dyDescent="0.25">
      <c r="B2" s="1" t="s">
        <v>3</v>
      </c>
      <c r="C2" s="2" t="s">
        <v>88</v>
      </c>
      <c r="D2" s="3"/>
    </row>
    <row r="3" spans="2:4" hidden="1" outlineLevel="1" x14ac:dyDescent="0.25">
      <c r="B3" s="1" t="s">
        <v>4</v>
      </c>
      <c r="C3" s="4" t="str" cm="1">
        <f t="array" aca="1" ref="C3" ca="1">_xll.VIEW(db_name&amp;":}ElementAttributes_}Clients","!","!")</f>
        <v>dcceew_geus:}ElementAttributes_}Clients</v>
      </c>
      <c r="D3" s="3"/>
    </row>
    <row r="4" spans="2:4" hidden="1" outlineLevel="1" x14ac:dyDescent="0.25">
      <c r="B4" s="1" t="s">
        <v>5</v>
      </c>
      <c r="C4" s="2" t="str" cm="1">
        <f t="array" aca="1" ref="C4" ca="1">_xll.TM1USER(db_name)</f>
        <v/>
      </c>
      <c r="D4" s="3"/>
    </row>
    <row r="5" spans="2:4" hidden="1" outlineLevel="1" x14ac:dyDescent="0.25">
      <c r="B5" s="1" t="s">
        <v>6</v>
      </c>
      <c r="C5" s="2" t="str" cm="1">
        <f t="array" aca="1" ref="C5" ca="1">_xll.DBR($C$3,$C$4,$B5)</f>
        <v>*KEY_ERR</v>
      </c>
      <c r="D5" s="3"/>
    </row>
    <row r="6" spans="2:4" hidden="1" outlineLevel="1" x14ac:dyDescent="0.25">
      <c r="B6" s="1" t="s">
        <v>7</v>
      </c>
      <c r="C6" s="2" t="str" cm="1">
        <f t="array" aca="1" ref="C6" ca="1">_xll.DBR($C$3,$C$4,$B6)</f>
        <v>*KEY_ERR</v>
      </c>
      <c r="D6" s="3"/>
    </row>
    <row r="7" spans="2:4" hidden="1" outlineLevel="1" x14ac:dyDescent="0.25">
      <c r="B7" s="1" t="s">
        <v>8</v>
      </c>
      <c r="C7" s="2" t="str">
        <f ca="1">IF(LEFT($C$4,6)="CAM_AD",$C$5,$C$4)</f>
        <v/>
      </c>
      <c r="D7" s="5"/>
    </row>
    <row r="8" spans="2:4" hidden="1" outlineLevel="1" x14ac:dyDescent="0.25"/>
    <row r="9" spans="2:4" hidden="1" outlineLevel="1" x14ac:dyDescent="0.25">
      <c r="B9" s="20" t="s">
        <v>9</v>
      </c>
      <c r="C9" s="21"/>
      <c r="D9" s="22"/>
    </row>
    <row r="10" spans="2:4" hidden="1" outlineLevel="1" x14ac:dyDescent="0.25">
      <c r="B10" s="1" t="s">
        <v>10</v>
      </c>
      <c r="C10" s="5" t="str" cm="1">
        <f t="array" aca="1" ref="C10" ca="1">_xll.VIEW(db_name&amp;":}ElementAttributes_variables","!","!")</f>
        <v>dcceew_geus:}ElementAttributes_variables</v>
      </c>
      <c r="D10" s="5"/>
    </row>
    <row r="11" spans="2:4" hidden="1" outlineLevel="1" x14ac:dyDescent="0.25">
      <c r="B11" s="1"/>
      <c r="C11" s="5" t="s">
        <v>0</v>
      </c>
      <c r="D11" s="5" t="s">
        <v>35</v>
      </c>
    </row>
    <row r="12" spans="2:4" hidden="1" outlineLevel="1" x14ac:dyDescent="0.25">
      <c r="B12" s="1" t="s">
        <v>11</v>
      </c>
      <c r="C12" s="5" t="str" cm="1">
        <f t="array" aca="1" ref="C12" ca="1">_xll.DBR($C$10,$B12,C$11)</f>
        <v>*KEY_ERR</v>
      </c>
      <c r="D12" s="5"/>
    </row>
    <row r="13" spans="2:4" hidden="1" outlineLevel="1" x14ac:dyDescent="0.25">
      <c r="B13" s="1" t="s">
        <v>12</v>
      </c>
      <c r="C13" s="5" t="str" cm="1">
        <f t="array" aca="1" ref="C13" ca="1">_xll.DBR($C$10,$B13,C$11)</f>
        <v>*KEY_ERR</v>
      </c>
      <c r="D13" s="5"/>
    </row>
    <row r="14" spans="2:4" hidden="1" outlineLevel="1" x14ac:dyDescent="0.25">
      <c r="B14" s="1" t="s">
        <v>13</v>
      </c>
      <c r="C14" s="5" t="str" cm="1">
        <f t="array" aca="1" ref="C14" ca="1">_xll.DBR($C$10,$B14,C$11)</f>
        <v>*KEY_ERR</v>
      </c>
      <c r="D14" s="5"/>
    </row>
    <row r="15" spans="2:4" hidden="1" outlineLevel="1" x14ac:dyDescent="0.25">
      <c r="B15" s="1" t="s">
        <v>14</v>
      </c>
      <c r="C15" s="5" t="str" cm="1">
        <f t="array" aca="1" ref="C15" ca="1">_xll.DBR($C$10,$B15,C$11)</f>
        <v>*KEY_ERR</v>
      </c>
      <c r="D15" s="5"/>
    </row>
    <row r="16" spans="2:4" hidden="1" outlineLevel="1" x14ac:dyDescent="0.25">
      <c r="B16" s="1" t="s">
        <v>15</v>
      </c>
      <c r="C16" s="5" t="str" cm="1">
        <f t="array" aca="1" ref="C16" ca="1">_xll.DBR($C$10,$B16,C$11)</f>
        <v>*KEY_ERR</v>
      </c>
      <c r="D16" s="5"/>
    </row>
    <row r="17" spans="2:4" hidden="1" outlineLevel="1" x14ac:dyDescent="0.25">
      <c r="B17" s="5" t="s">
        <v>1</v>
      </c>
      <c r="C17" s="5" t="str" cm="1">
        <f t="array" aca="1" ref="C17" ca="1">_xll.DBR($C$10,$B17,C$11)</f>
        <v>*KEY_ERR</v>
      </c>
      <c r="D17" s="5"/>
    </row>
    <row r="18" spans="2:4" hidden="1" outlineLevel="1" x14ac:dyDescent="0.25"/>
    <row r="19" spans="2:4" hidden="1" outlineLevel="1" x14ac:dyDescent="0.25"/>
    <row r="20" spans="2:4" hidden="1" outlineLevel="1" x14ac:dyDescent="0.25"/>
    <row r="21" spans="2:4" hidden="1" outlineLevel="1" x14ac:dyDescent="0.25"/>
    <row r="22" spans="2:4" hidden="1" outlineLevel="1" x14ac:dyDescent="0.25">
      <c r="B22" s="20" t="s">
        <v>16</v>
      </c>
      <c r="C22" s="21"/>
      <c r="D22" s="22"/>
    </row>
    <row r="23" spans="2:4" hidden="1" outlineLevel="1" x14ac:dyDescent="0.25">
      <c r="B23" s="1" t="s">
        <v>10</v>
      </c>
      <c r="C23" s="5" t="str" cm="1">
        <f t="array" aca="1" ref="C23" ca="1">_xll.VIEW(db_name&amp;":sys_client preference","!","!","!")</f>
        <v>dcceew_geus:sys_client preference</v>
      </c>
      <c r="D23" s="5"/>
    </row>
    <row r="24" spans="2:4" hidden="1" outlineLevel="1" x14ac:dyDescent="0.25">
      <c r="B24" s="1" t="s">
        <v>17</v>
      </c>
      <c r="C24" s="5" t="str" cm="1">
        <f t="array" aca="1" ref="C24" ca="1">_xll.DBR($C$23,psUser,$B24,"value")</f>
        <v>*KEY_ERR</v>
      </c>
      <c r="D24" s="5"/>
    </row>
    <row r="25" spans="2:4" hidden="1" outlineLevel="1" x14ac:dyDescent="0.25">
      <c r="B25" s="1" t="s">
        <v>18</v>
      </c>
      <c r="C25" s="5" t="str" cm="1">
        <f t="array" aca="1" ref="C25" ca="1">_xll.DBR($C$23,psUser,$B25,"value")</f>
        <v>*KEY_ERR</v>
      </c>
      <c r="D25" s="5"/>
    </row>
    <row r="26" spans="2:4" hidden="1" outlineLevel="1" x14ac:dyDescent="0.25">
      <c r="B26" s="1" t="s">
        <v>19</v>
      </c>
      <c r="C26" s="5" t="str" cm="1">
        <f t="array" aca="1" ref="C26" ca="1">_xll.DBR($C$23,psUser,$B26,"value")</f>
        <v>*KEY_ERR</v>
      </c>
      <c r="D26" s="5"/>
    </row>
    <row r="27" spans="2:4" hidden="1" outlineLevel="1" x14ac:dyDescent="0.25">
      <c r="B27" s="1" t="s">
        <v>20</v>
      </c>
      <c r="C27" s="5" t="str" cm="1">
        <f t="array" aca="1" ref="C27" ca="1">_xll.DBR($C$23,psUser,$B27,"value")</f>
        <v>*KEY_ERR</v>
      </c>
      <c r="D27" s="5"/>
    </row>
    <row r="28" spans="2:4" hidden="1" outlineLevel="1" x14ac:dyDescent="0.25">
      <c r="B28" s="1" t="s">
        <v>21</v>
      </c>
      <c r="C28" s="5" t="s">
        <v>22</v>
      </c>
      <c r="D28" s="5"/>
    </row>
    <row r="29" spans="2:4" hidden="1" outlineLevel="1" x14ac:dyDescent="0.25"/>
    <row r="30" spans="2:4" hidden="1" outlineLevel="1" x14ac:dyDescent="0.25">
      <c r="B30" s="20" t="s">
        <v>23</v>
      </c>
      <c r="C30" s="21"/>
      <c r="D30" s="22"/>
    </row>
    <row r="31" spans="2:4" hidden="1" outlineLevel="1" x14ac:dyDescent="0.25">
      <c r="B31" s="5" t="s">
        <v>24</v>
      </c>
      <c r="C31" s="6" t="str">
        <f ca="1">_xll.VIEW(db_name&amp;":sys_application","!","!")</f>
        <v>dcceew_geus:sys_application</v>
      </c>
      <c r="D31" s="6"/>
    </row>
    <row r="32" spans="2:4" hidden="1" outlineLevel="1" x14ac:dyDescent="0.25">
      <c r="B32" s="1" t="s">
        <v>34</v>
      </c>
      <c r="C32" t="s">
        <v>87</v>
      </c>
      <c r="D32" s="6"/>
    </row>
    <row r="33" spans="2:14" hidden="1" outlineLevel="1" x14ac:dyDescent="0.25">
      <c r="C33" s="6" t="s">
        <v>25</v>
      </c>
      <c r="D33" s="6" t="s">
        <v>26</v>
      </c>
      <c r="E33" s="6" t="s">
        <v>27</v>
      </c>
      <c r="F33" s="6" t="s">
        <v>28</v>
      </c>
      <c r="G33" s="6" t="s">
        <v>29</v>
      </c>
      <c r="H33" s="6" t="s">
        <v>30</v>
      </c>
    </row>
    <row r="34" spans="2:14" hidden="1" outlineLevel="1" x14ac:dyDescent="0.25">
      <c r="B34" s="5" t="s">
        <v>31</v>
      </c>
      <c r="C34" s="5" t="str" cm="1">
        <f t="array" aca="1" ref="C34" ca="1">_xll.DBR($C$31,$B34,C$33)</f>
        <v>*KEY_ERR</v>
      </c>
      <c r="D34" s="5" t="str" cm="1">
        <f t="array" aca="1" ref="D34" ca="1">_xll.DBR($C$31,$B34,D$33)</f>
        <v>*KEY_ERR</v>
      </c>
      <c r="E34" s="5" t="str" cm="1">
        <f t="array" aca="1" ref="E34" ca="1">_xll.DBR($C$31,$B34,E$33)</f>
        <v>*KEY_ERR</v>
      </c>
      <c r="F34" s="5" t="str" cm="1">
        <f t="array" aca="1" ref="F34" ca="1">_xll.DBR($C$31,$B34,F$33)</f>
        <v>*KEY_ERR</v>
      </c>
      <c r="G34" s="5" t="str" cm="1">
        <f t="array" aca="1" ref="G34" ca="1">_xll.DBR($C$31,$B34,G$33)</f>
        <v>*KEY_ERR</v>
      </c>
      <c r="H34" s="5" t="str" cm="1">
        <f t="array" aca="1" ref="H34" ca="1">_xll.DBR($C$31,$B34,H$33)</f>
        <v>*KEY_ERR</v>
      </c>
    </row>
    <row r="35" spans="2:14" hidden="1" outlineLevel="1" x14ac:dyDescent="0.25">
      <c r="B35" s="5" t="s">
        <v>32</v>
      </c>
      <c r="C35" s="5" t="str" cm="1">
        <f t="array" aca="1" ref="C35" ca="1">_xll.DBR($C$31,$B35,C$33)</f>
        <v>*KEY_ERR</v>
      </c>
      <c r="D35" s="5" t="str" cm="1">
        <f t="array" aca="1" ref="D35" ca="1">_xll.DBR($C$31,$B35,D$33)</f>
        <v>*KEY_ERR</v>
      </c>
      <c r="E35" s="5" t="str" cm="1">
        <f t="array" aca="1" ref="E35" ca="1">_xll.DBR($C$31,$B35,E$33)</f>
        <v>*KEY_ERR</v>
      </c>
      <c r="F35" s="5" t="str" cm="1">
        <f t="array" aca="1" ref="F35" ca="1">_xll.DBR($C$31,$B35,F$33)</f>
        <v>*KEY_ERR</v>
      </c>
      <c r="G35" s="5" t="str" cm="1">
        <f t="array" aca="1" ref="G35" ca="1">_xll.DBR($C$31,$B35,G$33)</f>
        <v>*KEY_ERR</v>
      </c>
      <c r="H35" s="5" t="str" cm="1">
        <f t="array" aca="1" ref="H35" ca="1">_xll.DBR($C$31,$B35,H$33)</f>
        <v>*KEY_ERR</v>
      </c>
    </row>
    <row r="36" spans="2:14" hidden="1" outlineLevel="1" x14ac:dyDescent="0.25">
      <c r="B36" s="5" t="s">
        <v>33</v>
      </c>
      <c r="C36" s="5" t="str" cm="1">
        <f t="array" aca="1" ref="C36" ca="1">_xll.DBR($C$31,$B36,C$33)</f>
        <v>*KEY_ERR</v>
      </c>
      <c r="D36" s="5" t="str" cm="1">
        <f t="array" aca="1" ref="D36" ca="1">_xll.DBR($C$31,$B36,D$33)</f>
        <v>*KEY_ERR</v>
      </c>
      <c r="E36" s="5" t="str" cm="1">
        <f t="array" aca="1" ref="E36" ca="1">_xll.DBR($C$31,$B36,E$33)</f>
        <v>*KEY_ERR</v>
      </c>
      <c r="F36" s="5" t="str" cm="1">
        <f t="array" aca="1" ref="F36" ca="1">_xll.DBR($C$31,$B36,F$33)</f>
        <v>*KEY_ERR</v>
      </c>
      <c r="G36" s="5" t="str" cm="1">
        <f t="array" aca="1" ref="G36" ca="1">_xll.DBR($C$31,$B36,G$33)</f>
        <v>*KEY_ERR</v>
      </c>
      <c r="H36" s="5" t="str" cm="1">
        <f t="array" aca="1" ref="H36" ca="1">_xll.DBR($C$31,$B36,H$33)</f>
        <v>*KEY_ERR</v>
      </c>
    </row>
    <row r="37" spans="2:14" hidden="1" outlineLevel="1" x14ac:dyDescent="0.25">
      <c r="B37" s="5" t="s">
        <v>85</v>
      </c>
      <c r="C37" s="5" t="str" cm="1">
        <f t="array" aca="1" ref="C37" ca="1">_xll.DBR($C$31,$B37,C$33)</f>
        <v>*KEY_ERR</v>
      </c>
      <c r="D37" s="5" t="str" cm="1">
        <f t="array" aca="1" ref="D37" ca="1">_xll.DBR($C$31,$B37,D$33)</f>
        <v>*KEY_ERR</v>
      </c>
      <c r="E37" s="5" t="str" cm="1">
        <f t="array" aca="1" ref="E37" ca="1">_xll.DBR($C$31,$B37,E$33)</f>
        <v>*KEY_ERR</v>
      </c>
      <c r="F37" s="5" t="str" cm="1">
        <f t="array" aca="1" ref="F37" ca="1">_xll.DBR($C$31,$B37,F$33)</f>
        <v>*KEY_ERR</v>
      </c>
      <c r="G37" s="5" t="str" cm="1">
        <f t="array" aca="1" ref="G37" ca="1">_xll.DBR($C$31,$B37,G$33)</f>
        <v>*KEY_ERR</v>
      </c>
      <c r="H37" s="5" t="str" cm="1">
        <f t="array" aca="1" ref="H37" ca="1">_xll.DBR($C$31,$B37,H$33)</f>
        <v>*KEY_ERR</v>
      </c>
    </row>
    <row r="38" spans="2:14" hidden="1" outlineLevel="1" x14ac:dyDescent="0.25">
      <c r="B38" s="5" t="s">
        <v>86</v>
      </c>
      <c r="C38" s="5" t="str" cm="1">
        <f t="array" aca="1" ref="C38" ca="1">_xll.DBR($C$31,$B38,C$33)</f>
        <v>*KEY_ERR</v>
      </c>
      <c r="D38" s="5" t="str" cm="1">
        <f t="array" aca="1" ref="D38" ca="1">_xll.DBR($C$31,$B38,D$33)</f>
        <v>*KEY_ERR</v>
      </c>
      <c r="E38" s="5" t="str" cm="1">
        <f t="array" aca="1" ref="E38" ca="1">_xll.DBR($C$31,$B38,E$33)</f>
        <v>*KEY_ERR</v>
      </c>
      <c r="F38" s="5" t="str" cm="1">
        <f t="array" aca="1" ref="F38" ca="1">_xll.DBR($C$31,$B38,F$33)</f>
        <v>*KEY_ERR</v>
      </c>
      <c r="G38" s="5" t="str" cm="1">
        <f t="array" aca="1" ref="G38" ca="1">_xll.DBR($C$31,$B38,G$33)</f>
        <v>*KEY_ERR</v>
      </c>
      <c r="H38" s="5" t="str" cm="1">
        <f t="array" aca="1" ref="H38" ca="1">_xll.DBR($C$31,$B38,H$33)</f>
        <v>*KEY_ERR</v>
      </c>
    </row>
    <row r="39" spans="2:14" hidden="1" outlineLevel="1" x14ac:dyDescent="0.25">
      <c r="B39" s="5" t="s">
        <v>87</v>
      </c>
      <c r="C39" s="5" t="str" cm="1">
        <f t="array" aca="1" ref="C39" ca="1">_xll.DBR($C$31,$B39,C$33)</f>
        <v>*KEY_ERR</v>
      </c>
      <c r="D39" s="5" t="str" cm="1">
        <f t="array" aca="1" ref="D39" ca="1">_xll.DBR($C$31,$B39,D$33)</f>
        <v>*KEY_ERR</v>
      </c>
      <c r="E39" s="5" t="str" cm="1">
        <f t="array" aca="1" ref="E39" ca="1">_xll.DBR($C$31,$B39,E$33)</f>
        <v>*KEY_ERR</v>
      </c>
      <c r="F39" s="5" t="str" cm="1">
        <f t="array" aca="1" ref="F39" ca="1">_xll.DBR($C$31,$B39,F$33)</f>
        <v>*KEY_ERR</v>
      </c>
      <c r="G39" s="5" t="str" cm="1">
        <f t="array" aca="1" ref="G39" ca="1">_xll.DBR($C$31,$B39,G$33)</f>
        <v>*KEY_ERR</v>
      </c>
      <c r="H39" s="5" t="str" cm="1">
        <f t="array" aca="1" ref="H39" ca="1">_xll.DBR($C$31,$B39,H$33)</f>
        <v>*KEY_ERR</v>
      </c>
    </row>
    <row r="40" spans="2:14" hidden="1" outlineLevel="1" x14ac:dyDescent="0.25"/>
    <row r="41" spans="2:14" hidden="1" outlineLevel="1" x14ac:dyDescent="0.25"/>
    <row r="42" spans="2:14" hidden="1" outlineLevel="1" x14ac:dyDescent="0.25"/>
    <row r="43" spans="2:14" hidden="1" outlineLevel="1" x14ac:dyDescent="0.25"/>
    <row r="44" spans="2:14" hidden="1" outlineLevel="1" x14ac:dyDescent="0.25"/>
    <row r="45" spans="2:14" hidden="1" outlineLevel="1" x14ac:dyDescent="0.25"/>
    <row r="46" spans="2:14" hidden="1" outlineLevel="1" x14ac:dyDescent="0.25"/>
    <row r="47" spans="2:14" ht="39.950000000000003" customHeight="1" collapsed="1" x14ac:dyDescent="0.25">
      <c r="I47" s="7"/>
      <c r="J47" s="7"/>
      <c r="K47" s="7"/>
      <c r="L47" s="7"/>
      <c r="M47" s="7"/>
      <c r="N47" s="7" t="s">
        <v>84</v>
      </c>
    </row>
    <row r="48" spans="2:14" ht="4.5" customHeight="1" x14ac:dyDescent="0.25"/>
    <row r="49" spans="2:14" ht="24" customHeight="1" x14ac:dyDescent="0.25"/>
    <row r="50" spans="2:14" ht="1.5" customHeight="1" x14ac:dyDescent="0.25">
      <c r="I50" s="7"/>
      <c r="J50" s="7"/>
      <c r="K50" s="7"/>
      <c r="L50" s="7"/>
      <c r="M50" s="7"/>
      <c r="N50" s="7"/>
    </row>
    <row r="51" spans="2:14" ht="4.5" customHeight="1" x14ac:dyDescent="0.25"/>
    <row r="52" spans="2:14" x14ac:dyDescent="0.25">
      <c r="J52" s="19" t="s">
        <v>73</v>
      </c>
      <c r="K52" s="19"/>
      <c r="L52" s="19"/>
    </row>
    <row r="53" spans="2:14" x14ac:dyDescent="0.25">
      <c r="J53" s="19" t="s">
        <v>74</v>
      </c>
      <c r="K53" s="19"/>
      <c r="L53" s="19"/>
    </row>
    <row r="54" spans="2:14" ht="4.5" customHeight="1" x14ac:dyDescent="0.25"/>
    <row r="55" spans="2:14" x14ac:dyDescent="0.25">
      <c r="B55" s="8" t="s">
        <v>36</v>
      </c>
      <c r="C55" s="8"/>
      <c r="D55" s="8"/>
      <c r="E55" s="8"/>
      <c r="F55" s="8"/>
      <c r="J55" s="11" t="s">
        <v>48</v>
      </c>
      <c r="L55" s="11" t="s">
        <v>49</v>
      </c>
      <c r="N55" s="11" t="s">
        <v>50</v>
      </c>
    </row>
    <row r="56" spans="2:14" ht="4.5" customHeight="1" x14ac:dyDescent="0.25">
      <c r="B56" s="16"/>
      <c r="C56" s="16"/>
      <c r="D56" s="16"/>
      <c r="E56" s="16"/>
      <c r="F56" s="16"/>
    </row>
    <row r="57" spans="2:14" x14ac:dyDescent="0.25">
      <c r="J57" s="18" t="s">
        <v>45</v>
      </c>
      <c r="K57" s="18"/>
      <c r="L57" s="18"/>
      <c r="M57" s="18"/>
      <c r="N57" s="18"/>
    </row>
    <row r="58" spans="2:14" ht="4.5" customHeight="1" x14ac:dyDescent="0.25"/>
    <row r="59" spans="2:14" ht="16.5" customHeight="1" x14ac:dyDescent="0.25">
      <c r="B59" t="s">
        <v>40</v>
      </c>
      <c r="J59" s="12" t="s">
        <v>46</v>
      </c>
      <c r="L59" s="17" t="str" cm="1">
        <f t="array" aca="1" ref="L59" ca="1">_xll.DBRW($C$10,$B59,$C$11)</f>
        <v>*KEY_ERR</v>
      </c>
      <c r="N59" s="14" t="s">
        <v>47</v>
      </c>
    </row>
    <row r="60" spans="2:14" ht="16.5" customHeight="1" x14ac:dyDescent="0.25">
      <c r="B60" t="s">
        <v>37</v>
      </c>
      <c r="J60" s="12" t="s">
        <v>60</v>
      </c>
      <c r="L60" s="17" t="str" cm="1">
        <f t="array" aca="1" ref="L60" ca="1">_xll.DBRW($C$10,$B60,$C$11)</f>
        <v>*KEY_ERR</v>
      </c>
      <c r="N60" s="14" t="s">
        <v>61</v>
      </c>
    </row>
    <row r="61" spans="2:14" x14ac:dyDescent="0.25">
      <c r="B61" t="s">
        <v>11</v>
      </c>
      <c r="J61" s="12" t="s">
        <v>51</v>
      </c>
      <c r="L61" s="17" t="str" cm="1">
        <f t="array" aca="1" ref="L61" ca="1">_xll.DBRW($C$10,$B61,$C$11)</f>
        <v>*KEY_ERR</v>
      </c>
      <c r="N61" s="15" t="s">
        <v>53</v>
      </c>
    </row>
    <row r="62" spans="2:14" x14ac:dyDescent="0.25">
      <c r="B62" t="s">
        <v>12</v>
      </c>
      <c r="J62" s="12" t="s">
        <v>52</v>
      </c>
      <c r="L62" s="17" t="str" cm="1">
        <f t="array" aca="1" ref="L62" ca="1">_xll.DBRW($C$10,$B62,$C$11)</f>
        <v>*KEY_ERR</v>
      </c>
      <c r="N62" s="15" t="s">
        <v>54</v>
      </c>
    </row>
    <row r="63" spans="2:14" ht="24" x14ac:dyDescent="0.25">
      <c r="B63" t="s">
        <v>41</v>
      </c>
      <c r="J63" s="12" t="s">
        <v>56</v>
      </c>
      <c r="L63" s="17" t="str" cm="1">
        <f t="array" aca="1" ref="L63" ca="1">_xll.DBRW($C$10,$B63,$C$11)</f>
        <v>*KEY_ERR</v>
      </c>
      <c r="N63" s="14" t="s">
        <v>55</v>
      </c>
    </row>
    <row r="64" spans="2:14" x14ac:dyDescent="0.25">
      <c r="B64" t="s">
        <v>13</v>
      </c>
      <c r="J64" s="12" t="s">
        <v>57</v>
      </c>
      <c r="L64" s="17" t="str" cm="1">
        <f t="array" aca="1" ref="L64" ca="1">_xll.DBRW($C$10,$B64,$C$11)</f>
        <v>*KEY_ERR</v>
      </c>
      <c r="N64" s="14" t="s">
        <v>59</v>
      </c>
    </row>
    <row r="65" spans="2:14" x14ac:dyDescent="0.25">
      <c r="B65" t="s">
        <v>14</v>
      </c>
      <c r="J65" s="12" t="s">
        <v>58</v>
      </c>
      <c r="L65" s="17" t="str" cm="1">
        <f t="array" aca="1" ref="L65" ca="1">_xll.DBRW($C$10,$B65,$C$11)</f>
        <v>*KEY_ERR</v>
      </c>
      <c r="N65" s="14" t="s">
        <v>59</v>
      </c>
    </row>
    <row r="66" spans="2:14" ht="4.5" customHeight="1" x14ac:dyDescent="0.25">
      <c r="J66" s="9"/>
      <c r="K66" s="9"/>
      <c r="L66" s="9"/>
      <c r="M66" s="9"/>
      <c r="N66" s="10"/>
    </row>
    <row r="67" spans="2:14" x14ac:dyDescent="0.25">
      <c r="J67" s="18" t="s">
        <v>62</v>
      </c>
      <c r="K67" s="18"/>
      <c r="L67" s="18"/>
      <c r="M67" s="18"/>
      <c r="N67" s="18"/>
    </row>
    <row r="68" spans="2:14" ht="4.5" customHeight="1" x14ac:dyDescent="0.25"/>
    <row r="69" spans="2:14" x14ac:dyDescent="0.25">
      <c r="B69" t="s">
        <v>38</v>
      </c>
      <c r="J69" s="12" t="s">
        <v>63</v>
      </c>
      <c r="L69" s="13" t="str" cm="1">
        <f t="array" aca="1" ref="L69" ca="1">_xll.DBRW($C$10,$B69,$C$11)</f>
        <v>*KEY_ERR</v>
      </c>
      <c r="N69" s="14" t="s">
        <v>68</v>
      </c>
    </row>
    <row r="70" spans="2:14" x14ac:dyDescent="0.25">
      <c r="B70" t="s">
        <v>75</v>
      </c>
      <c r="J70" s="12" t="s">
        <v>78</v>
      </c>
      <c r="L70" s="13" t="str" cm="1">
        <f t="array" aca="1" ref="L70" ca="1">_xll.DBRW($C$10,$B70,$C$11)</f>
        <v>*KEY_ERR</v>
      </c>
      <c r="N70" s="14" t="s">
        <v>81</v>
      </c>
    </row>
    <row r="71" spans="2:14" x14ac:dyDescent="0.25">
      <c r="B71" t="s">
        <v>39</v>
      </c>
      <c r="J71" s="12" t="s">
        <v>64</v>
      </c>
      <c r="L71" s="13" t="str" cm="1">
        <f t="array" aca="1" ref="L71" ca="1">_xll.DBRW($C$10,$B71,$C$11)</f>
        <v>*KEY_ERR</v>
      </c>
      <c r="N71" s="14" t="s">
        <v>69</v>
      </c>
    </row>
    <row r="72" spans="2:14" x14ac:dyDescent="0.25">
      <c r="B72" t="s">
        <v>76</v>
      </c>
      <c r="J72" s="12" t="s">
        <v>79</v>
      </c>
      <c r="L72" s="13" t="str" cm="1">
        <f t="array" aca="1" ref="L72" ca="1">_xll.DBRW($C$10,$B72,$C$11)</f>
        <v>*KEY_ERR</v>
      </c>
      <c r="N72" s="14" t="s">
        <v>82</v>
      </c>
    </row>
    <row r="73" spans="2:14" x14ac:dyDescent="0.25">
      <c r="B73" t="s">
        <v>42</v>
      </c>
      <c r="J73" s="12" t="s">
        <v>65</v>
      </c>
      <c r="L73" s="13" t="str" cm="1">
        <f t="array" aca="1" ref="L73" ca="1">_xll.DBRW($C$10,$B73,$C$11)</f>
        <v>*KEY_ERR</v>
      </c>
      <c r="N73" s="14" t="s">
        <v>70</v>
      </c>
    </row>
    <row r="74" spans="2:14" hidden="1" x14ac:dyDescent="0.25">
      <c r="B74" t="s">
        <v>77</v>
      </c>
      <c r="J74" s="12" t="s">
        <v>80</v>
      </c>
      <c r="L74" s="13" t="str" cm="1">
        <f t="array" aca="1" ref="L74" ca="1">_xll.DBRW($C$10,$B74,$C$11)</f>
        <v>*KEY_ERR</v>
      </c>
      <c r="N74" s="14" t="s">
        <v>83</v>
      </c>
    </row>
    <row r="75" spans="2:14" x14ac:dyDescent="0.25">
      <c r="B75" t="s">
        <v>43</v>
      </c>
      <c r="J75" s="12" t="s">
        <v>66</v>
      </c>
      <c r="L75" s="13" t="str" cm="1">
        <f t="array" aca="1" ref="L75" ca="1">_xll.DBRW($C$10,$B75,$C$11)</f>
        <v>*KEY_ERR</v>
      </c>
      <c r="N75" s="14" t="s">
        <v>71</v>
      </c>
    </row>
    <row r="76" spans="2:14" x14ac:dyDescent="0.25">
      <c r="B76" t="s">
        <v>44</v>
      </c>
      <c r="J76" s="12" t="s">
        <v>67</v>
      </c>
      <c r="L76" s="13" t="str" cm="1">
        <f t="array" aca="1" ref="L76" ca="1">_xll.DBRW($C$10,$B76,$C$11)</f>
        <v>*KEY_ERR</v>
      </c>
      <c r="N76" s="14" t="s">
        <v>72</v>
      </c>
    </row>
    <row r="77" spans="2:14" ht="4.5" customHeight="1" x14ac:dyDescent="0.25">
      <c r="J77" s="9"/>
      <c r="K77" s="9"/>
      <c r="L77" s="9"/>
      <c r="M77" s="9"/>
      <c r="N77" s="10"/>
    </row>
  </sheetData>
  <sheetProtection sheet="1" objects="1" scenarios="1"/>
  <mergeCells count="8">
    <mergeCell ref="J57:N57"/>
    <mergeCell ref="J67:N67"/>
    <mergeCell ref="J53:L53"/>
    <mergeCell ref="B1:D1"/>
    <mergeCell ref="B9:D9"/>
    <mergeCell ref="B22:D22"/>
    <mergeCell ref="B30:D30"/>
    <mergeCell ref="J52:L52"/>
  </mergeCells>
  <pageMargins left="0.70866141732283472" right="0.70866141732283472" top="0.74803149606299213" bottom="0.74803149606299213" header="0.31496062992125984" footer="0.31496062992125984"/>
  <pageSetup paperSize="9" scale="48" fitToHeight="0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30" r:id="rId4" name="TIButton6">
          <controlPr defaultSize="0" print="0" autoLine="0" r:id="rId5">
            <anchor moveWithCells="1" sizeWithCells="1">
              <from>
                <xdr:col>9</xdr:col>
                <xdr:colOff>1952625</xdr:colOff>
                <xdr:row>48</xdr:row>
                <xdr:rowOff>28575</xdr:rowOff>
              </from>
              <to>
                <xdr:col>11</xdr:col>
                <xdr:colOff>1009650</xdr:colOff>
                <xdr:row>48</xdr:row>
                <xdr:rowOff>276225</xdr:rowOff>
              </to>
            </anchor>
          </controlPr>
        </control>
      </mc:Choice>
      <mc:Fallback>
        <control shapeId="1030" r:id="rId4" name="TIButton6"/>
      </mc:Fallback>
    </mc:AlternateContent>
    <mc:AlternateContent xmlns:mc="http://schemas.openxmlformats.org/markup-compatibility/2006">
      <mc:Choice Requires="x14">
        <control shapeId="1025" r:id="rId6" name="TIButton1">
          <controlPr defaultSize="0" print="0" autoLine="0" r:id="rId7">
            <anchor moveWithCells="1" sizeWithCells="1">
              <from>
                <xdr:col>9</xdr:col>
                <xdr:colOff>57150</xdr:colOff>
                <xdr:row>48</xdr:row>
                <xdr:rowOff>28575</xdr:rowOff>
              </from>
              <to>
                <xdr:col>9</xdr:col>
                <xdr:colOff>695325</xdr:colOff>
                <xdr:row>48</xdr:row>
                <xdr:rowOff>276225</xdr:rowOff>
              </to>
            </anchor>
          </controlPr>
        </control>
      </mc:Choice>
      <mc:Fallback>
        <control shapeId="1025" r:id="rId6" name="TIButton1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r:id="rId9">
            <anchor moveWithCells="1" sizeWithCells="1">
              <from>
                <xdr:col>11</xdr:col>
                <xdr:colOff>1038225</xdr:colOff>
                <xdr:row>48</xdr:row>
                <xdr:rowOff>28575</xdr:rowOff>
              </from>
              <to>
                <xdr:col>11</xdr:col>
                <xdr:colOff>2171700</xdr:colOff>
                <xdr:row>48</xdr:row>
                <xdr:rowOff>276225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7" r:id="rId10" name="TIButton4">
          <controlPr defaultSize="0" print="0" autoLine="0" r:id="rId11">
            <anchor moveWithCells="1" sizeWithCells="1">
              <from>
                <xdr:col>11</xdr:col>
                <xdr:colOff>2228850</xdr:colOff>
                <xdr:row>48</xdr:row>
                <xdr:rowOff>28575</xdr:rowOff>
              </from>
              <to>
                <xdr:col>11</xdr:col>
                <xdr:colOff>3009900</xdr:colOff>
                <xdr:row>48</xdr:row>
                <xdr:rowOff>276225</xdr:rowOff>
              </to>
            </anchor>
          </controlPr>
        </control>
      </mc:Choice>
      <mc:Fallback>
        <control shapeId="1027" r:id="rId10" name="TIButton4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r:id="rId13">
            <anchor moveWithCells="1" sizeWithCells="1">
              <from>
                <xdr:col>13</xdr:col>
                <xdr:colOff>6715125</xdr:colOff>
                <xdr:row>47</xdr:row>
                <xdr:rowOff>28575</xdr:rowOff>
              </from>
              <to>
                <xdr:col>13</xdr:col>
                <xdr:colOff>7029450</xdr:colOff>
                <xdr:row>48</xdr:row>
                <xdr:rowOff>285750</xdr:rowOff>
              </to>
            </anchor>
          </controlPr>
        </control>
      </mc:Choice>
      <mc:Fallback>
        <control shapeId="1029" r:id="rId12" name="TIButton5"/>
      </mc:Fallback>
    </mc:AlternateContent>
    <mc:AlternateContent xmlns:mc="http://schemas.openxmlformats.org/markup-compatibility/2006">
      <mc:Choice Requires="x14">
        <control shapeId="1031" r:id="rId14" name="TIButton3">
          <controlPr defaultSize="0" print="0" autoLine="0" r:id="rId15">
            <anchor moveWithCells="1" sizeWithCells="1">
              <from>
                <xdr:col>9</xdr:col>
                <xdr:colOff>733425</xdr:colOff>
                <xdr:row>48</xdr:row>
                <xdr:rowOff>28575</xdr:rowOff>
              </from>
              <to>
                <xdr:col>9</xdr:col>
                <xdr:colOff>1914525</xdr:colOff>
                <xdr:row>48</xdr:row>
                <xdr:rowOff>276225</xdr:rowOff>
              </to>
            </anchor>
          </controlPr>
        </control>
      </mc:Choice>
      <mc:Fallback>
        <control shapeId="1031" r:id="rId14" name="TIButton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setup</vt:lpstr>
      <vt:lpstr>db_name</vt:lpstr>
      <vt:lpstr>psApp</vt:lpstr>
      <vt:lpstr>psUser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TM1IndexFE3MapCAP</vt:lpstr>
      <vt:lpstr>TM1IndexFE3MapWB</vt:lpstr>
      <vt:lpstr>TM1IndexFE3MapWS</vt:lpstr>
      <vt:lpstr>TM1IndexRatesCAP</vt:lpstr>
      <vt:lpstr>TM1IndexRatesWB</vt:lpstr>
      <vt:lpstr>TM1IndexRatesWS</vt:lpstr>
      <vt:lpstr>TM1IndexSetupCAP</vt:lpstr>
      <vt:lpstr>TM1IndexSetupWB</vt:lpstr>
      <vt:lpstr>TM1IndexSetupWS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2019-08-29T12:39:39Z</cp:lastPrinted>
  <dcterms:created xsi:type="dcterms:W3CDTF">2019-08-29T08:51:24Z</dcterms:created>
  <dcterms:modified xsi:type="dcterms:W3CDTF">2025-08-05T04:29:03Z</dcterms:modified>
</cp:coreProperties>
</file>