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6.xml" ContentType="application/vnd.ms-office.activeX+xml"/>
  <Override PartName="/xl/activeX/activeX5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720E1B58-4ABB-4ABB-BB86-4517EC3D3679}" xr6:coauthVersionLast="47" xr6:coauthVersionMax="47" xr10:uidLastSave="{00000000-0000-0000-0000-000000000000}"/>
  <bookViews>
    <workbookView xWindow="29580" yWindow="780" windowWidth="21600" windowHeight="11385" xr2:uid="{00000000-000D-0000-FFFF-FFFF00000000}"/>
  </bookViews>
  <sheets>
    <sheet name="view measure" sheetId="1" r:id="rId1"/>
    <sheet name="{PL}PickLst" sheetId="2" state="hidden" r:id="rId2"/>
  </sheets>
  <definedNames>
    <definedName name="db_name">'view measure'!$C$12</definedName>
    <definedName name="psApp">'view measure'!$C$21</definedName>
    <definedName name="psHLYear">'view measure'!$C$54</definedName>
    <definedName name="psMeasCode">'view measure'!$C$56</definedName>
    <definedName name="psProgDimName">'view measure'!$C$42</definedName>
    <definedName name="psScenario">'view measure'!$C$55</definedName>
    <definedName name="psUser">'view measure'!$C$14</definedName>
    <definedName name="TM1BulkProcessCAP">'view measure'!$D$28</definedName>
    <definedName name="TM1BulkProcessWB">'view measure'!$F$28</definedName>
    <definedName name="TM1BulkProcessWS">'view measure'!$H$28</definedName>
    <definedName name="TM1EditMeas01CAP">'view measure'!$D$34</definedName>
    <definedName name="TM1EditMeas01WB">'view measure'!$F$34</definedName>
    <definedName name="TM1EditMeas01WS">'view measure'!$H$34</definedName>
    <definedName name="TM1HomeAECAP">'view measure'!$D$24</definedName>
    <definedName name="TM1HomeAEDataEntryCAP">'view measure'!$D$25</definedName>
    <definedName name="TM1HomeAEDataEntryWB">'view measure'!$F$25</definedName>
    <definedName name="TM1HomeAEDataEntryWS">'view measure'!$H$25</definedName>
    <definedName name="TM1HomeAEMeasuresCAP">'view measure'!$D$26</definedName>
    <definedName name="TM1HomeAEMeasuresWB">'view measure'!$F$26</definedName>
    <definedName name="TM1HomeAEMeasuresWS">'view measure'!$H$26</definedName>
    <definedName name="TM1HomeAEWB">'view measure'!$F$24</definedName>
    <definedName name="TM1HomeAEWS">'view measure'!$H$24</definedName>
    <definedName name="TM1HomeCAP">'view measure'!$D$23</definedName>
    <definedName name="TM1HomeRepCAP">'view measure'!$D$27</definedName>
    <definedName name="TM1HomeRepWB">'view measure'!$F$27</definedName>
    <definedName name="TM1HomeRepWS">'view measure'!$H$27</definedName>
    <definedName name="TM1HomeWB">'view measure'!$F$23</definedName>
    <definedName name="TM1HomeWS">'view measure'!$H$23</definedName>
    <definedName name="TM1MeasBulkCAP">'view measure'!$D$32</definedName>
    <definedName name="TM1MeasBulkWB">'view measure'!$F$32</definedName>
    <definedName name="TM1MeasBulkWS">'view measure'!$H$32</definedName>
    <definedName name="TM1MeasListCAP">'view measure'!$D$31</definedName>
    <definedName name="TM1MeasListWB">'view measure'!$F$31</definedName>
    <definedName name="TM1MeasListWS">'view measure'!$H$31</definedName>
    <definedName name="TM1NewMeas01HeaderCAP">'view measure'!$D$29</definedName>
    <definedName name="TM1NewMeas01HeaderWB">'view measure'!$F$29</definedName>
    <definedName name="TM1NewMeas01HeaderWS">'view measure'!$H$29</definedName>
    <definedName name="TM1REBUILDOPTION">0</definedName>
    <definedName name="TM1RPTDATARNGARPT1" localSheetId="0">'view measure'!#REF!</definedName>
    <definedName name="TM1RPTDATARNGARPT2" localSheetId="0">'view measure'!#REF!</definedName>
    <definedName name="TM1RPTFMTIDCOL" localSheetId="0">'view measure'!$A$1:$A$8</definedName>
    <definedName name="TM1RPTFMTRNG" localSheetId="0">'view measure'!$E$1:$AL$8</definedName>
    <definedName name="TM1ViewMeas01HeaderCAP">'view measure'!$D$30</definedName>
    <definedName name="TM1ViewMeas01HeaderWB">'view measure'!$F$30</definedName>
    <definedName name="TM1ViewMeas01HeaderWS">'view measure'!$H$30</definedName>
    <definedName name="TM1ViewMeas02DetCAP">'view measure'!$D$33</definedName>
    <definedName name="TM1ViewMeas02DetWB">'view measure'!$F$33</definedName>
    <definedName name="TM1ViewMeas02DetWS">'view measure'!$H$33</definedName>
    <definedName name="TM1ViewMeas03AdjCAP">'view measure'!$D$35</definedName>
    <definedName name="TM1ViewMeas03AdjWB">'view measure'!$F$35</definedName>
    <definedName name="TM1ViewMeas03AdjWS">'view measure'!$H$35</definedName>
  </definedNames>
  <calcPr calcId="181029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3" i="1" l="1"/>
  <c r="C14" i="1"/>
  <c r="C56" i="1"/>
  <c r="B150" i="1"/>
  <c r="AK150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B148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B147" i="1"/>
  <c r="AK147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B146" i="1"/>
  <c r="AK146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B145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B144" i="1"/>
  <c r="AK144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B143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B140" i="1"/>
  <c r="AK140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B138" i="1"/>
  <c r="AK138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B137" i="1"/>
  <c r="AK137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B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B134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B133" i="1"/>
  <c r="AK133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B132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B131" i="1"/>
  <c r="AK131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C54" i="1"/>
  <c r="N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K99" i="1"/>
  <c r="C96" i="1"/>
  <c r="C55" i="1"/>
  <c r="C76" i="1"/>
  <c r="C93" i="1"/>
  <c r="D79" i="1"/>
  <c r="C79" i="1"/>
  <c r="C77" i="1"/>
  <c r="C73" i="1"/>
  <c r="C38" i="1"/>
  <c r="C42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20" i="1"/>
  <c r="D35" i="1"/>
  <c r="H35" i="1"/>
  <c r="G35" i="1"/>
  <c r="F35" i="1"/>
  <c r="E35" i="1"/>
  <c r="C35" i="1"/>
  <c r="H34" i="1"/>
  <c r="G34" i="1"/>
  <c r="F34" i="1"/>
  <c r="E34" i="1"/>
  <c r="D34" i="1"/>
  <c r="C34" i="1"/>
  <c r="P116" i="1"/>
  <c r="V116" i="1"/>
  <c r="C82" i="1"/>
  <c r="P120" i="1"/>
  <c r="C86" i="1"/>
  <c r="V118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C46" i="1"/>
  <c r="F135" i="1"/>
  <c r="C106" i="1"/>
  <c r="C135" i="1"/>
  <c r="F134" i="1"/>
  <c r="C134" i="1"/>
  <c r="AK161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F138" i="1"/>
  <c r="C138" i="1"/>
  <c r="AK160" i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F137" i="1"/>
  <c r="C137" i="1"/>
  <c r="F145" i="1"/>
  <c r="C105" i="1"/>
  <c r="C145" i="1"/>
  <c r="F147" i="1"/>
  <c r="C147" i="1"/>
  <c r="F148" i="1"/>
  <c r="C148" i="1"/>
  <c r="AK149" i="1"/>
  <c r="AK159" i="1"/>
  <c r="AJ149" i="1"/>
  <c r="AJ159" i="1"/>
  <c r="AI149" i="1"/>
  <c r="AI159" i="1"/>
  <c r="AH149" i="1"/>
  <c r="AH159" i="1"/>
  <c r="AG149" i="1"/>
  <c r="AG159" i="1"/>
  <c r="AF149" i="1"/>
  <c r="AF159" i="1"/>
  <c r="AE149" i="1"/>
  <c r="AE159" i="1"/>
  <c r="AD149" i="1"/>
  <c r="AD159" i="1"/>
  <c r="AC149" i="1"/>
  <c r="AC159" i="1"/>
  <c r="AB149" i="1"/>
  <c r="AB159" i="1"/>
  <c r="AA149" i="1"/>
  <c r="AA159" i="1"/>
  <c r="Z149" i="1"/>
  <c r="Z159" i="1"/>
  <c r="Y149" i="1"/>
  <c r="Y159" i="1"/>
  <c r="X149" i="1"/>
  <c r="X159" i="1"/>
  <c r="W149" i="1"/>
  <c r="W159" i="1"/>
  <c r="V149" i="1"/>
  <c r="V159" i="1"/>
  <c r="U149" i="1"/>
  <c r="U159" i="1"/>
  <c r="T149" i="1"/>
  <c r="T159" i="1"/>
  <c r="S149" i="1"/>
  <c r="S159" i="1"/>
  <c r="R149" i="1"/>
  <c r="R159" i="1"/>
  <c r="Q149" i="1"/>
  <c r="Q159" i="1"/>
  <c r="P149" i="1"/>
  <c r="P159" i="1"/>
  <c r="AK136" i="1"/>
  <c r="AK158" i="1"/>
  <c r="AJ136" i="1"/>
  <c r="AJ158" i="1"/>
  <c r="AI136" i="1"/>
  <c r="AI158" i="1"/>
  <c r="AH136" i="1"/>
  <c r="AH158" i="1"/>
  <c r="AG136" i="1"/>
  <c r="AG158" i="1"/>
  <c r="AF136" i="1"/>
  <c r="AF158" i="1"/>
  <c r="AE136" i="1"/>
  <c r="AE158" i="1"/>
  <c r="AD136" i="1"/>
  <c r="AD158" i="1"/>
  <c r="AC136" i="1"/>
  <c r="AC158" i="1"/>
  <c r="AB136" i="1"/>
  <c r="AB158" i="1"/>
  <c r="AA136" i="1"/>
  <c r="AA158" i="1"/>
  <c r="Z136" i="1"/>
  <c r="Z158" i="1"/>
  <c r="Y136" i="1"/>
  <c r="Y158" i="1"/>
  <c r="X136" i="1"/>
  <c r="X158" i="1"/>
  <c r="W136" i="1"/>
  <c r="W158" i="1"/>
  <c r="V136" i="1"/>
  <c r="V158" i="1"/>
  <c r="U136" i="1"/>
  <c r="U158" i="1"/>
  <c r="T136" i="1"/>
  <c r="T158" i="1"/>
  <c r="S136" i="1"/>
  <c r="S158" i="1"/>
  <c r="R136" i="1"/>
  <c r="R158" i="1"/>
  <c r="Q136" i="1"/>
  <c r="Q158" i="1"/>
  <c r="P136" i="1"/>
  <c r="P158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F146" i="1"/>
  <c r="C146" i="1"/>
  <c r="AK156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F133" i="1"/>
  <c r="C133" i="1"/>
  <c r="C100" i="1"/>
  <c r="C101" i="1"/>
  <c r="C99" i="1"/>
  <c r="E133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F132" i="1"/>
  <c r="C132" i="1"/>
  <c r="C47" i="1"/>
  <c r="E132" i="1"/>
  <c r="F144" i="1"/>
  <c r="C144" i="1"/>
  <c r="E144" i="1"/>
  <c r="AK154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F131" i="1"/>
  <c r="C131" i="1"/>
  <c r="C48" i="1"/>
  <c r="E131" i="1"/>
  <c r="F143" i="1"/>
  <c r="C143" i="1"/>
  <c r="E143" i="1"/>
  <c r="AK153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B149" i="1"/>
  <c r="C90" i="1"/>
  <c r="AA120" i="1"/>
  <c r="AF116" i="1"/>
  <c r="P118" i="1"/>
  <c r="C94" i="1"/>
  <c r="C92" i="1"/>
  <c r="C91" i="1"/>
  <c r="C89" i="1"/>
  <c r="C88" i="1"/>
  <c r="C87" i="1"/>
  <c r="C85" i="1"/>
  <c r="C84" i="1"/>
  <c r="C83" i="1"/>
  <c r="C81" i="1"/>
  <c r="C80" i="1"/>
  <c r="C149" i="1"/>
  <c r="C50" i="1"/>
  <c r="C49" i="1"/>
  <c r="C45" i="1"/>
  <c r="C44" i="1"/>
  <c r="C43" i="1"/>
  <c r="C41" i="1"/>
  <c r="C40" i="1"/>
  <c r="C39" i="1"/>
  <c r="H33" i="1"/>
  <c r="G33" i="1"/>
  <c r="F33" i="1"/>
  <c r="E33" i="1"/>
  <c r="D33" i="1"/>
  <c r="C33" i="1"/>
  <c r="H32" i="1"/>
  <c r="G32" i="1"/>
  <c r="F32" i="1"/>
  <c r="E32" i="1"/>
  <c r="D32" i="1"/>
  <c r="C32" i="1"/>
  <c r="H31" i="1"/>
  <c r="G31" i="1"/>
  <c r="F31" i="1"/>
  <c r="E31" i="1"/>
  <c r="D31" i="1"/>
  <c r="C31" i="1"/>
  <c r="H30" i="1"/>
  <c r="G30" i="1"/>
  <c r="F30" i="1"/>
  <c r="E30" i="1"/>
  <c r="D30" i="1"/>
  <c r="C30" i="1"/>
  <c r="H29" i="1"/>
  <c r="G29" i="1"/>
  <c r="F29" i="1"/>
  <c r="E29" i="1"/>
  <c r="D29" i="1"/>
  <c r="C29" i="1"/>
  <c r="H28" i="1"/>
  <c r="G28" i="1"/>
  <c r="F28" i="1"/>
  <c r="E28" i="1"/>
  <c r="D28" i="1"/>
  <c r="C28" i="1"/>
  <c r="H27" i="1"/>
  <c r="G27" i="1"/>
  <c r="F27" i="1"/>
  <c r="E27" i="1"/>
  <c r="D27" i="1"/>
  <c r="C27" i="1"/>
  <c r="H26" i="1"/>
  <c r="G26" i="1"/>
  <c r="F26" i="1"/>
  <c r="E26" i="1"/>
  <c r="D26" i="1"/>
  <c r="C26" i="1"/>
  <c r="H25" i="1"/>
  <c r="G25" i="1"/>
  <c r="F25" i="1"/>
  <c r="E25" i="1"/>
  <c r="D25" i="1"/>
  <c r="C25" i="1"/>
  <c r="H24" i="1"/>
  <c r="G24" i="1"/>
  <c r="F24" i="1"/>
  <c r="E24" i="1"/>
  <c r="D24" i="1"/>
  <c r="C24" i="1"/>
  <c r="H23" i="1"/>
  <c r="G23" i="1"/>
  <c r="F23" i="1"/>
  <c r="E23" i="1"/>
  <c r="D23" i="1"/>
  <c r="C23" i="1"/>
  <c r="C13" i="1"/>
  <c r="C15" i="1"/>
  <c r="C17" i="1"/>
  <c r="C16" i="1"/>
  <c r="AK152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AK142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AK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AA126" i="1"/>
  <c r="AA124" i="1"/>
  <c r="P124" i="1"/>
  <c r="AA122" i="1"/>
  <c r="P122" i="1"/>
  <c r="AF120" i="1"/>
  <c r="V120" i="1"/>
  <c r="AF118" i="1"/>
  <c r="AA118" i="1"/>
  <c r="AA116" i="1"/>
  <c r="A5" i="1"/>
  <c r="A4" i="1"/>
  <c r="A3" i="1"/>
  <c r="A2" i="1"/>
</calcChain>
</file>

<file path=xl/sharedStrings.xml><?xml version="1.0" encoding="utf-8"?>
<sst xmlns="http://schemas.openxmlformats.org/spreadsheetml/2006/main" count="204" uniqueCount="177">
  <si>
    <t>[Begin Format Range]</t>
  </si>
  <si>
    <t>D</t>
  </si>
  <si>
    <t>N</t>
  </si>
  <si>
    <t>[End Format Range]</t>
  </si>
  <si>
    <t>Database</t>
  </si>
  <si>
    <t>Programme</t>
  </si>
  <si>
    <t>Dimensions</t>
  </si>
  <si>
    <t>Status</t>
  </si>
  <si>
    <t>control type</t>
  </si>
  <si>
    <t>decision date</t>
  </si>
  <si>
    <t>funding life</t>
  </si>
  <si>
    <t>government decision</t>
  </si>
  <si>
    <t>measure description</t>
  </si>
  <si>
    <t>measure title</t>
  </si>
  <si>
    <t>measure type</t>
  </si>
  <si>
    <t>related agency</t>
  </si>
  <si>
    <t>policy entity</t>
  </si>
  <si>
    <t>CostingID</t>
  </si>
  <si>
    <t>CBMS Measure Code</t>
  </si>
  <si>
    <t>status</t>
  </si>
  <si>
    <t>election commitment</t>
  </si>
  <si>
    <t>Current User</t>
  </si>
  <si>
    <t>Number Changes</t>
  </si>
  <si>
    <t>AE Adjustment Cube</t>
  </si>
  <si>
    <t>AE Adj Slice</t>
  </si>
  <si>
    <t>Headline Year</t>
  </si>
  <si>
    <t>Scenario</t>
  </si>
  <si>
    <t>Outcome</t>
  </si>
  <si>
    <t>Related Entity</t>
  </si>
  <si>
    <t>Function</t>
  </si>
  <si>
    <t>Reason</t>
  </si>
  <si>
    <t>SPP</t>
  </si>
  <si>
    <t>Appropriation Type</t>
  </si>
  <si>
    <t>Appropriation Item</t>
  </si>
  <si>
    <t>Jurisdiction</t>
  </si>
  <si>
    <t>program</t>
  </si>
  <si>
    <t>Measure Code</t>
  </si>
  <si>
    <t>View</t>
  </si>
  <si>
    <t>sys_Meas List Operating Account</t>
  </si>
  <si>
    <t>sys_Meas List Capital Account</t>
  </si>
  <si>
    <t>sys_Meas List Movement Account</t>
  </si>
  <si>
    <t>sys_Meas List Underlying Cash Account</t>
  </si>
  <si>
    <t>sys_Meas List Fiscal Balance Account</t>
  </si>
  <si>
    <t>sys_Meas List Resourcing Account</t>
  </si>
  <si>
    <t>sys_Meas List Adjustment Status</t>
  </si>
  <si>
    <t>ASL</t>
  </si>
  <si>
    <t>Total ASL</t>
  </si>
  <si>
    <t>Approval Status</t>
  </si>
  <si>
    <t>Active Status</t>
  </si>
  <si>
    <t>Measure Type</t>
  </si>
  <si>
    <t>CBMS Code</t>
  </si>
  <si>
    <t>Govt Decision</t>
  </si>
  <si>
    <t>Funding Life</t>
  </si>
  <si>
    <t>Start Date</t>
  </si>
  <si>
    <t>Decision Date</t>
  </si>
  <si>
    <t>Measure Title</t>
  </si>
  <si>
    <t>Costing ID</t>
  </si>
  <si>
    <t>Measure Description</t>
  </si>
  <si>
    <t>Election Commitment</t>
  </si>
  <si>
    <t>Policy Entity</t>
  </si>
  <si>
    <t>RB</t>
  </si>
  <si>
    <t>NB</t>
  </si>
  <si>
    <t>FE1</t>
  </si>
  <si>
    <t>FE2</t>
  </si>
  <si>
    <t>FE3</t>
  </si>
  <si>
    <t>FE4</t>
  </si>
  <si>
    <t>FE5</t>
  </si>
  <si>
    <t>FE6</t>
  </si>
  <si>
    <t>FE7</t>
  </si>
  <si>
    <t>FE8</t>
  </si>
  <si>
    <t>FE9</t>
  </si>
  <si>
    <t>FE10</t>
  </si>
  <si>
    <t>FE11</t>
  </si>
  <si>
    <t>FE12</t>
  </si>
  <si>
    <t>FE13</t>
  </si>
  <si>
    <t>FE14</t>
  </si>
  <si>
    <t>FE15</t>
  </si>
  <si>
    <t>FE16</t>
  </si>
  <si>
    <t>FE17</t>
  </si>
  <si>
    <t>FE18</t>
  </si>
  <si>
    <t>FE19</t>
  </si>
  <si>
    <t>FE20</t>
  </si>
  <si>
    <t>ID</t>
  </si>
  <si>
    <t>Account</t>
  </si>
  <si>
    <t>Movement Account</t>
  </si>
  <si>
    <t>Departmental ($'000):</t>
  </si>
  <si>
    <t>A. Departmental - Impact on Fiscal Balance -(C-D+E+F)</t>
  </si>
  <si>
    <t>B. Departmental - Impact on Underlying Cash</t>
  </si>
  <si>
    <t>Total Expenses Less Depn</t>
  </si>
  <si>
    <t xml:space="preserve">C. Departmental Expense   </t>
  </si>
  <si>
    <t>1000000</t>
  </si>
  <si>
    <t>D. Revenue  (1000000 Total Revenue)</t>
  </si>
  <si>
    <t>1280000</t>
  </si>
  <si>
    <t>D. Revenue  (1280000 Appropriations)</t>
  </si>
  <si>
    <t xml:space="preserve">D. Revenue  </t>
  </si>
  <si>
    <t>9310000</t>
  </si>
  <si>
    <t xml:space="preserve">E. Capital (excl. Dept Capital Budgeting) </t>
  </si>
  <si>
    <t>9330000</t>
  </si>
  <si>
    <t>F. Departmental Capital Budget</t>
  </si>
  <si>
    <t>G. Departmental Resourcing (C+D+E+F)</t>
  </si>
  <si>
    <t>Departmental</t>
  </si>
  <si>
    <t>Departmental ASL</t>
  </si>
  <si>
    <t>2000000</t>
  </si>
  <si>
    <t>Administered ($'000):</t>
  </si>
  <si>
    <t>H. Administered - Impact on Fiscal Balance -(J-K+L+M)</t>
  </si>
  <si>
    <t>I. Administered - Impact on Underlying Cash</t>
  </si>
  <si>
    <t xml:space="preserve">J. Administered Expense   </t>
  </si>
  <si>
    <t xml:space="preserve">K. Revenue  </t>
  </si>
  <si>
    <t>9140000</t>
  </si>
  <si>
    <t xml:space="preserve">L. Capital (excl. Dept Capital Budgeting) </t>
  </si>
  <si>
    <t>9170000</t>
  </si>
  <si>
    <t>M. Administered Capital Budget</t>
  </si>
  <si>
    <t>N. Administered Resourcing (J+L+M)</t>
  </si>
  <si>
    <t>Administered</t>
  </si>
  <si>
    <t>Administered ASL</t>
  </si>
  <si>
    <t>Total Impact: Departmental + Administered ($'000)</t>
  </si>
  <si>
    <t>0. Total Impact on Fiscal Balance (A+ H)</t>
  </si>
  <si>
    <t>P. Total Impact on Underlying Cash (B+I)</t>
  </si>
  <si>
    <t>Q. Total Expense (C+J)</t>
  </si>
  <si>
    <t>R. Total Capital (E+L)</t>
  </si>
  <si>
    <t>S. Total Departmental Capital Budget (S=F)</t>
  </si>
  <si>
    <t>T. Total Administered Capital Budget (T=M)</t>
  </si>
  <si>
    <t>U. Total Revenue (D+K)</t>
  </si>
  <si>
    <t>V. Total Resourcing (G+N)</t>
  </si>
  <si>
    <t>Database Variables</t>
  </si>
  <si>
    <t>Client Attributes</t>
  </si>
  <si>
    <t>TM1 User</t>
  </si>
  <si>
    <t>}TM1_DefaultDisplayValue</t>
  </si>
  <si>
    <t>GEUS User Name</t>
  </si>
  <si>
    <t>sys_Application Cube</t>
  </si>
  <si>
    <t>Current Workbook</t>
  </si>
  <si>
    <t>Measures - Measure List</t>
  </si>
  <si>
    <t>Application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</si>
  <si>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</si>
  <si>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</si>
  <si>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</si>
  <si>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</si>
  <si>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</si>
  <si>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</si>
  <si>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</si>
  <si>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</si>
  <si>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Annual Estimates - Data Entry</t>
  </si>
  <si>
    <t>Homepage - Annual Estimates - Measures</t>
  </si>
  <si>
    <t>Homepage - Reports</t>
  </si>
  <si>
    <t>Adjustment - Bulk Process</t>
  </si>
  <si>
    <t>Measures - New Measure 01 - Header Details</t>
  </si>
  <si>
    <t>Measures - View Measure 01 - Header Details</t>
  </si>
  <si>
    <t>Measures - Bulk Process</t>
  </si>
  <si>
    <t>Measures - View Measure 02 - Details</t>
  </si>
  <si>
    <t xml:space="preserve">System Variable </t>
  </si>
  <si>
    <t>Cube View</t>
  </si>
  <si>
    <t>headline year</t>
  </si>
  <si>
    <t>headline scenario</t>
  </si>
  <si>
    <t>current budget round</t>
  </si>
  <si>
    <t>Program Dimension Name</t>
  </si>
  <si>
    <t>sys_CBMSR GoLive Headline year</t>
  </si>
  <si>
    <t>sys_Client Preference (used for filters)</t>
  </si>
  <si>
    <t>geus hlyear</t>
  </si>
  <si>
    <t>geus scenario</t>
  </si>
  <si>
    <t>geus measure code</t>
  </si>
  <si>
    <t>Active Form View</t>
  </si>
  <si>
    <t>Total Exp Less Depn</t>
  </si>
  <si>
    <t>Account Checks</t>
  </si>
  <si>
    <t>Exp Acc To Use</t>
  </si>
  <si>
    <t>Programs</t>
  </si>
  <si>
    <t>Admin</t>
  </si>
  <si>
    <t>Dept</t>
  </si>
  <si>
    <t>Government Measure Details View</t>
  </si>
  <si>
    <t>active</t>
  </si>
  <si>
    <t>End Date</t>
  </si>
  <si>
    <t>View Measure Details</t>
  </si>
  <si>
    <t>Total IDs</t>
  </si>
  <si>
    <t>Measures - Edit Measure 01 - Header Details</t>
  </si>
  <si>
    <t>Measures - View Measure 03 - Adjustments</t>
  </si>
  <si>
    <t>sys_start date</t>
  </si>
  <si>
    <t>sys_end date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</si>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</sst>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,##0_-;* \(#,##0\)_-;_-* &quot;-&quot;??_-;_-@_-"/>
    <numFmt numFmtId="166" formatCode="_-* #,##0.00_-;* \(#,##0.00\)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8"/>
      <color indexed="62"/>
      <name val="Verdana"/>
      <family val="2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426A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7" fillId="0" borderId="0">
      <protection locked="0"/>
    </xf>
  </cellStyleXfs>
  <cellXfs count="95">
    <xf numFmtId="0" fontId="0" fillId="0" borderId="0" xfId="0"/>
    <xf numFmtId="0" fontId="2" fillId="0" borderId="1" xfId="0" applyFont="1" applyBorder="1"/>
    <xf numFmtId="0" fontId="2" fillId="0" borderId="0" xfId="0" applyFont="1"/>
    <xf numFmtId="0" fontId="3" fillId="0" borderId="2" xfId="0" applyFont="1" applyBorder="1" applyAlignment="1">
      <alignment horizontal="left" indent="1"/>
    </xf>
    <xf numFmtId="0" fontId="4" fillId="0" borderId="2" xfId="0" applyFont="1" applyBorder="1" applyAlignment="1">
      <alignment horizontal="left" indent="1"/>
    </xf>
    <xf numFmtId="0" fontId="4" fillId="0" borderId="0" xfId="0" applyFont="1"/>
    <xf numFmtId="165" fontId="4" fillId="2" borderId="2" xfId="1" applyNumberFormat="1" applyFont="1" applyFill="1" applyBorder="1"/>
    <xf numFmtId="0" fontId="0" fillId="0" borderId="1" xfId="0" applyBorder="1"/>
    <xf numFmtId="0" fontId="3" fillId="3" borderId="0" xfId="0" applyFont="1" applyFill="1" applyAlignment="1">
      <alignment horizontal="center"/>
    </xf>
    <xf numFmtId="0" fontId="3" fillId="0" borderId="2" xfId="0" applyFont="1" applyBorder="1"/>
    <xf numFmtId="0" fontId="0" fillId="0" borderId="2" xfId="0" applyBorder="1"/>
    <xf numFmtId="0" fontId="2" fillId="0" borderId="2" xfId="0" applyFont="1" applyBorder="1"/>
    <xf numFmtId="0" fontId="0" fillId="5" borderId="2" xfId="0" applyFill="1" applyBorder="1"/>
    <xf numFmtId="165" fontId="0" fillId="0" borderId="0" xfId="0" applyNumberFormat="1"/>
    <xf numFmtId="0" fontId="12" fillId="0" borderId="0" xfId="0" applyFont="1" applyAlignment="1">
      <alignment vertical="top" wrapText="1"/>
    </xf>
    <xf numFmtId="0" fontId="2" fillId="5" borderId="2" xfId="0" applyFont="1" applyFill="1" applyBorder="1"/>
    <xf numFmtId="0" fontId="0" fillId="4" borderId="0" xfId="0" applyFill="1"/>
    <xf numFmtId="0" fontId="0" fillId="0" borderId="0" xfId="0" quotePrefix="1"/>
    <xf numFmtId="165" fontId="4" fillId="5" borderId="2" xfId="1" applyNumberFormat="1" applyFont="1" applyFill="1" applyBorder="1"/>
    <xf numFmtId="165" fontId="4" fillId="0" borderId="2" xfId="1" applyNumberFormat="1" applyFont="1" applyBorder="1"/>
    <xf numFmtId="0" fontId="0" fillId="7" borderId="0" xfId="0" applyFill="1"/>
    <xf numFmtId="0" fontId="1" fillId="0" borderId="0" xfId="2"/>
    <xf numFmtId="166" fontId="4" fillId="0" borderId="2" xfId="1" applyNumberFormat="1" applyFont="1" applyBorder="1"/>
    <xf numFmtId="0" fontId="5" fillId="6" borderId="0" xfId="0" applyFont="1" applyFill="1" applyAlignment="1">
      <alignment horizontal="center"/>
    </xf>
    <xf numFmtId="0" fontId="1" fillId="0" borderId="2" xfId="2" applyBorder="1"/>
    <xf numFmtId="0" fontId="0" fillId="0" borderId="2" xfId="0" applyBorder="1" applyAlignment="1">
      <alignment horizontal="center"/>
    </xf>
    <xf numFmtId="0" fontId="2" fillId="5" borderId="1" xfId="0" applyFont="1" applyFill="1" applyBorder="1"/>
    <xf numFmtId="0" fontId="2" fillId="5" borderId="14" xfId="0" applyFont="1" applyFill="1" applyBorder="1"/>
    <xf numFmtId="0" fontId="1" fillId="0" borderId="2" xfId="2" quotePrefix="1" applyBorder="1"/>
    <xf numFmtId="0" fontId="6" fillId="8" borderId="0" xfId="0" applyFont="1" applyFill="1" applyAlignment="1">
      <alignment horizontal="right" vertical="center"/>
    </xf>
    <xf numFmtId="0" fontId="3" fillId="3" borderId="3" xfId="0" applyFont="1" applyFill="1" applyBorder="1"/>
    <xf numFmtId="0" fontId="3" fillId="3" borderId="4" xfId="0" applyFont="1" applyFill="1" applyBorder="1"/>
    <xf numFmtId="0" fontId="5" fillId="8" borderId="0" xfId="0" applyFont="1" applyFill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9" xfId="0" applyBorder="1"/>
    <xf numFmtId="0" fontId="8" fillId="0" borderId="18" xfId="0" applyFont="1" applyBorder="1" applyAlignment="1">
      <alignment horizontal="right" indent="1"/>
    </xf>
    <xf numFmtId="0" fontId="8" fillId="0" borderId="0" xfId="0" applyFont="1" applyAlignment="1">
      <alignment horizontal="right" indent="1"/>
    </xf>
    <xf numFmtId="0" fontId="12" fillId="0" borderId="0" xfId="0" applyFont="1"/>
    <xf numFmtId="0" fontId="12" fillId="0" borderId="18" xfId="0" applyFont="1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14" fillId="5" borderId="2" xfId="0" applyFont="1" applyFill="1" applyBorder="1" applyAlignment="1">
      <alignment horizontal="center"/>
    </xf>
    <xf numFmtId="165" fontId="3" fillId="0" borderId="2" xfId="1" applyNumberFormat="1" applyFont="1" applyBorder="1"/>
    <xf numFmtId="165" fontId="3" fillId="5" borderId="2" xfId="1" applyNumberFormat="1" applyFont="1" applyFill="1" applyBorder="1"/>
    <xf numFmtId="0" fontId="10" fillId="5" borderId="2" xfId="0" applyFont="1" applyFill="1" applyBorder="1" applyAlignment="1">
      <alignment horizontal="right" indent="1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0" fillId="0" borderId="2" xfId="0" applyFont="1" applyBorder="1" applyAlignment="1">
      <alignment horizontal="left"/>
    </xf>
    <xf numFmtId="0" fontId="14" fillId="5" borderId="2" xfId="0" applyFont="1" applyFill="1" applyBorder="1" applyAlignment="1">
      <alignment horizontal="left"/>
    </xf>
    <xf numFmtId="0" fontId="5" fillId="6" borderId="0" xfId="0" applyFont="1" applyFill="1" applyAlignment="1">
      <alignment horizontal="center"/>
    </xf>
    <xf numFmtId="0" fontId="5" fillId="8" borderId="12" xfId="0" applyFont="1" applyFill="1" applyBorder="1" applyAlignment="1">
      <alignment horizontal="left" indent="1"/>
    </xf>
    <xf numFmtId="0" fontId="8" fillId="0" borderId="18" xfId="0" applyFont="1" applyBorder="1" applyAlignment="1">
      <alignment horizontal="right" vertical="center" indent="1"/>
    </xf>
    <xf numFmtId="0" fontId="8" fillId="0" borderId="0" xfId="0" applyFont="1" applyAlignment="1">
      <alignment horizontal="right" vertical="center" indent="1"/>
    </xf>
    <xf numFmtId="0" fontId="12" fillId="0" borderId="6" xfId="0" applyFont="1" applyBorder="1" applyAlignment="1">
      <alignment horizontal="left" vertical="top" wrapText="1" indent="1"/>
    </xf>
    <xf numFmtId="0" fontId="12" fillId="0" borderId="7" xfId="0" applyFont="1" applyBorder="1" applyAlignment="1">
      <alignment horizontal="left" vertical="top" wrapText="1" indent="1"/>
    </xf>
    <xf numFmtId="0" fontId="12" fillId="0" borderId="9" xfId="0" applyFont="1" applyBorder="1" applyAlignment="1">
      <alignment horizontal="left" vertical="top" wrapText="1" indent="1"/>
    </xf>
    <xf numFmtId="0" fontId="12" fillId="0" borderId="10" xfId="0" applyFont="1" applyBorder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12" fillId="0" borderId="8" xfId="0" applyFont="1" applyBorder="1" applyAlignment="1">
      <alignment horizontal="left" vertical="top" wrapText="1" indent="1"/>
    </xf>
    <xf numFmtId="0" fontId="12" fillId="0" borderId="11" xfId="0" applyFont="1" applyBorder="1" applyAlignment="1">
      <alignment horizontal="left" vertical="top" wrapText="1" indent="1"/>
    </xf>
    <xf numFmtId="0" fontId="12" fillId="0" borderId="12" xfId="0" applyFont="1" applyBorder="1" applyAlignment="1">
      <alignment horizontal="left" vertical="top" wrapText="1" indent="1"/>
    </xf>
    <xf numFmtId="0" fontId="12" fillId="0" borderId="13" xfId="0" applyFont="1" applyBorder="1" applyAlignment="1">
      <alignment horizontal="left" vertical="top" wrapText="1" indent="1"/>
    </xf>
    <xf numFmtId="0" fontId="8" fillId="0" borderId="0" xfId="0" applyFont="1" applyAlignment="1">
      <alignment horizontal="right" indent="1"/>
    </xf>
    <xf numFmtId="0" fontId="12" fillId="0" borderId="3" xfId="0" applyFont="1" applyBorder="1" applyAlignment="1">
      <alignment horizontal="center" vertical="top" wrapText="1"/>
    </xf>
    <xf numFmtId="0" fontId="12" fillId="0" borderId="5" xfId="0" applyFont="1" applyBorder="1" applyAlignment="1">
      <alignment horizontal="center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right" indent="1"/>
    </xf>
    <xf numFmtId="0" fontId="12" fillId="0" borderId="3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8" fillId="0" borderId="18" xfId="0" applyFont="1" applyBorder="1" applyAlignment="1">
      <alignment horizontal="right" indent="1"/>
    </xf>
    <xf numFmtId="0" fontId="12" fillId="0" borderId="3" xfId="0" applyFont="1" applyBorder="1" applyAlignment="1">
      <alignment horizontal="left" indent="1"/>
    </xf>
    <xf numFmtId="0" fontId="12" fillId="0" borderId="4" xfId="0" applyFont="1" applyBorder="1" applyAlignment="1">
      <alignment horizontal="left" indent="1"/>
    </xf>
    <xf numFmtId="0" fontId="12" fillId="0" borderId="5" xfId="0" applyFont="1" applyBorder="1" applyAlignment="1">
      <alignment horizontal="left" indent="1"/>
    </xf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0" borderId="3" xfId="0" applyFont="1" applyBorder="1" applyAlignment="1">
      <alignment horizontal="left" indent="1"/>
    </xf>
    <xf numFmtId="0" fontId="4" fillId="0" borderId="4" xfId="0" applyFont="1" applyBorder="1" applyAlignment="1">
      <alignment horizontal="left" indent="1"/>
    </xf>
    <xf numFmtId="0" fontId="4" fillId="0" borderId="5" xfId="0" applyFont="1" applyBorder="1" applyAlignment="1">
      <alignment horizontal="left" indent="1"/>
    </xf>
  </cellXfs>
  <cellStyles count="4">
    <cellStyle name="Comma" xfId="1" builtinId="3"/>
    <cellStyle name="Normal" xfId="0" builtinId="0"/>
    <cellStyle name="Normal 2" xfId="3" xr:uid="{00000000-0005-0000-0000-000002000000}"/>
    <cellStyle name="Normal 3" xfId="2" xr:uid="{00000000-0005-0000-0000-000003000000}"/>
  </cellStyles>
  <dxfs count="15">
    <dxf>
      <font>
        <b/>
        <i val="0"/>
        <color rgb="FFFF0000"/>
      </font>
    </dxf>
    <dxf>
      <font>
        <b/>
        <i val="0"/>
        <color rgb="FF00B050"/>
      </font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numFmt numFmtId="167" formatCode="_-* #,##0.0_-;* \(#,##0.0\)_-;_-* &quot;-&quot;??_-;_-@_-"/>
    </dxf>
    <dxf>
      <fill>
        <patternFill>
          <bgColor theme="0" tint="-0.24994659260841701"/>
        </patternFill>
      </fill>
    </dxf>
    <dxf>
      <font>
        <b/>
        <i val="0"/>
        <color rgb="FFFF0000"/>
      </font>
    </dxf>
    <dxf>
      <font>
        <b val="0"/>
        <i val="0"/>
        <color rgb="FF0070C0"/>
      </font>
    </dxf>
    <dxf>
      <font>
        <b/>
        <i val="0"/>
        <color rgb="FFFF0000"/>
      </font>
    </dxf>
    <dxf>
      <font>
        <b val="0"/>
        <i val="0"/>
        <color rgb="FF0070C0"/>
      </font>
    </dxf>
    <dxf>
      <font>
        <b/>
        <i val="0"/>
        <color rgb="FFFF0000"/>
      </font>
    </dxf>
    <dxf>
      <font>
        <b val="0"/>
        <i val="0"/>
        <color rgb="FF0070C0"/>
      </font>
    </dxf>
  </dxfs>
  <tableStyles count="0" defaultTableStyle="TableStyleMedium2" defaultPivotStyle="PivotStyleLight16"/>
  <colors>
    <mruColors>
      <color rgb="FF0042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619"/>
  <ax:ocxPr ax:name="_ExtentY" ax:value="503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*KEY_ERR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ViewMeas03AdjWB"/>
  <ax:ocxPr ax:name="TargetWorksheetName" ax:value="=TM1ViewMeas03AdjWS"/>
  <ax:ocxPr ax:name="AutoTitles" ax:value="0"/>
  <ax:ocxPr ax:name="ReplaceWindow" ax:value="-1"/>
  <ax:ocxPr ax:name="IsMappingFormula" ax:value="0"/>
  <ax:ocxPr ax:name="TargetTypes" ax:value="0"/>
  <ax:ocxPr ax:name="TargetObjects" ax:value="measure code"/>
  <ax:ocxPr ax:name="TargetSubsets" ax:value=""/>
  <ax:ocxPr ax:name="TargetAliases" ax:value=""/>
  <ax:ocxPr ax:name="TargetValues" ax:value=""/>
  <ax:ocxPr ax:name="SourceTypes" ax:value="1"/>
  <ax:ocxPr ax:name="SourceObjects" ax:value="measure code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ViewMeas03AdjCAP"/>
  <ax:ocxPr ax:name="ResizeButtonToCaption" ax:value="0"/>
</ax:ocx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104775</xdr:colOff>
          <xdr:row>111</xdr:row>
          <xdr:rowOff>0</xdr:rowOff>
        </xdr:from>
        <xdr:to>
          <xdr:col>11</xdr:col>
          <xdr:colOff>114300</xdr:colOff>
          <xdr:row>111</xdr:row>
          <xdr:rowOff>247650</xdr:rowOff>
        </xdr:to>
        <xdr:sp macro="" textlink="">
          <xdr:nvSpPr>
            <xdr:cNvPr id="1026" name="TIButton1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161925</xdr:colOff>
          <xdr:row>111</xdr:row>
          <xdr:rowOff>0</xdr:rowOff>
        </xdr:from>
        <xdr:to>
          <xdr:col>12</xdr:col>
          <xdr:colOff>533400</xdr:colOff>
          <xdr:row>111</xdr:row>
          <xdr:rowOff>247650</xdr:rowOff>
        </xdr:to>
        <xdr:sp macro="" textlink="">
          <xdr:nvSpPr>
            <xdr:cNvPr id="1027" name="TIButton2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723900</xdr:colOff>
          <xdr:row>111</xdr:row>
          <xdr:rowOff>0</xdr:rowOff>
        </xdr:from>
        <xdr:to>
          <xdr:col>18</xdr:col>
          <xdr:colOff>657225</xdr:colOff>
          <xdr:row>111</xdr:row>
          <xdr:rowOff>247650</xdr:rowOff>
        </xdr:to>
        <xdr:sp macro="" textlink="">
          <xdr:nvSpPr>
            <xdr:cNvPr id="1028" name="TIButton3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57150</xdr:colOff>
          <xdr:row>111</xdr:row>
          <xdr:rowOff>0</xdr:rowOff>
        </xdr:from>
        <xdr:to>
          <xdr:col>16</xdr:col>
          <xdr:colOff>133350</xdr:colOff>
          <xdr:row>111</xdr:row>
          <xdr:rowOff>247650</xdr:rowOff>
        </xdr:to>
        <xdr:sp macro="" textlink="">
          <xdr:nvSpPr>
            <xdr:cNvPr id="1029" name="TIButton4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111</xdr:row>
          <xdr:rowOff>0</xdr:rowOff>
        </xdr:from>
        <xdr:to>
          <xdr:col>17</xdr:col>
          <xdr:colOff>676275</xdr:colOff>
          <xdr:row>111</xdr:row>
          <xdr:rowOff>247650</xdr:rowOff>
        </xdr:to>
        <xdr:sp macro="" textlink="">
          <xdr:nvSpPr>
            <xdr:cNvPr id="1031" name="TIButton6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581025</xdr:colOff>
          <xdr:row>111</xdr:row>
          <xdr:rowOff>0</xdr:rowOff>
        </xdr:from>
        <xdr:to>
          <xdr:col>13</xdr:col>
          <xdr:colOff>790575</xdr:colOff>
          <xdr:row>111</xdr:row>
          <xdr:rowOff>247650</xdr:rowOff>
        </xdr:to>
        <xdr:sp macro="" textlink="">
          <xdr:nvSpPr>
            <xdr:cNvPr id="1032" name="TIButton5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9</xdr:col>
      <xdr:colOff>38100</xdr:colOff>
      <xdr:row>109</xdr:row>
      <xdr:rowOff>28575</xdr:rowOff>
    </xdr:from>
    <xdr:to>
      <xdr:col>12</xdr:col>
      <xdr:colOff>361950</xdr:colOff>
      <xdr:row>109</xdr:row>
      <xdr:rowOff>474345</xdr:rowOff>
    </xdr:to>
    <xdr:pic>
      <xdr:nvPicPr>
        <xdr:cNvPr id="20" name="Picture 3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575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9">
    <outlinePr showOutlineSymbols="0"/>
    <pageSetUpPr fitToPage="1"/>
  </sheetPr>
  <dimension ref="A1:AL161"/>
  <sheetViews>
    <sheetView showGridLines="0" showRowColHeaders="0" tabSelected="1" showOutlineSymbols="0" topLeftCell="A110" zoomScaleNormal="100" workbookViewId="0">
      <pane xSplit="15" ySplit="21" topLeftCell="P131" activePane="bottomRight" state="frozen"/>
      <selection activeCell="J110" sqref="J110"/>
      <selection pane="topRight" activeCell="P110" sqref="P110"/>
      <selection pane="bottomLeft" activeCell="J131" sqref="J131"/>
      <selection pane="bottomRight" activeCell="N110" sqref="N110"/>
    </sheetView>
  </sheetViews>
  <sheetFormatPr defaultRowHeight="15" outlineLevelRow="1" outlineLevelCol="1" x14ac:dyDescent="0.25"/>
  <cols>
    <col min="1" max="2" width="20.28515625" hidden="1" customWidth="1" outlineLevel="1"/>
    <col min="3" max="3" width="35.140625" hidden="1" customWidth="1" outlineLevel="1"/>
    <col min="4" max="4" width="38.28515625" hidden="1" customWidth="1" outlineLevel="1"/>
    <col min="5" max="5" width="25.5703125" hidden="1" customWidth="1" outlineLevel="1"/>
    <col min="6" max="6" width="54.7109375" hidden="1" customWidth="1" outlineLevel="1"/>
    <col min="7" max="7" width="12.140625" hidden="1" customWidth="1" outlineLevel="1"/>
    <col min="8" max="9" width="14.28515625" hidden="1" customWidth="1" outlineLevel="1"/>
    <col min="10" max="10" width="0.85546875" customWidth="1" collapsed="1"/>
    <col min="11" max="13" width="10.7109375" customWidth="1"/>
    <col min="14" max="14" width="12.7109375" customWidth="1"/>
    <col min="15" max="15" width="1.7109375" customWidth="1"/>
    <col min="16" max="37" width="12.7109375" customWidth="1"/>
    <col min="38" max="38" width="9.7109375" customWidth="1"/>
    <col min="42" max="42" width="5.140625" customWidth="1"/>
    <col min="43" max="43" width="3.140625" customWidth="1"/>
    <col min="44" max="44" width="4.140625" customWidth="1"/>
    <col min="45" max="45" width="2.7109375" customWidth="1"/>
  </cols>
  <sheetData>
    <row r="1" spans="1:37" hidden="1" outlineLevel="1" x14ac:dyDescent="0.25">
      <c r="A1" t="s">
        <v>0</v>
      </c>
    </row>
    <row r="2" spans="1:37" hidden="1" outlineLevel="1" x14ac:dyDescent="0.25">
      <c r="A2">
        <f>0</f>
        <v>0</v>
      </c>
      <c r="E2" s="1"/>
      <c r="F2" s="2"/>
      <c r="J2" s="3"/>
      <c r="K2" s="92"/>
      <c r="L2" s="93"/>
      <c r="M2" s="94"/>
      <c r="N2" s="4"/>
      <c r="O2" s="5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</row>
    <row r="3" spans="1:37" hidden="1" outlineLevel="1" x14ac:dyDescent="0.25">
      <c r="A3">
        <f>1</f>
        <v>1</v>
      </c>
      <c r="E3" s="7"/>
      <c r="J3" s="3"/>
      <c r="K3" s="92"/>
      <c r="L3" s="93"/>
      <c r="M3" s="94"/>
      <c r="N3" s="4"/>
      <c r="O3" s="5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</row>
    <row r="4" spans="1:37" hidden="1" outlineLevel="1" x14ac:dyDescent="0.25">
      <c r="A4">
        <f>2</f>
        <v>2</v>
      </c>
      <c r="E4" s="7"/>
      <c r="J4" s="3"/>
      <c r="K4" s="92"/>
      <c r="L4" s="93"/>
      <c r="M4" s="94"/>
      <c r="N4" s="4"/>
      <c r="O4" s="5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</row>
    <row r="5" spans="1:37" hidden="1" outlineLevel="1" x14ac:dyDescent="0.25">
      <c r="A5">
        <f>3</f>
        <v>3</v>
      </c>
      <c r="E5" s="7"/>
      <c r="J5" s="3"/>
      <c r="K5" s="92"/>
      <c r="L5" s="93"/>
      <c r="M5" s="94"/>
      <c r="N5" s="4"/>
      <c r="O5" s="5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spans="1:37" hidden="1" outlineLevel="1" x14ac:dyDescent="0.25">
      <c r="A6" t="s">
        <v>1</v>
      </c>
      <c r="E6" s="7"/>
      <c r="J6" s="3"/>
      <c r="K6" s="92"/>
      <c r="L6" s="93"/>
      <c r="M6" s="94"/>
      <c r="N6" s="4"/>
      <c r="O6" s="5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</row>
    <row r="7" spans="1:37" hidden="1" outlineLevel="1" x14ac:dyDescent="0.25">
      <c r="A7" t="s">
        <v>2</v>
      </c>
      <c r="E7" s="7"/>
      <c r="J7" s="3"/>
      <c r="K7" s="92"/>
      <c r="L7" s="93"/>
      <c r="M7" s="94"/>
      <c r="N7" s="4"/>
      <c r="O7" s="5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</row>
    <row r="8" spans="1:37" hidden="1" outlineLevel="1" x14ac:dyDescent="0.25">
      <c r="A8" t="s">
        <v>3</v>
      </c>
    </row>
    <row r="9" spans="1:37" hidden="1" outlineLevel="1" x14ac:dyDescent="0.25"/>
    <row r="10" spans="1:37" hidden="1" outlineLevel="1" x14ac:dyDescent="0.25"/>
    <row r="11" spans="1:37" hidden="1" outlineLevel="1" x14ac:dyDescent="0.25">
      <c r="B11" s="49" t="s">
        <v>124</v>
      </c>
      <c r="C11" s="50"/>
      <c r="D11" s="51"/>
    </row>
    <row r="12" spans="1:37" hidden="1" outlineLevel="1" x14ac:dyDescent="0.25">
      <c r="B12" s="9" t="s">
        <v>4</v>
      </c>
      <c r="C12" s="10" t="s">
        <v>176</v>
      </c>
    </row>
    <row r="13" spans="1:37" hidden="1" outlineLevel="1" x14ac:dyDescent="0.25">
      <c r="B13" s="24" t="s">
        <v>125</v>
      </c>
      <c r="C13" s="10" t="e">
        <f ca="1">_xll.VIEW(db_name&amp;":}ElementAttributes_}Clients","!","!")</f>
        <v>#NAME?</v>
      </c>
    </row>
    <row r="14" spans="1:37" hidden="1" outlineLevel="1" x14ac:dyDescent="0.25">
      <c r="B14" s="11" t="s">
        <v>126</v>
      </c>
      <c r="C14" s="25" t="e">
        <f ca="1">_xll.TM1USER(db_name)</f>
        <v>#NAME?</v>
      </c>
    </row>
    <row r="15" spans="1:37" hidden="1" outlineLevel="1" x14ac:dyDescent="0.25">
      <c r="B15" s="11" t="s">
        <v>127</v>
      </c>
      <c r="C15" s="25" t="e">
        <f ca="1">_xll.DBR($C$13,$C$14,$B15)</f>
        <v>#NAME?</v>
      </c>
    </row>
    <row r="16" spans="1:37" hidden="1" outlineLevel="1" x14ac:dyDescent="0.25">
      <c r="B16" s="11" t="s">
        <v>128</v>
      </c>
      <c r="C16" s="25" t="e">
        <f ca="1">_xll.DBR($C$13,$C$14,$B16)</f>
        <v>#NAME?</v>
      </c>
    </row>
    <row r="17" spans="2:8" hidden="1" outlineLevel="1" x14ac:dyDescent="0.25">
      <c r="B17" s="11" t="s">
        <v>21</v>
      </c>
      <c r="C17" s="25" t="e">
        <f ca="1">IF(LEFT($C$15,6)="CAM_AD",$C$16,$C$15)</f>
        <v>#NAME?</v>
      </c>
    </row>
    <row r="18" spans="2:8" hidden="1" outlineLevel="1" x14ac:dyDescent="0.25"/>
    <row r="19" spans="2:8" hidden="1" outlineLevel="1" x14ac:dyDescent="0.25">
      <c r="B19" s="52" t="s">
        <v>129</v>
      </c>
      <c r="C19" s="53"/>
      <c r="D19" s="21"/>
      <c r="E19" s="21"/>
      <c r="F19" s="21"/>
      <c r="G19" s="21"/>
      <c r="H19" s="21"/>
    </row>
    <row r="20" spans="2:8" hidden="1" outlineLevel="1" x14ac:dyDescent="0.25">
      <c r="B20" s="10" t="s">
        <v>37</v>
      </c>
      <c r="C20" s="10" t="e">
        <f ca="1">_xll.VIEW(db_name&amp;":sys_Application","!","!")</f>
        <v>#NAME?</v>
      </c>
      <c r="D20" s="21"/>
      <c r="E20" s="21"/>
      <c r="F20" s="21"/>
      <c r="G20" s="21"/>
      <c r="H20" s="21"/>
    </row>
    <row r="21" spans="2:8" hidden="1" outlineLevel="1" x14ac:dyDescent="0.25">
      <c r="B21" s="10" t="s">
        <v>130</v>
      </c>
      <c r="C21" t="s">
        <v>148</v>
      </c>
      <c r="D21" s="21"/>
      <c r="E21" s="21"/>
      <c r="F21" s="21"/>
      <c r="G21" s="21"/>
      <c r="H21" s="21"/>
    </row>
    <row r="22" spans="2:8" hidden="1" outlineLevel="1" x14ac:dyDescent="0.25">
      <c r="B22" s="26" t="s">
        <v>132</v>
      </c>
      <c r="C22" s="27" t="s">
        <v>133</v>
      </c>
      <c r="D22" s="27" t="s">
        <v>134</v>
      </c>
      <c r="E22" s="27" t="s">
        <v>135</v>
      </c>
      <c r="F22" s="27" t="s">
        <v>136</v>
      </c>
      <c r="G22" s="27" t="s">
        <v>137</v>
      </c>
      <c r="H22" s="27" t="s">
        <v>138</v>
      </c>
    </row>
    <row r="23" spans="2:8" hidden="1" outlineLevel="1" x14ac:dyDescent="0.25">
      <c r="B23" s="10" t="s">
        <v>139</v>
      </c>
      <c r="C23" s="10" t="e">
        <f ca="1">_xll.DBR($C$20,$B23,C$22)</f>
        <v>#NAME?</v>
      </c>
      <c r="D23" s="10" t="e">
        <f ca="1">_xll.DBR($C$20,$B23,D$22)</f>
        <v>#NAME?</v>
      </c>
      <c r="E23" s="10" t="e">
        <f ca="1">_xll.DBR($C$20,$B23,E$22)</f>
        <v>#NAME?</v>
      </c>
      <c r="F23" s="10" t="e">
        <f ca="1">_xll.DBR($C$20,$B23,F$22)</f>
        <v>#NAME?</v>
      </c>
      <c r="G23" s="10" t="e">
        <f ca="1">_xll.DBR($C$20,$B23,G$22)</f>
        <v>#NAME?</v>
      </c>
      <c r="H23" s="10" t="e">
        <f ca="1">_xll.DBR($C$20,$B23,H$22)</f>
        <v>#NAME?</v>
      </c>
    </row>
    <row r="24" spans="2:8" hidden="1" outlineLevel="1" x14ac:dyDescent="0.25">
      <c r="B24" s="10" t="s">
        <v>140</v>
      </c>
      <c r="C24" s="10" t="e">
        <f ca="1">_xll.DBR($C$20,$B24,C$22)</f>
        <v>#NAME?</v>
      </c>
      <c r="D24" s="10" t="e">
        <f ca="1">_xll.DBR($C$20,$B24,D$22)</f>
        <v>#NAME?</v>
      </c>
      <c r="E24" s="10" t="e">
        <f ca="1">_xll.DBR($C$20,$B24,E$22)</f>
        <v>#NAME?</v>
      </c>
      <c r="F24" s="10" t="e">
        <f ca="1">_xll.DBR($C$20,$B24,F$22)</f>
        <v>#NAME?</v>
      </c>
      <c r="G24" s="10" t="e">
        <f ca="1">_xll.DBR($C$20,$B24,G$22)</f>
        <v>#NAME?</v>
      </c>
      <c r="H24" s="10" t="e">
        <f ca="1">_xll.DBR($C$20,$B24,H$22)</f>
        <v>#NAME?</v>
      </c>
    </row>
    <row r="25" spans="2:8" hidden="1" outlineLevel="1" x14ac:dyDescent="0.25">
      <c r="B25" s="10" t="s">
        <v>141</v>
      </c>
      <c r="C25" s="10" t="e">
        <f ca="1">_xll.DBR($C$20,$B25,C$22)</f>
        <v>#NAME?</v>
      </c>
      <c r="D25" s="10" t="e">
        <f ca="1">_xll.DBR($C$20,$B25,D$22)</f>
        <v>#NAME?</v>
      </c>
      <c r="E25" s="10" t="e">
        <f ca="1">_xll.DBR($C$20,$B25,E$22)</f>
        <v>#NAME?</v>
      </c>
      <c r="F25" s="10" t="e">
        <f ca="1">_xll.DBR($C$20,$B25,F$22)</f>
        <v>#NAME?</v>
      </c>
      <c r="G25" s="10" t="e">
        <f ca="1">_xll.DBR($C$20,$B25,G$22)</f>
        <v>#NAME?</v>
      </c>
      <c r="H25" s="10" t="e">
        <f ca="1">_xll.DBR($C$20,$B25,H$22)</f>
        <v>#NAME?</v>
      </c>
    </row>
    <row r="26" spans="2:8" hidden="1" outlineLevel="1" x14ac:dyDescent="0.25">
      <c r="B26" t="s">
        <v>142</v>
      </c>
      <c r="C26" s="10" t="e">
        <f ca="1">_xll.DBR($C$20,$B26,C$22)</f>
        <v>#NAME?</v>
      </c>
      <c r="D26" s="10" t="e">
        <f ca="1">_xll.DBR($C$20,$B26,D$22)</f>
        <v>#NAME?</v>
      </c>
      <c r="E26" s="10" t="e">
        <f ca="1">_xll.DBR($C$20,$B26,E$22)</f>
        <v>#NAME?</v>
      </c>
      <c r="F26" s="10" t="e">
        <f ca="1">_xll.DBR($C$20,$B26,F$22)</f>
        <v>#NAME?</v>
      </c>
      <c r="G26" s="10" t="e">
        <f ca="1">_xll.DBR($C$20,$B26,G$22)</f>
        <v>#NAME?</v>
      </c>
      <c r="H26" s="10" t="e">
        <f ca="1">_xll.DBR($C$20,$B26,H$22)</f>
        <v>#NAME?</v>
      </c>
    </row>
    <row r="27" spans="2:8" hidden="1" outlineLevel="1" x14ac:dyDescent="0.25">
      <c r="B27" s="10" t="s">
        <v>143</v>
      </c>
      <c r="C27" s="10" t="e">
        <f ca="1">_xll.DBR($C$20,$B27,C$22)</f>
        <v>#NAME?</v>
      </c>
      <c r="D27" s="10" t="e">
        <f ca="1">_xll.DBR($C$20,$B27,D$22)</f>
        <v>#NAME?</v>
      </c>
      <c r="E27" s="10" t="e">
        <f ca="1">_xll.DBR($C$20,$B27,E$22)</f>
        <v>#NAME?</v>
      </c>
      <c r="F27" s="10" t="e">
        <f ca="1">_xll.DBR($C$20,$B27,F$22)</f>
        <v>#NAME?</v>
      </c>
      <c r="G27" s="10" t="e">
        <f ca="1">_xll.DBR($C$20,$B27,G$22)</f>
        <v>#NAME?</v>
      </c>
      <c r="H27" s="10" t="e">
        <f ca="1">_xll.DBR($C$20,$B27,H$22)</f>
        <v>#NAME?</v>
      </c>
    </row>
    <row r="28" spans="2:8" hidden="1" outlineLevel="1" x14ac:dyDescent="0.25">
      <c r="B28" s="10" t="s">
        <v>144</v>
      </c>
      <c r="C28" s="10" t="e">
        <f ca="1">_xll.DBR($C$20,$B28,C$22)</f>
        <v>#NAME?</v>
      </c>
      <c r="D28" s="10" t="e">
        <f ca="1">_xll.DBR($C$20,$B28,D$22)</f>
        <v>#NAME?</v>
      </c>
      <c r="E28" s="10" t="e">
        <f ca="1">_xll.DBR($C$20,$B28,E$22)</f>
        <v>#NAME?</v>
      </c>
      <c r="F28" s="10" t="e">
        <f ca="1">_xll.DBR($C$20,$B28,F$22)</f>
        <v>#NAME?</v>
      </c>
      <c r="G28" s="10" t="e">
        <f ca="1">_xll.DBR($C$20,$B28,G$22)</f>
        <v>#NAME?</v>
      </c>
      <c r="H28" s="10" t="e">
        <f ca="1">_xll.DBR($C$20,$B28,H$22)</f>
        <v>#NAME?</v>
      </c>
    </row>
    <row r="29" spans="2:8" hidden="1" outlineLevel="1" x14ac:dyDescent="0.25">
      <c r="B29" s="10" t="s">
        <v>145</v>
      </c>
      <c r="C29" s="10" t="e">
        <f ca="1">_xll.DBR($C$20,$B29,C$22)</f>
        <v>#NAME?</v>
      </c>
      <c r="D29" s="10" t="e">
        <f ca="1">_xll.DBR($C$20,$B29,D$22)</f>
        <v>#NAME?</v>
      </c>
      <c r="E29" s="10" t="e">
        <f ca="1">_xll.DBR($C$20,$B29,E$22)</f>
        <v>#NAME?</v>
      </c>
      <c r="F29" s="10" t="e">
        <f ca="1">_xll.DBR($C$20,$B29,F$22)</f>
        <v>#NAME?</v>
      </c>
      <c r="G29" s="10" t="e">
        <f ca="1">_xll.DBR($C$20,$B29,G$22)</f>
        <v>#NAME?</v>
      </c>
      <c r="H29" s="10" t="e">
        <f ca="1">_xll.DBR($C$20,$B29,H$22)</f>
        <v>#NAME?</v>
      </c>
    </row>
    <row r="30" spans="2:8" hidden="1" outlineLevel="1" x14ac:dyDescent="0.25">
      <c r="B30" s="10" t="s">
        <v>146</v>
      </c>
      <c r="C30" s="10" t="e">
        <f ca="1">_xll.DBR($C$20,$B30,C$22)</f>
        <v>#NAME?</v>
      </c>
      <c r="D30" s="10" t="e">
        <f ca="1">_xll.DBR($C$20,$B30,D$22)</f>
        <v>#NAME?</v>
      </c>
      <c r="E30" s="10" t="e">
        <f ca="1">_xll.DBR($C$20,$B30,E$22)</f>
        <v>#NAME?</v>
      </c>
      <c r="F30" s="10" t="e">
        <f ca="1">_xll.DBR($C$20,$B30,F$22)</f>
        <v>#NAME?</v>
      </c>
      <c r="G30" s="10" t="e">
        <f ca="1">_xll.DBR($C$20,$B30,G$22)</f>
        <v>#NAME?</v>
      </c>
      <c r="H30" s="10" t="e">
        <f ca="1">_xll.DBR($C$20,$B30,H$22)</f>
        <v>#NAME?</v>
      </c>
    </row>
    <row r="31" spans="2:8" hidden="1" outlineLevel="1" x14ac:dyDescent="0.25">
      <c r="B31" s="10" t="s">
        <v>131</v>
      </c>
      <c r="C31" s="10" t="e">
        <f ca="1">_xll.DBR($C$20,$B31,C$22)</f>
        <v>#NAME?</v>
      </c>
      <c r="D31" s="10" t="e">
        <f ca="1">_xll.DBR($C$20,$B31,D$22)</f>
        <v>#NAME?</v>
      </c>
      <c r="E31" s="10" t="e">
        <f ca="1">_xll.DBR($C$20,$B31,E$22)</f>
        <v>#NAME?</v>
      </c>
      <c r="F31" s="10" t="e">
        <f ca="1">_xll.DBR($C$20,$B31,F$22)</f>
        <v>#NAME?</v>
      </c>
      <c r="G31" s="10" t="e">
        <f ca="1">_xll.DBR($C$20,$B31,G$22)</f>
        <v>#NAME?</v>
      </c>
      <c r="H31" s="10" t="e">
        <f ca="1">_xll.DBR($C$20,$B31,H$22)</f>
        <v>#NAME?</v>
      </c>
    </row>
    <row r="32" spans="2:8" hidden="1" outlineLevel="1" x14ac:dyDescent="0.25">
      <c r="B32" s="10" t="s">
        <v>147</v>
      </c>
      <c r="C32" s="10" t="e">
        <f ca="1">_xll.DBR($C$20,$B32,C$22)</f>
        <v>#NAME?</v>
      </c>
      <c r="D32" s="10" t="e">
        <f ca="1">_xll.DBR($C$20,$B32,D$22)</f>
        <v>#NAME?</v>
      </c>
      <c r="E32" s="10" t="e">
        <f ca="1">_xll.DBR($C$20,$B32,E$22)</f>
        <v>#NAME?</v>
      </c>
      <c r="F32" s="10" t="e">
        <f ca="1">_xll.DBR($C$20,$B32,F$22)</f>
        <v>#NAME?</v>
      </c>
      <c r="G32" s="10" t="e">
        <f ca="1">_xll.DBR($C$20,$B32,G$22)</f>
        <v>#NAME?</v>
      </c>
      <c r="H32" s="10" t="e">
        <f ca="1">_xll.DBR($C$20,$B32,H$22)</f>
        <v>#NAME?</v>
      </c>
    </row>
    <row r="33" spans="2:8" hidden="1" outlineLevel="1" x14ac:dyDescent="0.25">
      <c r="B33" s="10" t="s">
        <v>148</v>
      </c>
      <c r="C33" s="10" t="e">
        <f ca="1">_xll.DBR($C$20,$B33,C$22)</f>
        <v>#NAME?</v>
      </c>
      <c r="D33" s="10" t="e">
        <f ca="1">_xll.DBR($C$20,$B33,D$22)</f>
        <v>#NAME?</v>
      </c>
      <c r="E33" s="10" t="e">
        <f ca="1">_xll.DBR($C$20,$B33,E$22)</f>
        <v>#NAME?</v>
      </c>
      <c r="F33" s="10" t="e">
        <f ca="1">_xll.DBR($C$20,$B33,F$22)</f>
        <v>#NAME?</v>
      </c>
      <c r="G33" s="10" t="e">
        <f ca="1">_xll.DBR($C$20,$B33,G$22)</f>
        <v>#NAME?</v>
      </c>
      <c r="H33" s="10" t="e">
        <f ca="1">_xll.DBR($C$20,$B33,H$22)</f>
        <v>#NAME?</v>
      </c>
    </row>
    <row r="34" spans="2:8" hidden="1" outlineLevel="1" x14ac:dyDescent="0.25">
      <c r="B34" s="10" t="s">
        <v>172</v>
      </c>
      <c r="C34" s="10" t="e">
        <f ca="1">_xll.DBR($C$20,$B34,C$22)</f>
        <v>#NAME?</v>
      </c>
      <c r="D34" s="10" t="e">
        <f ca="1">_xll.DBR($C$20,$B34,D$22)</f>
        <v>#NAME?</v>
      </c>
      <c r="E34" s="10" t="e">
        <f ca="1">_xll.DBR($C$20,$B34,E$22)</f>
        <v>#NAME?</v>
      </c>
      <c r="F34" s="10" t="e">
        <f ca="1">_xll.DBR($C$20,$B34,F$22)</f>
        <v>#NAME?</v>
      </c>
      <c r="G34" s="10" t="e">
        <f ca="1">_xll.DBR($C$20,$B34,G$22)</f>
        <v>#NAME?</v>
      </c>
      <c r="H34" s="10" t="e">
        <f ca="1">_xll.DBR($C$20,$B34,H$22)</f>
        <v>#NAME?</v>
      </c>
    </row>
    <row r="35" spans="2:8" hidden="1" outlineLevel="1" x14ac:dyDescent="0.25">
      <c r="B35" s="10" t="s">
        <v>173</v>
      </c>
      <c r="C35" s="10" t="e">
        <f ca="1">_xll.DBR($C$20,$B35,C$22)</f>
        <v>#NAME?</v>
      </c>
      <c r="D35" s="10" t="e">
        <f ca="1">_xll.DBR($C$20,$B35,D$22)</f>
        <v>#NAME?</v>
      </c>
      <c r="E35" s="10" t="e">
        <f ca="1">_xll.DBR($C$20,$B35,E$22)</f>
        <v>#NAME?</v>
      </c>
      <c r="F35" s="10" t="e">
        <f ca="1">_xll.DBR($C$20,$B35,F$22)</f>
        <v>#NAME?</v>
      </c>
      <c r="G35" s="10" t="e">
        <f ca="1">_xll.DBR($C$20,$B35,G$22)</f>
        <v>#NAME?</v>
      </c>
      <c r="H35" s="10" t="e">
        <f ca="1">_xll.DBR($C$20,$B35,H$22)</f>
        <v>#NAME?</v>
      </c>
    </row>
    <row r="36" spans="2:8" hidden="1" outlineLevel="1" x14ac:dyDescent="0.25"/>
    <row r="37" spans="2:8" hidden="1" outlineLevel="1" x14ac:dyDescent="0.25">
      <c r="B37" s="52" t="s">
        <v>149</v>
      </c>
      <c r="C37" s="53"/>
    </row>
    <row r="38" spans="2:8" hidden="1" outlineLevel="1" x14ac:dyDescent="0.25">
      <c r="B38" s="11" t="s">
        <v>150</v>
      </c>
      <c r="C38" s="10" t="e">
        <f ca="1">_xll.VIEW(db_name&amp;":}ElementAttributes_variables","!","!")</f>
        <v>#NAME?</v>
      </c>
    </row>
    <row r="39" spans="2:8" hidden="1" outlineLevel="1" x14ac:dyDescent="0.25">
      <c r="B39" s="10" t="s">
        <v>151</v>
      </c>
      <c r="C39" s="10" t="e">
        <f ca="1">_xll.DBR($C$38,$B39,"value")</f>
        <v>#NAME?</v>
      </c>
    </row>
    <row r="40" spans="2:8" hidden="1" outlineLevel="1" x14ac:dyDescent="0.25">
      <c r="B40" s="10" t="s">
        <v>152</v>
      </c>
      <c r="C40" s="10" t="e">
        <f ca="1">_xll.DBR($C$38,$B40,"value")</f>
        <v>#NAME?</v>
      </c>
    </row>
    <row r="41" spans="2:8" hidden="1" outlineLevel="1" x14ac:dyDescent="0.25">
      <c r="B41" s="10" t="s">
        <v>153</v>
      </c>
      <c r="C41" s="10" t="e">
        <f ca="1">_xll.DBR($C$38,$B41,"value")</f>
        <v>#NAME?</v>
      </c>
    </row>
    <row r="42" spans="2:8" hidden="1" outlineLevel="1" x14ac:dyDescent="0.25">
      <c r="B42" s="10" t="s">
        <v>154</v>
      </c>
      <c r="C42" s="10" t="e">
        <f ca="1">_xll.DBR($C$38,$B42,"value")</f>
        <v>#NAME?</v>
      </c>
    </row>
    <row r="43" spans="2:8" hidden="1" outlineLevel="1" x14ac:dyDescent="0.25">
      <c r="B43" s="24" t="s">
        <v>155</v>
      </c>
      <c r="C43" s="10" t="e">
        <f ca="1">_xll.DBR($C$38,$B43,"value")</f>
        <v>#NAME?</v>
      </c>
    </row>
    <row r="44" spans="2:8" hidden="1" outlineLevel="1" x14ac:dyDescent="0.25">
      <c r="B44" s="10" t="s">
        <v>38</v>
      </c>
      <c r="C44" s="10" t="e">
        <f ca="1">_xll.DBR($C$38,$B44,"value")</f>
        <v>#NAME?</v>
      </c>
    </row>
    <row r="45" spans="2:8" hidden="1" outlineLevel="1" x14ac:dyDescent="0.25">
      <c r="B45" s="10" t="s">
        <v>39</v>
      </c>
      <c r="C45" s="10" t="e">
        <f ca="1">_xll.DBR($C$38,$B45,"value")</f>
        <v>#NAME?</v>
      </c>
    </row>
    <row r="46" spans="2:8" hidden="1" outlineLevel="1" x14ac:dyDescent="0.25">
      <c r="B46" s="10" t="s">
        <v>40</v>
      </c>
      <c r="C46" s="10" t="e">
        <f ca="1">_xll.DBR($C$38,$B46,"value")</f>
        <v>#NAME?</v>
      </c>
    </row>
    <row r="47" spans="2:8" hidden="1" outlineLevel="1" x14ac:dyDescent="0.25">
      <c r="B47" s="10" t="s">
        <v>41</v>
      </c>
      <c r="C47" s="10" t="e">
        <f ca="1">_xll.DBR($C$38,$B47,"value")</f>
        <v>#NAME?</v>
      </c>
    </row>
    <row r="48" spans="2:8" hidden="1" outlineLevel="1" x14ac:dyDescent="0.25">
      <c r="B48" s="10" t="s">
        <v>42</v>
      </c>
      <c r="C48" s="10" t="e">
        <f ca="1">_xll.DBR($C$38,$B48,"value")</f>
        <v>#NAME?</v>
      </c>
    </row>
    <row r="49" spans="2:3" hidden="1" outlineLevel="1" x14ac:dyDescent="0.25">
      <c r="B49" s="10" t="s">
        <v>43</v>
      </c>
      <c r="C49" s="10" t="e">
        <f ca="1">_xll.DBR($C$38,$B49,"value")</f>
        <v>#NAME?</v>
      </c>
    </row>
    <row r="50" spans="2:3" hidden="1" outlineLevel="1" x14ac:dyDescent="0.25">
      <c r="B50" s="10" t="s">
        <v>44</v>
      </c>
      <c r="C50" s="10" t="e">
        <f ca="1">_xll.DBR($C$38,$B50,"value")</f>
        <v>#NAME?</v>
      </c>
    </row>
    <row r="51" spans="2:3" hidden="1" outlineLevel="1" x14ac:dyDescent="0.25"/>
    <row r="52" spans="2:3" hidden="1" outlineLevel="1" x14ac:dyDescent="0.25">
      <c r="B52" s="52" t="s">
        <v>156</v>
      </c>
      <c r="C52" s="53"/>
    </row>
    <row r="53" spans="2:3" hidden="1" outlineLevel="1" x14ac:dyDescent="0.25">
      <c r="B53" s="11" t="s">
        <v>150</v>
      </c>
      <c r="C53" s="10" t="e">
        <f ca="1">_xll.VIEW(db_name&amp;":sys_client preference","!","!")</f>
        <v>#NAME?</v>
      </c>
    </row>
    <row r="54" spans="2:3" hidden="1" outlineLevel="1" x14ac:dyDescent="0.25">
      <c r="B54" s="24" t="s">
        <v>157</v>
      </c>
      <c r="C54" s="10" t="e">
        <f ca="1">_xll.DBR($C$53,psUser,$B54,"value")</f>
        <v>#NAME?</v>
      </c>
    </row>
    <row r="55" spans="2:3" hidden="1" outlineLevel="1" x14ac:dyDescent="0.25">
      <c r="B55" s="24" t="s">
        <v>158</v>
      </c>
      <c r="C55" s="10" t="e">
        <f ca="1">_xll.DBR($C$53,psUser,$B55,"value")</f>
        <v>#NAME?</v>
      </c>
    </row>
    <row r="56" spans="2:3" hidden="1" outlineLevel="1" x14ac:dyDescent="0.25">
      <c r="B56" s="24" t="s">
        <v>159</v>
      </c>
      <c r="C56" s="10" t="e">
        <f ca="1">_xll.DBR($C$53,psUser,$B56,"value")</f>
        <v>#NAME?</v>
      </c>
    </row>
    <row r="57" spans="2:3" hidden="1" outlineLevel="1" x14ac:dyDescent="0.25"/>
    <row r="58" spans="2:3" hidden="1" outlineLevel="1" x14ac:dyDescent="0.25">
      <c r="B58" s="52" t="s">
        <v>160</v>
      </c>
      <c r="C58" s="53"/>
    </row>
    <row r="59" spans="2:3" hidden="1" outlineLevel="1" x14ac:dyDescent="0.25">
      <c r="B59" s="91" t="s">
        <v>23</v>
      </c>
      <c r="C59" s="91"/>
    </row>
    <row r="60" spans="2:3" hidden="1" outlineLevel="1" x14ac:dyDescent="0.25">
      <c r="B60" s="11" t="s">
        <v>24</v>
      </c>
      <c r="C60" s="12" t="e">
        <f ca="1">_xll.VIEW(db_name&amp;":AE adjustments",$C$61,$C$62,$C$63,$C$64,$C$65,$C$66,$C$67,$C$68,"!",$C$69,"!",$C$70,"!","!","!",$C$71,"!")</f>
        <v>#NAME?</v>
      </c>
    </row>
    <row r="61" spans="2:3" hidden="1" outlineLevel="1" x14ac:dyDescent="0.25">
      <c r="B61" s="11" t="s">
        <v>25</v>
      </c>
      <c r="C61" s="10" t="e">
        <f ca="1">_xll.SUBNM(db_name&amp;":headline year","Default",$C$54)</f>
        <v>#NAME?</v>
      </c>
    </row>
    <row r="62" spans="2:3" hidden="1" outlineLevel="1" x14ac:dyDescent="0.25">
      <c r="B62" s="11" t="s">
        <v>26</v>
      </c>
      <c r="C62" s="10" t="e">
        <f ca="1">_xll.SUBNM(db_name&amp;":scenario","",$C$55)</f>
        <v>#NAME?</v>
      </c>
    </row>
    <row r="63" spans="2:3" hidden="1" outlineLevel="1" x14ac:dyDescent="0.25">
      <c r="B63" s="11" t="s">
        <v>7</v>
      </c>
      <c r="C63" s="10" t="e">
        <f ca="1">_xll.SUBNM(db_name&amp;":status","","total approved")</f>
        <v>#NAME?</v>
      </c>
    </row>
    <row r="64" spans="2:3" hidden="1" outlineLevel="1" x14ac:dyDescent="0.25">
      <c r="B64" s="11" t="s">
        <v>27</v>
      </c>
      <c r="C64" s="10" t="e">
        <f ca="1">_xll.SUBNM(db_name&amp;":outcome","","Total outcomes")</f>
        <v>#NAME?</v>
      </c>
    </row>
    <row r="65" spans="2:4" hidden="1" outlineLevel="1" x14ac:dyDescent="0.25">
      <c r="B65" s="11" t="s">
        <v>28</v>
      </c>
      <c r="C65" s="10" t="e">
        <f ca="1">_xll.SUBNM(db_name&amp;":related entity","","Total related entity")</f>
        <v>#NAME?</v>
      </c>
    </row>
    <row r="66" spans="2:4" hidden="1" outlineLevel="1" x14ac:dyDescent="0.25">
      <c r="B66" s="11" t="s">
        <v>29</v>
      </c>
      <c r="C66" s="10" t="e">
        <f ca="1">_xll.SUBNM(db_name&amp;":function","","Total functions")</f>
        <v>#NAME?</v>
      </c>
    </row>
    <row r="67" spans="2:4" hidden="1" outlineLevel="1" x14ac:dyDescent="0.25">
      <c r="B67" s="11" t="s">
        <v>30</v>
      </c>
      <c r="C67" s="10" t="e">
        <f ca="1">_xll.SUBNM(db_name&amp;":reason","","Total reason")</f>
        <v>#NAME?</v>
      </c>
    </row>
    <row r="68" spans="2:4" hidden="1" outlineLevel="1" x14ac:dyDescent="0.25">
      <c r="B68" s="11" t="s">
        <v>31</v>
      </c>
      <c r="C68" s="10" t="e">
        <f ca="1">_xll.SUBNM(db_name&amp;":spp","","Total SPP")</f>
        <v>#NAME?</v>
      </c>
    </row>
    <row r="69" spans="2:4" hidden="1" outlineLevel="1" x14ac:dyDescent="0.25">
      <c r="B69" s="11" t="s">
        <v>32</v>
      </c>
      <c r="C69" s="10" t="e">
        <f ca="1">_xll.SUBNM(db_name&amp;":appropriation type","","Total approp types")</f>
        <v>#NAME?</v>
      </c>
    </row>
    <row r="70" spans="2:4" hidden="1" outlineLevel="1" x14ac:dyDescent="0.25">
      <c r="B70" s="11" t="s">
        <v>33</v>
      </c>
      <c r="C70" s="10" t="e">
        <f ca="1">_xll.SUBNM(db_name&amp;":appropriation item","","Total approp item")</f>
        <v>#NAME?</v>
      </c>
    </row>
    <row r="71" spans="2:4" hidden="1" outlineLevel="1" x14ac:dyDescent="0.25">
      <c r="B71" s="11" t="s">
        <v>34</v>
      </c>
      <c r="C71" s="10" t="e">
        <f ca="1">_xll.SUBNM(db_name&amp;":jurisdiction","","Total jurisdictions")</f>
        <v>#NAME?</v>
      </c>
    </row>
    <row r="72" spans="2:4" hidden="1" outlineLevel="1" x14ac:dyDescent="0.25">
      <c r="B72" s="11" t="s">
        <v>35</v>
      </c>
      <c r="C72" s="10" t="e">
        <f ca="1">_xll.SUBNM(db_name&amp;":"&amp;psProgDimName,"","Total programmes","code and description")</f>
        <v>#NAME?</v>
      </c>
    </row>
    <row r="73" spans="2:4" hidden="1" outlineLevel="1" x14ac:dyDescent="0.25">
      <c r="B73" s="11" t="s">
        <v>36</v>
      </c>
      <c r="C73" s="10" t="e">
        <f ca="1">_xll.SUBNM(db_name&amp;":measure code","",$C$56,"")</f>
        <v>#NAME?</v>
      </c>
    </row>
    <row r="74" spans="2:4" hidden="1" outlineLevel="1" x14ac:dyDescent="0.25"/>
    <row r="75" spans="2:4" hidden="1" outlineLevel="1" x14ac:dyDescent="0.25">
      <c r="B75" s="52" t="s">
        <v>167</v>
      </c>
      <c r="C75" s="53"/>
    </row>
    <row r="76" spans="2:4" hidden="1" outlineLevel="1" x14ac:dyDescent="0.25">
      <c r="B76" s="2" t="s">
        <v>37</v>
      </c>
      <c r="C76" s="10" t="e">
        <f ca="1">_xll.VIEW(db_name&amp;":government measures details",$C$54,$C$55,"!","!")</f>
        <v>#NAME?</v>
      </c>
    </row>
    <row r="77" spans="2:4" hidden="1" outlineLevel="1" x14ac:dyDescent="0.25">
      <c r="B77" s="2" t="s">
        <v>37</v>
      </c>
      <c r="C77" s="10" t="e">
        <f ca="1">_xll.VIEW(db_name&amp;":government measures",$E$97,$E$98,"!","!","!","!","!","!","!")</f>
        <v>#NAME?</v>
      </c>
    </row>
    <row r="78" spans="2:4" hidden="1" outlineLevel="1" x14ac:dyDescent="0.25">
      <c r="B78" s="30" t="s">
        <v>6</v>
      </c>
      <c r="C78" s="31"/>
      <c r="D78" s="8"/>
    </row>
    <row r="79" spans="2:4" hidden="1" outlineLevel="1" x14ac:dyDescent="0.25">
      <c r="B79" s="9" t="s">
        <v>7</v>
      </c>
      <c r="C79" s="10" t="e">
        <f ca="1">_xll.SUBNM(db_name&amp;":status","",$D$79)</f>
        <v>#NAME?</v>
      </c>
      <c r="D79" t="e">
        <f ca="1">IF($C$93="draft","data",$C$93)</f>
        <v>#NAME?</v>
      </c>
    </row>
    <row r="80" spans="2:4" hidden="1" outlineLevel="1" x14ac:dyDescent="0.25">
      <c r="B80" s="9" t="s">
        <v>8</v>
      </c>
      <c r="C80" s="10" t="e">
        <f ca="1">_xll.DBR($C$76,$C$54,$C$55,$C$56,$B80)</f>
        <v>#NAME?</v>
      </c>
    </row>
    <row r="81" spans="2:3" hidden="1" outlineLevel="1" x14ac:dyDescent="0.25">
      <c r="B81" s="9" t="s">
        <v>9</v>
      </c>
      <c r="C81" s="10" t="e">
        <f ca="1">_xll.DBR($C$76,$C$54,$C$55,$C$56,$B81)</f>
        <v>#NAME?</v>
      </c>
    </row>
    <row r="82" spans="2:3" hidden="1" outlineLevel="1" x14ac:dyDescent="0.25">
      <c r="B82" s="9" t="s">
        <v>10</v>
      </c>
      <c r="C82" s="10" t="e">
        <f ca="1">_xll.DBR($C$76,$C$54,$C$55,$C$56,$B82)</f>
        <v>#NAME?</v>
      </c>
    </row>
    <row r="83" spans="2:3" hidden="1" outlineLevel="1" x14ac:dyDescent="0.25">
      <c r="B83" s="9" t="s">
        <v>11</v>
      </c>
      <c r="C83" s="10" t="e">
        <f ca="1">_xll.DBR($C$76,$C$54,$C$55,$C$56,$B83)</f>
        <v>#NAME?</v>
      </c>
    </row>
    <row r="84" spans="2:3" hidden="1" outlineLevel="1" x14ac:dyDescent="0.25">
      <c r="B84" s="9" t="s">
        <v>12</v>
      </c>
      <c r="C84" s="10" t="e">
        <f ca="1">_xll.DBR($C$76,$C$54,$C$55,$C$56,$B84)</f>
        <v>#NAME?</v>
      </c>
    </row>
    <row r="85" spans="2:3" hidden="1" outlineLevel="1" x14ac:dyDescent="0.25">
      <c r="B85" s="9" t="s">
        <v>13</v>
      </c>
      <c r="C85" s="10" t="e">
        <f ca="1">_xll.DBR($C$76,$C$54,$C$55,$C$56,$B85)</f>
        <v>#NAME?</v>
      </c>
    </row>
    <row r="86" spans="2:3" hidden="1" outlineLevel="1" x14ac:dyDescent="0.25">
      <c r="B86" s="9" t="s">
        <v>14</v>
      </c>
      <c r="C86" s="10" t="e">
        <f ca="1">_xll.DBR($C$76,$C$54,$C$55,$C$56,$B86)</f>
        <v>#NAME?</v>
      </c>
    </row>
    <row r="87" spans="2:3" hidden="1" outlineLevel="1" x14ac:dyDescent="0.25">
      <c r="B87" s="9" t="s">
        <v>15</v>
      </c>
      <c r="C87" s="10" t="e">
        <f ca="1">_xll.DBR($C$76,$C$54,$C$55,$C$56,$B87)</f>
        <v>#NAME?</v>
      </c>
    </row>
    <row r="88" spans="2:3" hidden="1" outlineLevel="1" x14ac:dyDescent="0.25">
      <c r="B88" s="9" t="s">
        <v>16</v>
      </c>
      <c r="C88" s="10" t="e">
        <f ca="1">_xll.DBR($C$76,$C$54,$C$55,$C$56,$B88)</f>
        <v>#NAME?</v>
      </c>
    </row>
    <row r="89" spans="2:3" hidden="1" outlineLevel="1" x14ac:dyDescent="0.25">
      <c r="B89" s="9" t="s">
        <v>174</v>
      </c>
      <c r="C89" s="10" t="e">
        <f ca="1">_xll.DBR($C$76,$C$54,$C$55,$C$56,$B89)</f>
        <v>#NAME?</v>
      </c>
    </row>
    <row r="90" spans="2:3" hidden="1" outlineLevel="1" x14ac:dyDescent="0.25">
      <c r="B90" s="9" t="s">
        <v>175</v>
      </c>
      <c r="C90" s="10" t="e">
        <f ca="1">_xll.DBR($C$76,$C$54,$C$55,$C$56,$B90)</f>
        <v>#NAME?</v>
      </c>
    </row>
    <row r="91" spans="2:3" hidden="1" outlineLevel="1" x14ac:dyDescent="0.25">
      <c r="B91" s="9" t="s">
        <v>17</v>
      </c>
      <c r="C91" s="10" t="e">
        <f ca="1">_xll.DBR($C$76,$C$54,$C$55,$C$56,$B91)</f>
        <v>#NAME?</v>
      </c>
    </row>
    <row r="92" spans="2:3" hidden="1" outlineLevel="1" x14ac:dyDescent="0.25">
      <c r="B92" s="9" t="s">
        <v>18</v>
      </c>
      <c r="C92" s="10" t="e">
        <f ca="1">_xll.DBR($C$76,$C$54,$C$55,$C$56,$B92)</f>
        <v>#NAME?</v>
      </c>
    </row>
    <row r="93" spans="2:3" hidden="1" outlineLevel="1" x14ac:dyDescent="0.25">
      <c r="B93" s="9" t="s">
        <v>19</v>
      </c>
      <c r="C93" s="10" t="e">
        <f ca="1">_xll.DBR($C$76,$C$54,$C$55,$C$56,$B93)</f>
        <v>#NAME?</v>
      </c>
    </row>
    <row r="94" spans="2:3" hidden="1" outlineLevel="1" x14ac:dyDescent="0.25">
      <c r="B94" s="9" t="s">
        <v>20</v>
      </c>
      <c r="C94" s="10" t="e">
        <f ca="1">_xll.DBR($C$76,$C$54,$C$55,$C$56,$B94)</f>
        <v>#NAME?</v>
      </c>
    </row>
    <row r="95" spans="2:3" hidden="1" outlineLevel="1" x14ac:dyDescent="0.25">
      <c r="B95" s="10"/>
      <c r="C95" s="10"/>
    </row>
    <row r="96" spans="2:3" hidden="1" outlineLevel="1" x14ac:dyDescent="0.25">
      <c r="B96" s="9" t="s">
        <v>168</v>
      </c>
      <c r="C96" s="10" t="e">
        <f ca="1">_xll.DBRA(db_name&amp;":measure code",$C$56,"Active")</f>
        <v>#NAME?</v>
      </c>
    </row>
    <row r="97" spans="2:37" hidden="1" outlineLevel="1" x14ac:dyDescent="0.25"/>
    <row r="98" spans="2:37" hidden="1" outlineLevel="1" x14ac:dyDescent="0.25">
      <c r="B98" s="54" t="s">
        <v>162</v>
      </c>
      <c r="C98" s="54"/>
      <c r="N98" s="10" t="s">
        <v>22</v>
      </c>
      <c r="P98" s="10">
        <v>-1</v>
      </c>
      <c r="Q98" s="10">
        <v>0</v>
      </c>
      <c r="R98" s="10">
        <v>1</v>
      </c>
      <c r="S98" s="10">
        <v>2</v>
      </c>
      <c r="T98" s="10">
        <v>3</v>
      </c>
      <c r="U98" s="10">
        <v>4</v>
      </c>
      <c r="V98" s="10">
        <v>5</v>
      </c>
      <c r="W98" s="10">
        <v>6</v>
      </c>
      <c r="X98" s="10">
        <v>7</v>
      </c>
      <c r="Y98" s="10">
        <v>8</v>
      </c>
      <c r="Z98" s="10">
        <v>9</v>
      </c>
      <c r="AA98" s="10">
        <v>10</v>
      </c>
      <c r="AB98" s="10">
        <v>11</v>
      </c>
      <c r="AC98" s="10">
        <v>12</v>
      </c>
      <c r="AD98" s="10">
        <v>13</v>
      </c>
      <c r="AE98" s="10">
        <v>14</v>
      </c>
      <c r="AF98" s="10">
        <v>15</v>
      </c>
      <c r="AG98" s="10">
        <v>16</v>
      </c>
      <c r="AH98" s="10">
        <v>17</v>
      </c>
      <c r="AI98" s="10">
        <v>18</v>
      </c>
      <c r="AJ98" s="10">
        <v>19</v>
      </c>
      <c r="AK98" s="10">
        <v>20</v>
      </c>
    </row>
    <row r="99" spans="2:37" hidden="1" outlineLevel="1" x14ac:dyDescent="0.25">
      <c r="B99" t="s">
        <v>163</v>
      </c>
      <c r="C99" s="10" t="e">
        <f ca="1">IF(AND(C100=0,C101=0),B102,IF(AND(C100=0,C101&gt;0),B101,IF(AND(C100&gt;0,C101=0),B100,B102)))</f>
        <v>#NAME?</v>
      </c>
      <c r="K99" t="e">
        <f ca="1">_xll.DBRA(db_name&amp;":measure code",$E$99,"Active")</f>
        <v>#NAME?</v>
      </c>
      <c r="N99" s="10" t="e">
        <f ca="1">MID($C$54,3,9)</f>
        <v>#NAME?</v>
      </c>
      <c r="P99" s="10" t="e">
        <f ca="1">_xll.DIMNM(db_name&amp;":period",_xll.DIMIX(db_name&amp;":period",$N99)+P98)</f>
        <v>#NAME?</v>
      </c>
      <c r="Q99" s="10" t="e">
        <f ca="1">_xll.DIMNM(db_name&amp;":period",_xll.DIMIX(db_name&amp;":period",$N99)+Q98)</f>
        <v>#NAME?</v>
      </c>
      <c r="R99" s="10" t="e">
        <f ca="1">_xll.DIMNM(db_name&amp;":period",_xll.DIMIX(db_name&amp;":period",$N99)+R98)</f>
        <v>#NAME?</v>
      </c>
      <c r="S99" s="10" t="e">
        <f ca="1">_xll.DIMNM(db_name&amp;":period",_xll.DIMIX(db_name&amp;":period",$N99)+S98)</f>
        <v>#NAME?</v>
      </c>
      <c r="T99" s="10" t="e">
        <f ca="1">_xll.DIMNM(db_name&amp;":period",_xll.DIMIX(db_name&amp;":period",$N99)+T98)</f>
        <v>#NAME?</v>
      </c>
      <c r="U99" s="10" t="e">
        <f ca="1">_xll.DIMNM(db_name&amp;":period",_xll.DIMIX(db_name&amp;":period",$N99)+U98)</f>
        <v>#NAME?</v>
      </c>
      <c r="V99" s="10" t="e">
        <f ca="1">_xll.DIMNM(db_name&amp;":period",_xll.DIMIX(db_name&amp;":period",$N99)+V98)</f>
        <v>#NAME?</v>
      </c>
      <c r="W99" s="10" t="e">
        <f ca="1">_xll.DIMNM(db_name&amp;":period",_xll.DIMIX(db_name&amp;":period",$N99)+W98)</f>
        <v>#NAME?</v>
      </c>
      <c r="X99" s="10" t="e">
        <f ca="1">_xll.DIMNM(db_name&amp;":period",_xll.DIMIX(db_name&amp;":period",$N99)+X98)</f>
        <v>#NAME?</v>
      </c>
      <c r="Y99" s="10" t="e">
        <f ca="1">_xll.DIMNM(db_name&amp;":period",_xll.DIMIX(db_name&amp;":period",$N99)+Y98)</f>
        <v>#NAME?</v>
      </c>
      <c r="Z99" s="10" t="e">
        <f ca="1">_xll.DIMNM(db_name&amp;":period",_xll.DIMIX(db_name&amp;":period",$N99)+Z98)</f>
        <v>#NAME?</v>
      </c>
      <c r="AA99" s="10" t="e">
        <f ca="1">_xll.DIMNM(db_name&amp;":period",_xll.DIMIX(db_name&amp;":period",$N99)+AA98)</f>
        <v>#NAME?</v>
      </c>
      <c r="AB99" s="10" t="e">
        <f ca="1">_xll.DIMNM(db_name&amp;":period",_xll.DIMIX(db_name&amp;":period",$N99)+AB98)</f>
        <v>#NAME?</v>
      </c>
      <c r="AC99" s="10" t="e">
        <f ca="1">_xll.DIMNM(db_name&amp;":period",_xll.DIMIX(db_name&amp;":period",$N99)+AC98)</f>
        <v>#NAME?</v>
      </c>
      <c r="AD99" s="10" t="e">
        <f ca="1">_xll.DIMNM(db_name&amp;":period",_xll.DIMIX(db_name&amp;":period",$N99)+AD98)</f>
        <v>#NAME?</v>
      </c>
      <c r="AE99" s="10" t="e">
        <f ca="1">_xll.DIMNM(db_name&amp;":period",_xll.DIMIX(db_name&amp;":period",$N99)+AE98)</f>
        <v>#NAME?</v>
      </c>
      <c r="AF99" s="10" t="e">
        <f ca="1">_xll.DIMNM(db_name&amp;":period",_xll.DIMIX(db_name&amp;":period",$N99)+AF98)</f>
        <v>#NAME?</v>
      </c>
      <c r="AG99" s="10" t="e">
        <f ca="1">_xll.DIMNM(db_name&amp;":period",_xll.DIMIX(db_name&amp;":period",$N99)+AG98)</f>
        <v>#NAME?</v>
      </c>
      <c r="AH99" s="10" t="e">
        <f ca="1">_xll.DIMNM(db_name&amp;":period",_xll.DIMIX(db_name&amp;":period",$N99)+AH98)</f>
        <v>#NAME?</v>
      </c>
      <c r="AI99" s="10" t="e">
        <f ca="1">_xll.DIMNM(db_name&amp;":period",_xll.DIMIX(db_name&amp;":period",$N99)+AI98)</f>
        <v>#NAME?</v>
      </c>
      <c r="AJ99" s="10" t="e">
        <f ca="1">_xll.DIMNM(db_name&amp;":period",_xll.DIMIX(db_name&amp;":period",$N99)+AJ98)</f>
        <v>#NAME?</v>
      </c>
      <c r="AK99" s="10" t="e">
        <f ca="1">_xll.DIMNM(db_name&amp;":period",_xll.DIMIX(db_name&amp;":period",$N99)+AK98)</f>
        <v>#NAME?</v>
      </c>
    </row>
    <row r="100" spans="2:37" hidden="1" outlineLevel="1" x14ac:dyDescent="0.25">
      <c r="B100" s="10" t="s">
        <v>88</v>
      </c>
      <c r="C100" s="10" t="e">
        <f ca="1">_xll.DIMIX(db_name&amp;":account",$B100)</f>
        <v>#NAME?</v>
      </c>
    </row>
    <row r="101" spans="2:37" hidden="1" outlineLevel="1" x14ac:dyDescent="0.25">
      <c r="B101" s="24" t="s">
        <v>161</v>
      </c>
      <c r="C101" s="10" t="e">
        <f ca="1">_xll.DIMIX(db_name&amp;":account",$B101)</f>
        <v>#NAME?</v>
      </c>
    </row>
    <row r="102" spans="2:37" hidden="1" outlineLevel="1" x14ac:dyDescent="0.25">
      <c r="B102" s="28" t="s">
        <v>102</v>
      </c>
      <c r="C102" s="10"/>
    </row>
    <row r="103" spans="2:37" hidden="1" outlineLevel="1" x14ac:dyDescent="0.25"/>
    <row r="104" spans="2:37" hidden="1" outlineLevel="1" x14ac:dyDescent="0.25">
      <c r="B104" s="54" t="s">
        <v>164</v>
      </c>
      <c r="C104" s="54"/>
    </row>
    <row r="105" spans="2:37" hidden="1" outlineLevel="1" x14ac:dyDescent="0.25">
      <c r="B105" s="10" t="s">
        <v>165</v>
      </c>
      <c r="C105" s="10" t="str">
        <f>IF(OR(db_name="portfolio_geus",db_name="dbcde_geus",db_name="diisrte_geus"),"Administered Programs","Administered Programmes")</f>
        <v>Administered Programmes</v>
      </c>
    </row>
    <row r="106" spans="2:37" hidden="1" outlineLevel="1" x14ac:dyDescent="0.25">
      <c r="B106" s="10" t="s">
        <v>166</v>
      </c>
      <c r="C106" s="10" t="str">
        <f>IF(OR(db_name="portfolio_geus",db_name="dbcde_geus",db_name="diisrte_geus"),"Departmental Programs","Departmental Programmes")</f>
        <v>Departmental Programmes</v>
      </c>
    </row>
    <row r="107" spans="2:37" hidden="1" outlineLevel="1" x14ac:dyDescent="0.25"/>
    <row r="108" spans="2:37" hidden="1" outlineLevel="1" x14ac:dyDescent="0.25"/>
    <row r="109" spans="2:37" hidden="1" outlineLevel="1" x14ac:dyDescent="0.25"/>
    <row r="110" spans="2:37" ht="39.950000000000003" customHeight="1" collapsed="1" x14ac:dyDescent="0.25"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 t="s">
        <v>170</v>
      </c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</row>
    <row r="111" spans="2:37" ht="4.5" customHeight="1" x14ac:dyDescent="0.25"/>
    <row r="112" spans="2:37" ht="24" customHeight="1" x14ac:dyDescent="0.25"/>
    <row r="113" spans="5:38" ht="1.5" customHeight="1" x14ac:dyDescent="0.25"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</row>
    <row r="114" spans="5:38" ht="4.5" customHeight="1" thickBot="1" x14ac:dyDescent="0.3"/>
    <row r="115" spans="5:38" x14ac:dyDescent="0.25">
      <c r="K115" s="33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5"/>
    </row>
    <row r="116" spans="5:38" x14ac:dyDescent="0.25">
      <c r="K116" s="79" t="s">
        <v>25</v>
      </c>
      <c r="L116" s="70"/>
      <c r="M116" s="70"/>
      <c r="N116" s="70"/>
      <c r="P116" s="87" t="e">
        <f ca="1">$C$54</f>
        <v>#NAME?</v>
      </c>
      <c r="Q116" s="88"/>
      <c r="T116" s="70" t="s">
        <v>26</v>
      </c>
      <c r="U116" s="70"/>
      <c r="V116" s="87" t="e">
        <f ca="1">$C$55</f>
        <v>#NAME?</v>
      </c>
      <c r="W116" s="88"/>
      <c r="Y116" s="70" t="s">
        <v>47</v>
      </c>
      <c r="Z116" s="70"/>
      <c r="AA116" s="89" t="e">
        <f ca="1">$C$93</f>
        <v>#NAME?</v>
      </c>
      <c r="AB116" s="90"/>
      <c r="AD116" s="70" t="s">
        <v>48</v>
      </c>
      <c r="AE116" s="76"/>
      <c r="AF116" s="83" t="e">
        <f ca="1">IF($C$96="Y","ACTIVE","INACTIVE")</f>
        <v>#NAME?</v>
      </c>
      <c r="AG116" s="84"/>
      <c r="AK116" s="36"/>
    </row>
    <row r="117" spans="5:38" ht="3.95" customHeight="1" x14ac:dyDescent="0.25">
      <c r="K117" s="37"/>
      <c r="L117" s="38"/>
      <c r="M117" s="38"/>
      <c r="N117" s="38"/>
      <c r="P117" s="39"/>
      <c r="Q117" s="39"/>
      <c r="T117" s="38"/>
      <c r="U117" s="38"/>
      <c r="V117" s="39"/>
      <c r="W117" s="39"/>
      <c r="Y117" s="38"/>
      <c r="Z117" s="38"/>
      <c r="AA117" s="39"/>
      <c r="AB117" s="39"/>
      <c r="AD117" s="38"/>
      <c r="AE117" s="38"/>
      <c r="AF117" s="39"/>
      <c r="AG117" s="39"/>
      <c r="AK117" s="36"/>
    </row>
    <row r="118" spans="5:38" x14ac:dyDescent="0.25">
      <c r="K118" s="79" t="s">
        <v>36</v>
      </c>
      <c r="L118" s="70"/>
      <c r="M118" s="70"/>
      <c r="N118" s="70"/>
      <c r="P118" s="85" t="e">
        <f ca="1">$C$56</f>
        <v>#NAME?</v>
      </c>
      <c r="Q118" s="86"/>
      <c r="T118" s="70" t="s">
        <v>49</v>
      </c>
      <c r="U118" s="70"/>
      <c r="V118" s="77" t="e">
        <f ca="1">C86</f>
        <v>#NAME?</v>
      </c>
      <c r="W118" s="78"/>
      <c r="Y118" s="70" t="s">
        <v>50</v>
      </c>
      <c r="Z118" s="70" t="s">
        <v>50</v>
      </c>
      <c r="AA118" s="77" t="e">
        <f ca="1">$C$92</f>
        <v>#NAME?</v>
      </c>
      <c r="AB118" s="78"/>
      <c r="AD118" s="70" t="s">
        <v>51</v>
      </c>
      <c r="AE118" s="76"/>
      <c r="AF118" s="77" t="e">
        <f ca="1">$C$83</f>
        <v>#NAME?</v>
      </c>
      <c r="AG118" s="78"/>
      <c r="AK118" s="36"/>
    </row>
    <row r="119" spans="5:38" ht="3.95" customHeight="1" x14ac:dyDescent="0.25">
      <c r="K119" s="37"/>
      <c r="L119" s="38"/>
      <c r="M119" s="38"/>
      <c r="N119" s="38"/>
      <c r="P119" s="39"/>
      <c r="Q119" s="39"/>
      <c r="T119" s="38"/>
      <c r="U119" s="38"/>
      <c r="V119" s="39"/>
      <c r="W119" s="39"/>
      <c r="Y119" s="38"/>
      <c r="Z119" s="38"/>
      <c r="AA119" s="39"/>
      <c r="AB119" s="39"/>
      <c r="AD119" s="38"/>
      <c r="AE119" s="38"/>
      <c r="AF119" s="39"/>
      <c r="AG119" s="39"/>
      <c r="AK119" s="36"/>
    </row>
    <row r="120" spans="5:38" x14ac:dyDescent="0.25">
      <c r="F120" s="13"/>
      <c r="K120" s="79" t="s">
        <v>52</v>
      </c>
      <c r="L120" s="70"/>
      <c r="M120" s="70"/>
      <c r="N120" s="70"/>
      <c r="P120" s="77" t="e">
        <f ca="1">$C$82</f>
        <v>#NAME?</v>
      </c>
      <c r="Q120" s="78"/>
      <c r="T120" s="70" t="s">
        <v>53</v>
      </c>
      <c r="U120" s="70"/>
      <c r="V120" s="77" t="e">
        <f ca="1">$C$89</f>
        <v>#NAME?</v>
      </c>
      <c r="W120" s="78"/>
      <c r="Y120" s="70" t="s">
        <v>169</v>
      </c>
      <c r="Z120" s="70"/>
      <c r="AA120" s="77" t="e">
        <f ca="1">$C$90</f>
        <v>#NAME?</v>
      </c>
      <c r="AB120" s="78"/>
      <c r="AD120" s="70" t="s">
        <v>54</v>
      </c>
      <c r="AE120" s="76"/>
      <c r="AF120" s="77" t="e">
        <f ca="1">$C$81</f>
        <v>#NAME?</v>
      </c>
      <c r="AG120" s="78"/>
      <c r="AK120" s="36"/>
    </row>
    <row r="121" spans="5:38" ht="3.95" customHeight="1" x14ac:dyDescent="0.25">
      <c r="K121" s="37"/>
      <c r="L121" s="38"/>
      <c r="M121" s="38"/>
      <c r="N121" s="38"/>
      <c r="AK121" s="36"/>
    </row>
    <row r="122" spans="5:38" ht="15" customHeight="1" x14ac:dyDescent="0.25">
      <c r="K122" s="79" t="s">
        <v>55</v>
      </c>
      <c r="L122" s="70"/>
      <c r="M122" s="70"/>
      <c r="N122" s="70"/>
      <c r="P122" s="80" t="e">
        <f ca="1">$C$85</f>
        <v>#NAME?</v>
      </c>
      <c r="Q122" s="81"/>
      <c r="R122" s="81"/>
      <c r="S122" s="81"/>
      <c r="T122" s="81"/>
      <c r="U122" s="81"/>
      <c r="V122" s="81"/>
      <c r="W122" s="82"/>
      <c r="Y122" s="70" t="s">
        <v>56</v>
      </c>
      <c r="Z122" s="70"/>
      <c r="AA122" s="73" t="e">
        <f ca="1">$C$91</f>
        <v>#NAME?</v>
      </c>
      <c r="AB122" s="74"/>
      <c r="AC122" s="74"/>
      <c r="AD122" s="74"/>
      <c r="AE122" s="74"/>
      <c r="AF122" s="74"/>
      <c r="AG122" s="75"/>
      <c r="AK122" s="36"/>
      <c r="AL122" s="14"/>
    </row>
    <row r="123" spans="5:38" ht="3.95" customHeight="1" x14ac:dyDescent="0.25">
      <c r="K123" s="40"/>
      <c r="L123" s="39"/>
      <c r="M123" s="39"/>
      <c r="N123" s="39"/>
      <c r="P123" s="39"/>
      <c r="Q123" s="39"/>
      <c r="R123" s="39"/>
      <c r="S123" s="39"/>
      <c r="T123" s="39"/>
      <c r="U123" s="39"/>
      <c r="V123" s="39"/>
      <c r="AA123" s="14"/>
      <c r="AB123" s="14"/>
      <c r="AF123" s="14"/>
      <c r="AG123" s="14"/>
      <c r="AK123" s="36"/>
      <c r="AL123" s="14"/>
    </row>
    <row r="124" spans="5:38" ht="15" customHeight="1" x14ac:dyDescent="0.25">
      <c r="E124" s="21"/>
      <c r="K124" s="59" t="s">
        <v>57</v>
      </c>
      <c r="L124" s="60"/>
      <c r="M124" s="60"/>
      <c r="N124" s="60"/>
      <c r="P124" s="61" t="e">
        <f ca="1">$C$84</f>
        <v>#NAME?</v>
      </c>
      <c r="Q124" s="62"/>
      <c r="R124" s="62"/>
      <c r="S124" s="62"/>
      <c r="T124" s="62"/>
      <c r="U124" s="62"/>
      <c r="V124" s="62"/>
      <c r="W124" s="63"/>
      <c r="Y124" s="70" t="s">
        <v>58</v>
      </c>
      <c r="Z124" s="70"/>
      <c r="AA124" s="71" t="e">
        <f ca="1">$C$94</f>
        <v>#NAME?</v>
      </c>
      <c r="AB124" s="72"/>
      <c r="AK124" s="36"/>
      <c r="AL124" s="14"/>
    </row>
    <row r="125" spans="5:38" ht="3.95" customHeight="1" x14ac:dyDescent="0.25">
      <c r="K125" s="40"/>
      <c r="L125" s="39"/>
      <c r="M125" s="39"/>
      <c r="N125" s="39"/>
      <c r="P125" s="64"/>
      <c r="Q125" s="65"/>
      <c r="R125" s="65"/>
      <c r="S125" s="65"/>
      <c r="T125" s="65"/>
      <c r="U125" s="65"/>
      <c r="V125" s="65"/>
      <c r="W125" s="66"/>
      <c r="AA125" s="14"/>
      <c r="AB125" s="14"/>
      <c r="AF125" s="14"/>
      <c r="AG125" s="14"/>
      <c r="AK125" s="36"/>
      <c r="AL125" s="14"/>
    </row>
    <row r="126" spans="5:38" x14ac:dyDescent="0.25">
      <c r="K126" s="41"/>
      <c r="P126" s="67"/>
      <c r="Q126" s="68"/>
      <c r="R126" s="68"/>
      <c r="S126" s="68"/>
      <c r="T126" s="68"/>
      <c r="U126" s="68"/>
      <c r="V126" s="68"/>
      <c r="W126" s="69"/>
      <c r="Y126" s="70" t="s">
        <v>59</v>
      </c>
      <c r="Z126" s="70"/>
      <c r="AA126" s="73" t="e">
        <f ca="1">C88</f>
        <v>#NAME?</v>
      </c>
      <c r="AB126" s="74"/>
      <c r="AC126" s="74"/>
      <c r="AD126" s="74"/>
      <c r="AE126" s="74"/>
      <c r="AF126" s="74"/>
      <c r="AG126" s="75"/>
      <c r="AK126" s="36"/>
      <c r="AL126" s="14"/>
    </row>
    <row r="127" spans="5:38" ht="5.0999999999999996" customHeight="1" thickBot="1" x14ac:dyDescent="0.3">
      <c r="K127" s="42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4"/>
    </row>
    <row r="128" spans="5:38" ht="4.5" customHeight="1" x14ac:dyDescent="0.25"/>
    <row r="129" spans="1:37" x14ac:dyDescent="0.25">
      <c r="P129" s="32" t="s">
        <v>60</v>
      </c>
      <c r="Q129" s="32" t="s">
        <v>61</v>
      </c>
      <c r="R129" s="32" t="s">
        <v>62</v>
      </c>
      <c r="S129" s="32" t="s">
        <v>63</v>
      </c>
      <c r="T129" s="32" t="s">
        <v>64</v>
      </c>
      <c r="U129" s="32" t="s">
        <v>65</v>
      </c>
      <c r="V129" s="32" t="s">
        <v>66</v>
      </c>
      <c r="W129" s="32" t="s">
        <v>67</v>
      </c>
      <c r="X129" s="32" t="s">
        <v>68</v>
      </c>
      <c r="Y129" s="32" t="s">
        <v>69</v>
      </c>
      <c r="Z129" s="32" t="s">
        <v>70</v>
      </c>
      <c r="AA129" s="32" t="s">
        <v>71</v>
      </c>
      <c r="AB129" s="32" t="s">
        <v>72</v>
      </c>
      <c r="AC129" s="32" t="s">
        <v>73</v>
      </c>
      <c r="AD129" s="32" t="s">
        <v>74</v>
      </c>
      <c r="AE129" s="32" t="s">
        <v>75</v>
      </c>
      <c r="AF129" s="32" t="s">
        <v>76</v>
      </c>
      <c r="AG129" s="32" t="s">
        <v>77</v>
      </c>
      <c r="AH129" s="32" t="s">
        <v>78</v>
      </c>
      <c r="AI129" s="32" t="s">
        <v>79</v>
      </c>
      <c r="AJ129" s="32" t="s">
        <v>80</v>
      </c>
      <c r="AK129" s="32" t="s">
        <v>81</v>
      </c>
    </row>
    <row r="130" spans="1:37" x14ac:dyDescent="0.25">
      <c r="B130" s="15" t="s">
        <v>36</v>
      </c>
      <c r="C130" s="15" t="s">
        <v>5</v>
      </c>
      <c r="D130" s="15" t="s">
        <v>82</v>
      </c>
      <c r="E130" s="15" t="s">
        <v>83</v>
      </c>
      <c r="F130" s="15" t="s">
        <v>84</v>
      </c>
      <c r="K130" s="58" t="s">
        <v>85</v>
      </c>
      <c r="L130" s="58"/>
      <c r="M130" s="58"/>
      <c r="N130" s="58"/>
      <c r="P130" s="32" t="e">
        <f ca="1">P$99</f>
        <v>#NAME?</v>
      </c>
      <c r="Q130" s="32" t="e">
        <f t="shared" ref="Q130:AK130" ca="1" si="0">Q$99</f>
        <v>#NAME?</v>
      </c>
      <c r="R130" s="32" t="e">
        <f t="shared" ca="1" si="0"/>
        <v>#NAME?</v>
      </c>
      <c r="S130" s="32" t="e">
        <f t="shared" ca="1" si="0"/>
        <v>#NAME?</v>
      </c>
      <c r="T130" s="32" t="e">
        <f t="shared" ca="1" si="0"/>
        <v>#NAME?</v>
      </c>
      <c r="U130" s="32" t="e">
        <f t="shared" ca="1" si="0"/>
        <v>#NAME?</v>
      </c>
      <c r="V130" s="32" t="e">
        <f t="shared" ca="1" si="0"/>
        <v>#NAME?</v>
      </c>
      <c r="W130" s="32" t="e">
        <f t="shared" ca="1" si="0"/>
        <v>#NAME?</v>
      </c>
      <c r="X130" s="32" t="e">
        <f t="shared" ca="1" si="0"/>
        <v>#NAME?</v>
      </c>
      <c r="Y130" s="32" t="e">
        <f t="shared" ca="1" si="0"/>
        <v>#NAME?</v>
      </c>
      <c r="Z130" s="32" t="e">
        <f t="shared" ca="1" si="0"/>
        <v>#NAME?</v>
      </c>
      <c r="AA130" s="32" t="e">
        <f t="shared" ca="1" si="0"/>
        <v>#NAME?</v>
      </c>
      <c r="AB130" s="32" t="e">
        <f t="shared" ca="1" si="0"/>
        <v>#NAME?</v>
      </c>
      <c r="AC130" s="32" t="e">
        <f t="shared" ca="1" si="0"/>
        <v>#NAME?</v>
      </c>
      <c r="AD130" s="32" t="e">
        <f t="shared" ca="1" si="0"/>
        <v>#NAME?</v>
      </c>
      <c r="AE130" s="32" t="e">
        <f t="shared" ca="1" si="0"/>
        <v>#NAME?</v>
      </c>
      <c r="AF130" s="32" t="e">
        <f t="shared" ca="1" si="0"/>
        <v>#NAME?</v>
      </c>
      <c r="AG130" s="32" t="e">
        <f t="shared" ca="1" si="0"/>
        <v>#NAME?</v>
      </c>
      <c r="AH130" s="32" t="e">
        <f t="shared" ca="1" si="0"/>
        <v>#NAME?</v>
      </c>
      <c r="AI130" s="32" t="e">
        <f t="shared" ca="1" si="0"/>
        <v>#NAME?</v>
      </c>
      <c r="AJ130" s="32" t="e">
        <f t="shared" ca="1" si="0"/>
        <v>#NAME?</v>
      </c>
      <c r="AK130" s="32" t="e">
        <f t="shared" ca="1" si="0"/>
        <v>#NAME?</v>
      </c>
    </row>
    <row r="131" spans="1:37" x14ac:dyDescent="0.25">
      <c r="B131" s="16" t="e">
        <f ca="1">$C$56</f>
        <v>#NAME?</v>
      </c>
      <c r="C131" t="str">
        <f>$C$106</f>
        <v>Departmental Programmes</v>
      </c>
      <c r="D131" t="s">
        <v>171</v>
      </c>
      <c r="E131" s="17" t="e">
        <f ca="1">$C$48</f>
        <v>#NAME?</v>
      </c>
      <c r="F131" t="e">
        <f ca="1">$C$46</f>
        <v>#NAME?</v>
      </c>
      <c r="K131" s="55" t="s">
        <v>86</v>
      </c>
      <c r="L131" s="55"/>
      <c r="M131" s="55"/>
      <c r="N131" s="55"/>
      <c r="P131" s="19" t="e">
        <f ca="1">IF(_xll.DIMIX(db_name&amp;":measure code",$B131)=0,0,_xll.DBRW(
$C$60,$C$61,$C$62,$C$63,$C$64,$C$65,$C$66,$C$67,$C$68,$B131,$C$69,$F131,$C$70,$C131,$E131,$D131,$C$71,P$99))</f>
        <v>#NAME?</v>
      </c>
      <c r="Q131" s="19" t="e">
        <f ca="1">IF(_xll.DIMIX(db_name&amp;":measure code",$B131)=0,0,_xll.DBRW(
$C$60,$C$61,$C$62,$C$63,$C$64,$C$65,$C$66,$C$67,$C$68,$B131,$C$69,$F131,$C$70,$C131,$E131,$D131,$C$71,Q$99))</f>
        <v>#NAME?</v>
      </c>
      <c r="R131" s="19" t="e">
        <f ca="1">IF(_xll.DIMIX(db_name&amp;":measure code",$B131)=0,0,_xll.DBRW(
$C$60,$C$61,$C$62,$C$63,$C$64,$C$65,$C$66,$C$67,$C$68,$B131,$C$69,$F131,$C$70,$C131,$E131,$D131,$C$71,R$99))</f>
        <v>#NAME?</v>
      </c>
      <c r="S131" s="19" t="e">
        <f ca="1">IF(_xll.DIMIX(db_name&amp;":measure code",$B131)=0,0,_xll.DBRW(
$C$60,$C$61,$C$62,$C$63,$C$64,$C$65,$C$66,$C$67,$C$68,$B131,$C$69,$F131,$C$70,$C131,$E131,$D131,$C$71,S$99))</f>
        <v>#NAME?</v>
      </c>
      <c r="T131" s="19" t="e">
        <f ca="1">IF(_xll.DIMIX(db_name&amp;":measure code",$B131)=0,0,_xll.DBRW(
$C$60,$C$61,$C$62,$C$63,$C$64,$C$65,$C$66,$C$67,$C$68,$B131,$C$69,$F131,$C$70,$C131,$E131,$D131,$C$71,T$99))</f>
        <v>#NAME?</v>
      </c>
      <c r="U131" s="19" t="e">
        <f ca="1">IF(_xll.DIMIX(db_name&amp;":measure code",$B131)=0,0,_xll.DBRW(
$C$60,$C$61,$C$62,$C$63,$C$64,$C$65,$C$66,$C$67,$C$68,$B131,$C$69,$F131,$C$70,$C131,$E131,$D131,$C$71,U$99))</f>
        <v>#NAME?</v>
      </c>
      <c r="V131" s="19" t="e">
        <f ca="1">IF(_xll.DIMIX(db_name&amp;":measure code",$B131)=0,0,_xll.DBRW(
$C$60,$C$61,$C$62,$C$63,$C$64,$C$65,$C$66,$C$67,$C$68,$B131,$C$69,$F131,$C$70,$C131,$E131,$D131,$C$71,V$99))</f>
        <v>#NAME?</v>
      </c>
      <c r="W131" s="19" t="e">
        <f ca="1">IF(_xll.DIMIX(db_name&amp;":measure code",$B131)=0,0,_xll.DBRW(
$C$60,$C$61,$C$62,$C$63,$C$64,$C$65,$C$66,$C$67,$C$68,$B131,$C$69,$F131,$C$70,$C131,$E131,$D131,$C$71,W$99))</f>
        <v>#NAME?</v>
      </c>
      <c r="X131" s="19" t="e">
        <f ca="1">IF(_xll.DIMIX(db_name&amp;":measure code",$B131)=0,0,_xll.DBRW(
$C$60,$C$61,$C$62,$C$63,$C$64,$C$65,$C$66,$C$67,$C$68,$B131,$C$69,$F131,$C$70,$C131,$E131,$D131,$C$71,X$99))</f>
        <v>#NAME?</v>
      </c>
      <c r="Y131" s="19" t="e">
        <f ca="1">IF(_xll.DIMIX(db_name&amp;":measure code",$B131)=0,0,_xll.DBRW(
$C$60,$C$61,$C$62,$C$63,$C$64,$C$65,$C$66,$C$67,$C$68,$B131,$C$69,$F131,$C$70,$C131,$E131,$D131,$C$71,Y$99))</f>
        <v>#NAME?</v>
      </c>
      <c r="Z131" s="19" t="e">
        <f ca="1">IF(_xll.DIMIX(db_name&amp;":measure code",$B131)=0,0,_xll.DBRW(
$C$60,$C$61,$C$62,$C$63,$C$64,$C$65,$C$66,$C$67,$C$68,$B131,$C$69,$F131,$C$70,$C131,$E131,$D131,$C$71,Z$99))</f>
        <v>#NAME?</v>
      </c>
      <c r="AA131" s="19" t="e">
        <f ca="1">IF(_xll.DIMIX(db_name&amp;":measure code",$B131)=0,0,_xll.DBRW(
$C$60,$C$61,$C$62,$C$63,$C$64,$C$65,$C$66,$C$67,$C$68,$B131,$C$69,$F131,$C$70,$C131,$E131,$D131,$C$71,AA$99))</f>
        <v>#NAME?</v>
      </c>
      <c r="AB131" s="19" t="e">
        <f ca="1">IF(_xll.DIMIX(db_name&amp;":measure code",$B131)=0,0,_xll.DBRW(
$C$60,$C$61,$C$62,$C$63,$C$64,$C$65,$C$66,$C$67,$C$68,$B131,$C$69,$F131,$C$70,$C131,$E131,$D131,$C$71,AB$99))</f>
        <v>#NAME?</v>
      </c>
      <c r="AC131" s="19" t="e">
        <f ca="1">IF(_xll.DIMIX(db_name&amp;":measure code",$B131)=0,0,_xll.DBRW(
$C$60,$C$61,$C$62,$C$63,$C$64,$C$65,$C$66,$C$67,$C$68,$B131,$C$69,$F131,$C$70,$C131,$E131,$D131,$C$71,AC$99))</f>
        <v>#NAME?</v>
      </c>
      <c r="AD131" s="19" t="e">
        <f ca="1">IF(_xll.DIMIX(db_name&amp;":measure code",$B131)=0,0,_xll.DBRW(
$C$60,$C$61,$C$62,$C$63,$C$64,$C$65,$C$66,$C$67,$C$68,$B131,$C$69,$F131,$C$70,$C131,$E131,$D131,$C$71,AD$99))</f>
        <v>#NAME?</v>
      </c>
      <c r="AE131" s="19" t="e">
        <f ca="1">IF(_xll.DIMIX(db_name&amp;":measure code",$B131)=0,0,_xll.DBRW(
$C$60,$C$61,$C$62,$C$63,$C$64,$C$65,$C$66,$C$67,$C$68,$B131,$C$69,$F131,$C$70,$C131,$E131,$D131,$C$71,AE$99))</f>
        <v>#NAME?</v>
      </c>
      <c r="AF131" s="19" t="e">
        <f ca="1">IF(_xll.DIMIX(db_name&amp;":measure code",$B131)=0,0,_xll.DBRW(
$C$60,$C$61,$C$62,$C$63,$C$64,$C$65,$C$66,$C$67,$C$68,$B131,$C$69,$F131,$C$70,$C131,$E131,$D131,$C$71,AF$99))</f>
        <v>#NAME?</v>
      </c>
      <c r="AG131" s="19" t="e">
        <f ca="1">IF(_xll.DIMIX(db_name&amp;":measure code",$B131)=0,0,_xll.DBRW(
$C$60,$C$61,$C$62,$C$63,$C$64,$C$65,$C$66,$C$67,$C$68,$B131,$C$69,$F131,$C$70,$C131,$E131,$D131,$C$71,AG$99))</f>
        <v>#NAME?</v>
      </c>
      <c r="AH131" s="19" t="e">
        <f ca="1">IF(_xll.DIMIX(db_name&amp;":measure code",$B131)=0,0,_xll.DBRW(
$C$60,$C$61,$C$62,$C$63,$C$64,$C$65,$C$66,$C$67,$C$68,$B131,$C$69,$F131,$C$70,$C131,$E131,$D131,$C$71,AH$99))</f>
        <v>#NAME?</v>
      </c>
      <c r="AI131" s="19" t="e">
        <f ca="1">IF(_xll.DIMIX(db_name&amp;":measure code",$B131)=0,0,_xll.DBRW(
$C$60,$C$61,$C$62,$C$63,$C$64,$C$65,$C$66,$C$67,$C$68,$B131,$C$69,$F131,$C$70,$C131,$E131,$D131,$C$71,AI$99))</f>
        <v>#NAME?</v>
      </c>
      <c r="AJ131" s="19" t="e">
        <f ca="1">IF(_xll.DIMIX(db_name&amp;":measure code",$B131)=0,0,_xll.DBRW(
$C$60,$C$61,$C$62,$C$63,$C$64,$C$65,$C$66,$C$67,$C$68,$B131,$C$69,$F131,$C$70,$C131,$E131,$D131,$C$71,AJ$99))</f>
        <v>#NAME?</v>
      </c>
      <c r="AK131" s="19" t="e">
        <f ca="1">IF(_xll.DIMIX(db_name&amp;":measure code",$B131)=0,0,_xll.DBRW(
$C$60,$C$61,$C$62,$C$63,$C$64,$C$65,$C$66,$C$67,$C$68,$B131,$C$69,$F131,$C$70,$C131,$E131,$D131,$C$71,AK$99))</f>
        <v>#NAME?</v>
      </c>
    </row>
    <row r="132" spans="1:37" x14ac:dyDescent="0.25">
      <c r="B132" s="16" t="e">
        <f t="shared" ref="B132:B140" ca="1" si="1">$C$56</f>
        <v>#NAME?</v>
      </c>
      <c r="C132" t="str">
        <f>$C$106</f>
        <v>Departmental Programmes</v>
      </c>
      <c r="D132" t="s">
        <v>171</v>
      </c>
      <c r="E132" s="17" t="e">
        <f ca="1">$C$47</f>
        <v>#NAME?</v>
      </c>
      <c r="F132" t="e">
        <f t="shared" ref="F132:F138" ca="1" si="2">$C$46</f>
        <v>#NAME?</v>
      </c>
      <c r="K132" s="55" t="s">
        <v>87</v>
      </c>
      <c r="L132" s="55"/>
      <c r="M132" s="55"/>
      <c r="N132" s="55"/>
      <c r="P132" s="19" t="e">
        <f ca="1">IF(_xll.DIMIX(db_name&amp;":measure code",$B132)=0,0,_xll.DBRW(
$C$60,$C$61,$C$62,$C$63,$C$64,$C$65,$C$66,$C$67,$C$68,$B132,$C$69,$F132,$C$70,$C132,$E132,$D132,$C$71,P$99))</f>
        <v>#NAME?</v>
      </c>
      <c r="Q132" s="19" t="e">
        <f ca="1">IF(_xll.DIMIX(db_name&amp;":measure code",$B132)=0,0,_xll.DBRW(
$C$60,$C$61,$C$62,$C$63,$C$64,$C$65,$C$66,$C$67,$C$68,$B132,$C$69,$F132,$C$70,$C132,$E132,$D132,$C$71,Q$99))</f>
        <v>#NAME?</v>
      </c>
      <c r="R132" s="19" t="e">
        <f ca="1">IF(_xll.DIMIX(db_name&amp;":measure code",$B132)=0,0,_xll.DBRW(
$C$60,$C$61,$C$62,$C$63,$C$64,$C$65,$C$66,$C$67,$C$68,$B132,$C$69,$F132,$C$70,$C132,$E132,$D132,$C$71,R$99))</f>
        <v>#NAME?</v>
      </c>
      <c r="S132" s="19" t="e">
        <f ca="1">IF(_xll.DIMIX(db_name&amp;":measure code",$B132)=0,0,_xll.DBRW(
$C$60,$C$61,$C$62,$C$63,$C$64,$C$65,$C$66,$C$67,$C$68,$B132,$C$69,$F132,$C$70,$C132,$E132,$D132,$C$71,S$99))</f>
        <v>#NAME?</v>
      </c>
      <c r="T132" s="19" t="e">
        <f ca="1">IF(_xll.DIMIX(db_name&amp;":measure code",$B132)=0,0,_xll.DBRW(
$C$60,$C$61,$C$62,$C$63,$C$64,$C$65,$C$66,$C$67,$C$68,$B132,$C$69,$F132,$C$70,$C132,$E132,$D132,$C$71,T$99))</f>
        <v>#NAME?</v>
      </c>
      <c r="U132" s="19" t="e">
        <f ca="1">IF(_xll.DIMIX(db_name&amp;":measure code",$B132)=0,0,_xll.DBRW(
$C$60,$C$61,$C$62,$C$63,$C$64,$C$65,$C$66,$C$67,$C$68,$B132,$C$69,$F132,$C$70,$C132,$E132,$D132,$C$71,U$99))</f>
        <v>#NAME?</v>
      </c>
      <c r="V132" s="19" t="e">
        <f ca="1">IF(_xll.DIMIX(db_name&amp;":measure code",$B132)=0,0,_xll.DBRW(
$C$60,$C$61,$C$62,$C$63,$C$64,$C$65,$C$66,$C$67,$C$68,$B132,$C$69,$F132,$C$70,$C132,$E132,$D132,$C$71,V$99))</f>
        <v>#NAME?</v>
      </c>
      <c r="W132" s="19" t="e">
        <f ca="1">IF(_xll.DIMIX(db_name&amp;":measure code",$B132)=0,0,_xll.DBRW(
$C$60,$C$61,$C$62,$C$63,$C$64,$C$65,$C$66,$C$67,$C$68,$B132,$C$69,$F132,$C$70,$C132,$E132,$D132,$C$71,W$99))</f>
        <v>#NAME?</v>
      </c>
      <c r="X132" s="19" t="e">
        <f ca="1">IF(_xll.DIMIX(db_name&amp;":measure code",$B132)=0,0,_xll.DBRW(
$C$60,$C$61,$C$62,$C$63,$C$64,$C$65,$C$66,$C$67,$C$68,$B132,$C$69,$F132,$C$70,$C132,$E132,$D132,$C$71,X$99))</f>
        <v>#NAME?</v>
      </c>
      <c r="Y132" s="19" t="e">
        <f ca="1">IF(_xll.DIMIX(db_name&amp;":measure code",$B132)=0,0,_xll.DBRW(
$C$60,$C$61,$C$62,$C$63,$C$64,$C$65,$C$66,$C$67,$C$68,$B132,$C$69,$F132,$C$70,$C132,$E132,$D132,$C$71,Y$99))</f>
        <v>#NAME?</v>
      </c>
      <c r="Z132" s="19" t="e">
        <f ca="1">IF(_xll.DIMIX(db_name&amp;":measure code",$B132)=0,0,_xll.DBRW(
$C$60,$C$61,$C$62,$C$63,$C$64,$C$65,$C$66,$C$67,$C$68,$B132,$C$69,$F132,$C$70,$C132,$E132,$D132,$C$71,Z$99))</f>
        <v>#NAME?</v>
      </c>
      <c r="AA132" s="19" t="e">
        <f ca="1">IF(_xll.DIMIX(db_name&amp;":measure code",$B132)=0,0,_xll.DBRW(
$C$60,$C$61,$C$62,$C$63,$C$64,$C$65,$C$66,$C$67,$C$68,$B132,$C$69,$F132,$C$70,$C132,$E132,$D132,$C$71,AA$99))</f>
        <v>#NAME?</v>
      </c>
      <c r="AB132" s="19" t="e">
        <f ca="1">IF(_xll.DIMIX(db_name&amp;":measure code",$B132)=0,0,_xll.DBRW(
$C$60,$C$61,$C$62,$C$63,$C$64,$C$65,$C$66,$C$67,$C$68,$B132,$C$69,$F132,$C$70,$C132,$E132,$D132,$C$71,AB$99))</f>
        <v>#NAME?</v>
      </c>
      <c r="AC132" s="19" t="e">
        <f ca="1">IF(_xll.DIMIX(db_name&amp;":measure code",$B132)=0,0,_xll.DBRW(
$C$60,$C$61,$C$62,$C$63,$C$64,$C$65,$C$66,$C$67,$C$68,$B132,$C$69,$F132,$C$70,$C132,$E132,$D132,$C$71,AC$99))</f>
        <v>#NAME?</v>
      </c>
      <c r="AD132" s="19" t="e">
        <f ca="1">IF(_xll.DIMIX(db_name&amp;":measure code",$B132)=0,0,_xll.DBRW(
$C$60,$C$61,$C$62,$C$63,$C$64,$C$65,$C$66,$C$67,$C$68,$B132,$C$69,$F132,$C$70,$C132,$E132,$D132,$C$71,AD$99))</f>
        <v>#NAME?</v>
      </c>
      <c r="AE132" s="19" t="e">
        <f ca="1">IF(_xll.DIMIX(db_name&amp;":measure code",$B132)=0,0,_xll.DBRW(
$C$60,$C$61,$C$62,$C$63,$C$64,$C$65,$C$66,$C$67,$C$68,$B132,$C$69,$F132,$C$70,$C132,$E132,$D132,$C$71,AE$99))</f>
        <v>#NAME?</v>
      </c>
      <c r="AF132" s="19" t="e">
        <f ca="1">IF(_xll.DIMIX(db_name&amp;":measure code",$B132)=0,0,_xll.DBRW(
$C$60,$C$61,$C$62,$C$63,$C$64,$C$65,$C$66,$C$67,$C$68,$B132,$C$69,$F132,$C$70,$C132,$E132,$D132,$C$71,AF$99))</f>
        <v>#NAME?</v>
      </c>
      <c r="AG132" s="19" t="e">
        <f ca="1">IF(_xll.DIMIX(db_name&amp;":measure code",$B132)=0,0,_xll.DBRW(
$C$60,$C$61,$C$62,$C$63,$C$64,$C$65,$C$66,$C$67,$C$68,$B132,$C$69,$F132,$C$70,$C132,$E132,$D132,$C$71,AG$99))</f>
        <v>#NAME?</v>
      </c>
      <c r="AH132" s="19" t="e">
        <f ca="1">IF(_xll.DIMIX(db_name&amp;":measure code",$B132)=0,0,_xll.DBRW(
$C$60,$C$61,$C$62,$C$63,$C$64,$C$65,$C$66,$C$67,$C$68,$B132,$C$69,$F132,$C$70,$C132,$E132,$D132,$C$71,AH$99))</f>
        <v>#NAME?</v>
      </c>
      <c r="AI132" s="19" t="e">
        <f ca="1">IF(_xll.DIMIX(db_name&amp;":measure code",$B132)=0,0,_xll.DBRW(
$C$60,$C$61,$C$62,$C$63,$C$64,$C$65,$C$66,$C$67,$C$68,$B132,$C$69,$F132,$C$70,$C132,$E132,$D132,$C$71,AI$99))</f>
        <v>#NAME?</v>
      </c>
      <c r="AJ132" s="19" t="e">
        <f ca="1">IF(_xll.DIMIX(db_name&amp;":measure code",$B132)=0,0,_xll.DBRW(
$C$60,$C$61,$C$62,$C$63,$C$64,$C$65,$C$66,$C$67,$C$68,$B132,$C$69,$F132,$C$70,$C132,$E132,$D132,$C$71,AJ$99))</f>
        <v>#NAME?</v>
      </c>
      <c r="AK132" s="19" t="e">
        <f ca="1">IF(_xll.DIMIX(db_name&amp;":measure code",$B132)=0,0,_xll.DBRW(
$C$60,$C$61,$C$62,$C$63,$C$64,$C$65,$C$66,$C$67,$C$68,$B132,$C$69,$F132,$C$70,$C132,$E132,$D132,$C$71,AK$99))</f>
        <v>#NAME?</v>
      </c>
    </row>
    <row r="133" spans="1:37" x14ac:dyDescent="0.25">
      <c r="B133" s="16" t="e">
        <f t="shared" ca="1" si="1"/>
        <v>#NAME?</v>
      </c>
      <c r="C133" t="str">
        <f>$C$106</f>
        <v>Departmental Programmes</v>
      </c>
      <c r="D133" t="s">
        <v>171</v>
      </c>
      <c r="E133" s="21" t="e">
        <f ca="1">$C$99</f>
        <v>#NAME?</v>
      </c>
      <c r="F133" t="e">
        <f t="shared" ca="1" si="2"/>
        <v>#NAME?</v>
      </c>
      <c r="K133" s="55" t="s">
        <v>89</v>
      </c>
      <c r="L133" s="55"/>
      <c r="M133" s="55"/>
      <c r="N133" s="55"/>
      <c r="P133" s="19" t="e">
        <f ca="1">IF(_xll.DIMIX(db_name&amp;":measure code",$B133)=0,0,_xll.DBRW(
$C$60,$C$61,$C$62,$C$63,$C$64,$C$65,$C$66,$C$67,$C$68,$B133,$C$69,$F133,$C$70,$C133,$E133,$D133,$C$71,P$99))</f>
        <v>#NAME?</v>
      </c>
      <c r="Q133" s="19" t="e">
        <f ca="1">IF(_xll.DIMIX(db_name&amp;":measure code",$B133)=0,0,_xll.DBRW(
$C$60,$C$61,$C$62,$C$63,$C$64,$C$65,$C$66,$C$67,$C$68,$B133,$C$69,$F133,$C$70,$C133,$E133,$D133,$C$71,Q$99))</f>
        <v>#NAME?</v>
      </c>
      <c r="R133" s="19" t="e">
        <f ca="1">IF(_xll.DIMIX(db_name&amp;":measure code",$B133)=0,0,_xll.DBRW(
$C$60,$C$61,$C$62,$C$63,$C$64,$C$65,$C$66,$C$67,$C$68,$B133,$C$69,$F133,$C$70,$C133,$E133,$D133,$C$71,R$99))</f>
        <v>#NAME?</v>
      </c>
      <c r="S133" s="19" t="e">
        <f ca="1">IF(_xll.DIMIX(db_name&amp;":measure code",$B133)=0,0,_xll.DBRW(
$C$60,$C$61,$C$62,$C$63,$C$64,$C$65,$C$66,$C$67,$C$68,$B133,$C$69,$F133,$C$70,$C133,$E133,$D133,$C$71,S$99))</f>
        <v>#NAME?</v>
      </c>
      <c r="T133" s="19" t="e">
        <f ca="1">IF(_xll.DIMIX(db_name&amp;":measure code",$B133)=0,0,_xll.DBRW(
$C$60,$C$61,$C$62,$C$63,$C$64,$C$65,$C$66,$C$67,$C$68,$B133,$C$69,$F133,$C$70,$C133,$E133,$D133,$C$71,T$99))</f>
        <v>#NAME?</v>
      </c>
      <c r="U133" s="19" t="e">
        <f ca="1">IF(_xll.DIMIX(db_name&amp;":measure code",$B133)=0,0,_xll.DBRW(
$C$60,$C$61,$C$62,$C$63,$C$64,$C$65,$C$66,$C$67,$C$68,$B133,$C$69,$F133,$C$70,$C133,$E133,$D133,$C$71,U$99))</f>
        <v>#NAME?</v>
      </c>
      <c r="V133" s="19" t="e">
        <f ca="1">IF(_xll.DIMIX(db_name&amp;":measure code",$B133)=0,0,_xll.DBRW(
$C$60,$C$61,$C$62,$C$63,$C$64,$C$65,$C$66,$C$67,$C$68,$B133,$C$69,$F133,$C$70,$C133,$E133,$D133,$C$71,V$99))</f>
        <v>#NAME?</v>
      </c>
      <c r="W133" s="19" t="e">
        <f ca="1">IF(_xll.DIMIX(db_name&amp;":measure code",$B133)=0,0,_xll.DBRW(
$C$60,$C$61,$C$62,$C$63,$C$64,$C$65,$C$66,$C$67,$C$68,$B133,$C$69,$F133,$C$70,$C133,$E133,$D133,$C$71,W$99))</f>
        <v>#NAME?</v>
      </c>
      <c r="X133" s="19" t="e">
        <f ca="1">IF(_xll.DIMIX(db_name&amp;":measure code",$B133)=0,0,_xll.DBRW(
$C$60,$C$61,$C$62,$C$63,$C$64,$C$65,$C$66,$C$67,$C$68,$B133,$C$69,$F133,$C$70,$C133,$E133,$D133,$C$71,X$99))</f>
        <v>#NAME?</v>
      </c>
      <c r="Y133" s="19" t="e">
        <f ca="1">IF(_xll.DIMIX(db_name&amp;":measure code",$B133)=0,0,_xll.DBRW(
$C$60,$C$61,$C$62,$C$63,$C$64,$C$65,$C$66,$C$67,$C$68,$B133,$C$69,$F133,$C$70,$C133,$E133,$D133,$C$71,Y$99))</f>
        <v>#NAME?</v>
      </c>
      <c r="Z133" s="19" t="e">
        <f ca="1">IF(_xll.DIMIX(db_name&amp;":measure code",$B133)=0,0,_xll.DBRW(
$C$60,$C$61,$C$62,$C$63,$C$64,$C$65,$C$66,$C$67,$C$68,$B133,$C$69,$F133,$C$70,$C133,$E133,$D133,$C$71,Z$99))</f>
        <v>#NAME?</v>
      </c>
      <c r="AA133" s="19" t="e">
        <f ca="1">IF(_xll.DIMIX(db_name&amp;":measure code",$B133)=0,0,_xll.DBRW(
$C$60,$C$61,$C$62,$C$63,$C$64,$C$65,$C$66,$C$67,$C$68,$B133,$C$69,$F133,$C$70,$C133,$E133,$D133,$C$71,AA$99))</f>
        <v>#NAME?</v>
      </c>
      <c r="AB133" s="19" t="e">
        <f ca="1">IF(_xll.DIMIX(db_name&amp;":measure code",$B133)=0,0,_xll.DBRW(
$C$60,$C$61,$C$62,$C$63,$C$64,$C$65,$C$66,$C$67,$C$68,$B133,$C$69,$F133,$C$70,$C133,$E133,$D133,$C$71,AB$99))</f>
        <v>#NAME?</v>
      </c>
      <c r="AC133" s="19" t="e">
        <f ca="1">IF(_xll.DIMIX(db_name&amp;":measure code",$B133)=0,0,_xll.DBRW(
$C$60,$C$61,$C$62,$C$63,$C$64,$C$65,$C$66,$C$67,$C$68,$B133,$C$69,$F133,$C$70,$C133,$E133,$D133,$C$71,AC$99))</f>
        <v>#NAME?</v>
      </c>
      <c r="AD133" s="19" t="e">
        <f ca="1">IF(_xll.DIMIX(db_name&amp;":measure code",$B133)=0,0,_xll.DBRW(
$C$60,$C$61,$C$62,$C$63,$C$64,$C$65,$C$66,$C$67,$C$68,$B133,$C$69,$F133,$C$70,$C133,$E133,$D133,$C$71,AD$99))</f>
        <v>#NAME?</v>
      </c>
      <c r="AE133" s="19" t="e">
        <f ca="1">IF(_xll.DIMIX(db_name&amp;":measure code",$B133)=0,0,_xll.DBRW(
$C$60,$C$61,$C$62,$C$63,$C$64,$C$65,$C$66,$C$67,$C$68,$B133,$C$69,$F133,$C$70,$C133,$E133,$D133,$C$71,AE$99))</f>
        <v>#NAME?</v>
      </c>
      <c r="AF133" s="19" t="e">
        <f ca="1">IF(_xll.DIMIX(db_name&amp;":measure code",$B133)=0,0,_xll.DBRW(
$C$60,$C$61,$C$62,$C$63,$C$64,$C$65,$C$66,$C$67,$C$68,$B133,$C$69,$F133,$C$70,$C133,$E133,$D133,$C$71,AF$99))</f>
        <v>#NAME?</v>
      </c>
      <c r="AG133" s="19" t="e">
        <f ca="1">IF(_xll.DIMIX(db_name&amp;":measure code",$B133)=0,0,_xll.DBRW(
$C$60,$C$61,$C$62,$C$63,$C$64,$C$65,$C$66,$C$67,$C$68,$B133,$C$69,$F133,$C$70,$C133,$E133,$D133,$C$71,AG$99))</f>
        <v>#NAME?</v>
      </c>
      <c r="AH133" s="19" t="e">
        <f ca="1">IF(_xll.DIMIX(db_name&amp;":measure code",$B133)=0,0,_xll.DBRW(
$C$60,$C$61,$C$62,$C$63,$C$64,$C$65,$C$66,$C$67,$C$68,$B133,$C$69,$F133,$C$70,$C133,$E133,$D133,$C$71,AH$99))</f>
        <v>#NAME?</v>
      </c>
      <c r="AI133" s="19" t="e">
        <f ca="1">IF(_xll.DIMIX(db_name&amp;":measure code",$B133)=0,0,_xll.DBRW(
$C$60,$C$61,$C$62,$C$63,$C$64,$C$65,$C$66,$C$67,$C$68,$B133,$C$69,$F133,$C$70,$C133,$E133,$D133,$C$71,AI$99))</f>
        <v>#NAME?</v>
      </c>
      <c r="AJ133" s="19" t="e">
        <f ca="1">IF(_xll.DIMIX(db_name&amp;":measure code",$B133)=0,0,_xll.DBRW(
$C$60,$C$61,$C$62,$C$63,$C$64,$C$65,$C$66,$C$67,$C$68,$B133,$C$69,$F133,$C$70,$C133,$E133,$D133,$C$71,AJ$99))</f>
        <v>#NAME?</v>
      </c>
      <c r="AK133" s="19" t="e">
        <f ca="1">IF(_xll.DIMIX(db_name&amp;":measure code",$B133)=0,0,_xll.DBRW(
$C$60,$C$61,$C$62,$C$63,$C$64,$C$65,$C$66,$C$67,$C$68,$B133,$C$69,$F133,$C$70,$C133,$E133,$D133,$C$71,AK$99))</f>
        <v>#NAME?</v>
      </c>
    </row>
    <row r="134" spans="1:37" hidden="1" x14ac:dyDescent="0.25">
      <c r="A134" s="20"/>
      <c r="B134" s="16" t="e">
        <f t="shared" ca="1" si="1"/>
        <v>#NAME?</v>
      </c>
      <c r="C134" t="str">
        <f>$C$106</f>
        <v>Departmental Programmes</v>
      </c>
      <c r="D134" t="s">
        <v>171</v>
      </c>
      <c r="E134" s="17" t="s">
        <v>90</v>
      </c>
      <c r="F134" t="e">
        <f t="shared" ca="1" si="2"/>
        <v>#NAME?</v>
      </c>
      <c r="K134" s="55" t="s">
        <v>91</v>
      </c>
      <c r="L134" s="55"/>
      <c r="M134" s="55"/>
      <c r="N134" s="55"/>
      <c r="P134" s="18" t="e">
        <f ca="1">IF(_xll.DIMIX(db_name&amp;":measure code",$B134)=0,0,_xll.DBRW(
$C$60,$C$61,$C$62,$C$63,$C$64,$C$65,$C$66,$C$67,$C$68,$B134,$C$69,$F134,$C$70,$C134,$E134,$D134,$C$71,P$99))</f>
        <v>#NAME?</v>
      </c>
      <c r="Q134" s="18" t="e">
        <f ca="1">IF(_xll.DIMIX(db_name&amp;":measure code",$B134)=0,0,_xll.DBRW(
$C$60,$C$61,$C$62,$C$63,$C$64,$C$65,$C$66,$C$67,$C$68,$B134,$C$69,$F134,$C$70,$C134,$E134,$D134,$C$71,Q$99))</f>
        <v>#NAME?</v>
      </c>
      <c r="R134" s="18" t="e">
        <f ca="1">IF(_xll.DIMIX(db_name&amp;":measure code",$B134)=0,0,_xll.DBRW(
$C$60,$C$61,$C$62,$C$63,$C$64,$C$65,$C$66,$C$67,$C$68,$B134,$C$69,$F134,$C$70,$C134,$E134,$D134,$C$71,R$99))</f>
        <v>#NAME?</v>
      </c>
      <c r="S134" s="18" t="e">
        <f ca="1">IF(_xll.DIMIX(db_name&amp;":measure code",$B134)=0,0,_xll.DBRW(
$C$60,$C$61,$C$62,$C$63,$C$64,$C$65,$C$66,$C$67,$C$68,$B134,$C$69,$F134,$C$70,$C134,$E134,$D134,$C$71,S$99))</f>
        <v>#NAME?</v>
      </c>
      <c r="T134" s="18" t="e">
        <f ca="1">IF(_xll.DIMIX(db_name&amp;":measure code",$B134)=0,0,_xll.DBRW(
$C$60,$C$61,$C$62,$C$63,$C$64,$C$65,$C$66,$C$67,$C$68,$B134,$C$69,$F134,$C$70,$C134,$E134,$D134,$C$71,T$99))</f>
        <v>#NAME?</v>
      </c>
      <c r="U134" s="18" t="e">
        <f ca="1">IF(_xll.DIMIX(db_name&amp;":measure code",$B134)=0,0,_xll.DBRW(
$C$60,$C$61,$C$62,$C$63,$C$64,$C$65,$C$66,$C$67,$C$68,$B134,$C$69,$F134,$C$70,$C134,$E134,$D134,$C$71,U$99))</f>
        <v>#NAME?</v>
      </c>
      <c r="V134" s="18" t="e">
        <f ca="1">IF(_xll.DIMIX(db_name&amp;":measure code",$B134)=0,0,_xll.DBRW(
$C$60,$C$61,$C$62,$C$63,$C$64,$C$65,$C$66,$C$67,$C$68,$B134,$C$69,$F134,$C$70,$C134,$E134,$D134,$C$71,V$99))</f>
        <v>#NAME?</v>
      </c>
      <c r="W134" s="18" t="e">
        <f ca="1">IF(_xll.DIMIX(db_name&amp;":measure code",$B134)=0,0,_xll.DBRW(
$C$60,$C$61,$C$62,$C$63,$C$64,$C$65,$C$66,$C$67,$C$68,$B134,$C$69,$F134,$C$70,$C134,$E134,$D134,$C$71,W$99))</f>
        <v>#NAME?</v>
      </c>
      <c r="X134" s="18" t="e">
        <f ca="1">IF(_xll.DIMIX(db_name&amp;":measure code",$B134)=0,0,_xll.DBRW(
$C$60,$C$61,$C$62,$C$63,$C$64,$C$65,$C$66,$C$67,$C$68,$B134,$C$69,$F134,$C$70,$C134,$E134,$D134,$C$71,X$99))</f>
        <v>#NAME?</v>
      </c>
      <c r="Y134" s="18" t="e">
        <f ca="1">IF(_xll.DIMIX(db_name&amp;":measure code",$B134)=0,0,_xll.DBRW(
$C$60,$C$61,$C$62,$C$63,$C$64,$C$65,$C$66,$C$67,$C$68,$B134,$C$69,$F134,$C$70,$C134,$E134,$D134,$C$71,Y$99))</f>
        <v>#NAME?</v>
      </c>
      <c r="Z134" s="18" t="e">
        <f ca="1">IF(_xll.DIMIX(db_name&amp;":measure code",$B134)=0,0,_xll.DBRW(
$C$60,$C$61,$C$62,$C$63,$C$64,$C$65,$C$66,$C$67,$C$68,$B134,$C$69,$F134,$C$70,$C134,$E134,$D134,$C$71,Z$99))</f>
        <v>#NAME?</v>
      </c>
      <c r="AA134" s="18" t="e">
        <f ca="1">IF(_xll.DIMIX(db_name&amp;":measure code",$B134)=0,0,_xll.DBRW(
$C$60,$C$61,$C$62,$C$63,$C$64,$C$65,$C$66,$C$67,$C$68,$B134,$C$69,$F134,$C$70,$C134,$E134,$D134,$C$71,AA$99))</f>
        <v>#NAME?</v>
      </c>
      <c r="AB134" s="18" t="e">
        <f ca="1">IF(_xll.DIMIX(db_name&amp;":measure code",$B134)=0,0,_xll.DBRW(
$C$60,$C$61,$C$62,$C$63,$C$64,$C$65,$C$66,$C$67,$C$68,$B134,$C$69,$F134,$C$70,$C134,$E134,$D134,$C$71,AB$99))</f>
        <v>#NAME?</v>
      </c>
      <c r="AC134" s="18" t="e">
        <f ca="1">IF(_xll.DIMIX(db_name&amp;":measure code",$B134)=0,0,_xll.DBRW(
$C$60,$C$61,$C$62,$C$63,$C$64,$C$65,$C$66,$C$67,$C$68,$B134,$C$69,$F134,$C$70,$C134,$E134,$D134,$C$71,AC$99))</f>
        <v>#NAME?</v>
      </c>
      <c r="AD134" s="18" t="e">
        <f ca="1">IF(_xll.DIMIX(db_name&amp;":measure code",$B134)=0,0,_xll.DBRW(
$C$60,$C$61,$C$62,$C$63,$C$64,$C$65,$C$66,$C$67,$C$68,$B134,$C$69,$F134,$C$70,$C134,$E134,$D134,$C$71,AD$99))</f>
        <v>#NAME?</v>
      </c>
      <c r="AE134" s="18" t="e">
        <f ca="1">IF(_xll.DIMIX(db_name&amp;":measure code",$B134)=0,0,_xll.DBRW(
$C$60,$C$61,$C$62,$C$63,$C$64,$C$65,$C$66,$C$67,$C$68,$B134,$C$69,$F134,$C$70,$C134,$E134,$D134,$C$71,AE$99))</f>
        <v>#NAME?</v>
      </c>
      <c r="AF134" s="18" t="e">
        <f ca="1">IF(_xll.DIMIX(db_name&amp;":measure code",$B134)=0,0,_xll.DBRW(
$C$60,$C$61,$C$62,$C$63,$C$64,$C$65,$C$66,$C$67,$C$68,$B134,$C$69,$F134,$C$70,$C134,$E134,$D134,$C$71,AF$99))</f>
        <v>#NAME?</v>
      </c>
      <c r="AG134" s="18" t="e">
        <f ca="1">IF(_xll.DIMIX(db_name&amp;":measure code",$B134)=0,0,_xll.DBRW(
$C$60,$C$61,$C$62,$C$63,$C$64,$C$65,$C$66,$C$67,$C$68,$B134,$C$69,$F134,$C$70,$C134,$E134,$D134,$C$71,AG$99))</f>
        <v>#NAME?</v>
      </c>
      <c r="AH134" s="18" t="e">
        <f ca="1">IF(_xll.DIMIX(db_name&amp;":measure code",$B134)=0,0,_xll.DBRW(
$C$60,$C$61,$C$62,$C$63,$C$64,$C$65,$C$66,$C$67,$C$68,$B134,$C$69,$F134,$C$70,$C134,$E134,$D134,$C$71,AH$99))</f>
        <v>#NAME?</v>
      </c>
      <c r="AI134" s="18" t="e">
        <f ca="1">IF(_xll.DIMIX(db_name&amp;":measure code",$B134)=0,0,_xll.DBRW(
$C$60,$C$61,$C$62,$C$63,$C$64,$C$65,$C$66,$C$67,$C$68,$B134,$C$69,$F134,$C$70,$C134,$E134,$D134,$C$71,AI$99))</f>
        <v>#NAME?</v>
      </c>
      <c r="AJ134" s="18" t="e">
        <f ca="1">IF(_xll.DIMIX(db_name&amp;":measure code",$B134)=0,0,_xll.DBRW(
$C$60,$C$61,$C$62,$C$63,$C$64,$C$65,$C$66,$C$67,$C$68,$B134,$C$69,$F134,$C$70,$C134,$E134,$D134,$C$71,AJ$99))</f>
        <v>#NAME?</v>
      </c>
      <c r="AK134" s="18" t="e">
        <f ca="1">IF(_xll.DIMIX(db_name&amp;":measure code",$B134)=0,0,_xll.DBRW(
$C$60,$C$61,$C$62,$C$63,$C$64,$C$65,$C$66,$C$67,$C$68,$B134,$C$69,$F134,$C$70,$C134,$E134,$D134,$C$71,AK$99))</f>
        <v>#NAME?</v>
      </c>
    </row>
    <row r="135" spans="1:37" hidden="1" x14ac:dyDescent="0.25">
      <c r="A135" s="20"/>
      <c r="B135" s="16" t="e">
        <f t="shared" ca="1" si="1"/>
        <v>#NAME?</v>
      </c>
      <c r="C135" t="str">
        <f>$C$106</f>
        <v>Departmental Programmes</v>
      </c>
      <c r="D135" t="s">
        <v>171</v>
      </c>
      <c r="E135" s="17" t="s">
        <v>92</v>
      </c>
      <c r="F135" t="e">
        <f t="shared" ca="1" si="2"/>
        <v>#NAME?</v>
      </c>
      <c r="K135" s="55" t="s">
        <v>93</v>
      </c>
      <c r="L135" s="55"/>
      <c r="M135" s="55"/>
      <c r="N135" s="55"/>
      <c r="P135" s="18" t="e">
        <f ca="1">IF(_xll.DIMIX(db_name&amp;":measure code",$B135)=0,0,_xll.DBRW($C$60,$C$61,$C$62,$C$63,$C$64,$C$65,$C$66,$C$67,$C$68,$B135,$C$69,$F135,$C$70,$C135,$E135,$D135,$C$71,P$99))</f>
        <v>#NAME?</v>
      </c>
      <c r="Q135" s="18" t="e">
        <f ca="1">IF(_xll.DIMIX(db_name&amp;":measure code",$B135)=0,0,_xll.DBRW(
$C$60,$C$61,$C$62,$C$63,$C$64,$C$65,$C$66,$C$67,$C$68,$B135,$C$69,$F135,$C$70,$C135,$E135,$D135,$C$71,Q$99))</f>
        <v>#NAME?</v>
      </c>
      <c r="R135" s="18" t="e">
        <f ca="1">IF(_xll.DIMIX(db_name&amp;":measure code",$B135)=0,0,_xll.DBRW(
$C$60,$C$61,$C$62,$C$63,$C$64,$C$65,$C$66,$C$67,$C$68,$B135,$C$69,$F135,$C$70,$C135,$E135,$D135,$C$71,R$99))</f>
        <v>#NAME?</v>
      </c>
      <c r="S135" s="18" t="e">
        <f ca="1">IF(_xll.DIMIX(db_name&amp;":measure code",$B135)=0,0,_xll.DBRW(
$C$60,$C$61,$C$62,$C$63,$C$64,$C$65,$C$66,$C$67,$C$68,$B135,$C$69,$F135,$C$70,$C135,$E135,$D135,$C$71,S$99))</f>
        <v>#NAME?</v>
      </c>
      <c r="T135" s="18" t="e">
        <f ca="1">IF(_xll.DIMIX(db_name&amp;":measure code",$B135)=0,0,_xll.DBRW(
$C$60,$C$61,$C$62,$C$63,$C$64,$C$65,$C$66,$C$67,$C$68,$B135,$C$69,$F135,$C$70,$C135,$E135,$D135,$C$71,T$99))</f>
        <v>#NAME?</v>
      </c>
      <c r="U135" s="18" t="e">
        <f ca="1">IF(_xll.DIMIX(db_name&amp;":measure code",$B135)=0,0,_xll.DBRW(
$C$60,$C$61,$C$62,$C$63,$C$64,$C$65,$C$66,$C$67,$C$68,$B135,$C$69,$F135,$C$70,$C135,$E135,$D135,$C$71,U$99))</f>
        <v>#NAME?</v>
      </c>
      <c r="V135" s="18" t="e">
        <f ca="1">IF(_xll.DIMIX(db_name&amp;":measure code",$B135)=0,0,_xll.DBRW(
$C$60,$C$61,$C$62,$C$63,$C$64,$C$65,$C$66,$C$67,$C$68,$B135,$C$69,$F135,$C$70,$C135,$E135,$D135,$C$71,V$99))</f>
        <v>#NAME?</v>
      </c>
      <c r="W135" s="18" t="e">
        <f ca="1">IF(_xll.DIMIX(db_name&amp;":measure code",$B135)=0,0,_xll.DBRW(
$C$60,$C$61,$C$62,$C$63,$C$64,$C$65,$C$66,$C$67,$C$68,$B135,$C$69,$F135,$C$70,$C135,$E135,$D135,$C$71,W$99))</f>
        <v>#NAME?</v>
      </c>
      <c r="X135" s="18" t="e">
        <f ca="1">IF(_xll.DIMIX(db_name&amp;":measure code",$B135)=0,0,_xll.DBRW(
$C$60,$C$61,$C$62,$C$63,$C$64,$C$65,$C$66,$C$67,$C$68,$B135,$C$69,$F135,$C$70,$C135,$E135,$D135,$C$71,X$99))</f>
        <v>#NAME?</v>
      </c>
      <c r="Y135" s="18" t="e">
        <f ca="1">IF(_xll.DIMIX(db_name&amp;":measure code",$B135)=0,0,_xll.DBRW(
$C$60,$C$61,$C$62,$C$63,$C$64,$C$65,$C$66,$C$67,$C$68,$B135,$C$69,$F135,$C$70,$C135,$E135,$D135,$C$71,Y$99))</f>
        <v>#NAME?</v>
      </c>
      <c r="Z135" s="18" t="e">
        <f ca="1">IF(_xll.DIMIX(db_name&amp;":measure code",$B135)=0,0,_xll.DBRW(
$C$60,$C$61,$C$62,$C$63,$C$64,$C$65,$C$66,$C$67,$C$68,$B135,$C$69,$F135,$C$70,$C135,$E135,$D135,$C$71,Z$99))</f>
        <v>#NAME?</v>
      </c>
      <c r="AA135" s="18" t="e">
        <f ca="1">IF(_xll.DIMIX(db_name&amp;":measure code",$B135)=0,0,_xll.DBRW(
$C$60,$C$61,$C$62,$C$63,$C$64,$C$65,$C$66,$C$67,$C$68,$B135,$C$69,$F135,$C$70,$C135,$E135,$D135,$C$71,AA$99))</f>
        <v>#NAME?</v>
      </c>
      <c r="AB135" s="18" t="e">
        <f ca="1">IF(_xll.DIMIX(db_name&amp;":measure code",$B135)=0,0,_xll.DBRW(
$C$60,$C$61,$C$62,$C$63,$C$64,$C$65,$C$66,$C$67,$C$68,$B135,$C$69,$F135,$C$70,$C135,$E135,$D135,$C$71,AB$99))</f>
        <v>#NAME?</v>
      </c>
      <c r="AC135" s="18" t="e">
        <f ca="1">IF(_xll.DIMIX(db_name&amp;":measure code",$B135)=0,0,_xll.DBRW(
$C$60,$C$61,$C$62,$C$63,$C$64,$C$65,$C$66,$C$67,$C$68,$B135,$C$69,$F135,$C$70,$C135,$E135,$D135,$C$71,AC$99))</f>
        <v>#NAME?</v>
      </c>
      <c r="AD135" s="18" t="e">
        <f ca="1">IF(_xll.DIMIX(db_name&amp;":measure code",$B135)=0,0,_xll.DBRW(
$C$60,$C$61,$C$62,$C$63,$C$64,$C$65,$C$66,$C$67,$C$68,$B135,$C$69,$F135,$C$70,$C135,$E135,$D135,$C$71,AD$99))</f>
        <v>#NAME?</v>
      </c>
      <c r="AE135" s="18" t="e">
        <f ca="1">IF(_xll.DIMIX(db_name&amp;":measure code",$B135)=0,0,_xll.DBRW(
$C$60,$C$61,$C$62,$C$63,$C$64,$C$65,$C$66,$C$67,$C$68,$B135,$C$69,$F135,$C$70,$C135,$E135,$D135,$C$71,AE$99))</f>
        <v>#NAME?</v>
      </c>
      <c r="AF135" s="18" t="e">
        <f ca="1">IF(_xll.DIMIX(db_name&amp;":measure code",$B135)=0,0,_xll.DBRW(
$C$60,$C$61,$C$62,$C$63,$C$64,$C$65,$C$66,$C$67,$C$68,$B135,$C$69,$F135,$C$70,$C135,$E135,$D135,$C$71,AF$99))</f>
        <v>#NAME?</v>
      </c>
      <c r="AG135" s="18" t="e">
        <f ca="1">IF(_xll.DIMIX(db_name&amp;":measure code",$B135)=0,0,_xll.DBRW(
$C$60,$C$61,$C$62,$C$63,$C$64,$C$65,$C$66,$C$67,$C$68,$B135,$C$69,$F135,$C$70,$C135,$E135,$D135,$C$71,AG$99))</f>
        <v>#NAME?</v>
      </c>
      <c r="AH135" s="18" t="e">
        <f ca="1">IF(_xll.DIMIX(db_name&amp;":measure code",$B135)=0,0,_xll.DBRW(
$C$60,$C$61,$C$62,$C$63,$C$64,$C$65,$C$66,$C$67,$C$68,$B135,$C$69,$F135,$C$70,$C135,$E135,$D135,$C$71,AH$99))</f>
        <v>#NAME?</v>
      </c>
      <c r="AI135" s="18" t="e">
        <f ca="1">IF(_xll.DIMIX(db_name&amp;":measure code",$B135)=0,0,_xll.DBRW(
$C$60,$C$61,$C$62,$C$63,$C$64,$C$65,$C$66,$C$67,$C$68,$B135,$C$69,$F135,$C$70,$C135,$E135,$D135,$C$71,AI$99))</f>
        <v>#NAME?</v>
      </c>
      <c r="AJ135" s="18" t="e">
        <f ca="1">IF(_xll.DIMIX(db_name&amp;":measure code",$B135)=0,0,_xll.DBRW(
$C$60,$C$61,$C$62,$C$63,$C$64,$C$65,$C$66,$C$67,$C$68,$B135,$C$69,$F135,$C$70,$C135,$E135,$D135,$C$71,AJ$99))</f>
        <v>#NAME?</v>
      </c>
      <c r="AK135" s="18" t="e">
        <f ca="1">IF(_xll.DIMIX(db_name&amp;":measure code",$B135)=0,0,_xll.DBRW(
$C$60,$C$61,$C$62,$C$63,$C$64,$C$65,$C$66,$C$67,$C$68,$B135,$C$69,$F135,$C$70,$C135,$E135,$D135,$C$71,AK$99))</f>
        <v>#NAME?</v>
      </c>
    </row>
    <row r="136" spans="1:37" x14ac:dyDescent="0.25">
      <c r="B136" s="16"/>
      <c r="E136" s="17"/>
      <c r="K136" s="55" t="s">
        <v>94</v>
      </c>
      <c r="L136" s="55"/>
      <c r="M136" s="55"/>
      <c r="N136" s="55"/>
      <c r="P136" s="19" t="e">
        <f ca="1">P134-P135</f>
        <v>#NAME?</v>
      </c>
      <c r="Q136" s="19" t="e">
        <f t="shared" ref="Q136:AK136" ca="1" si="3">Q134-Q135</f>
        <v>#NAME?</v>
      </c>
      <c r="R136" s="19" t="e">
        <f t="shared" ca="1" si="3"/>
        <v>#NAME?</v>
      </c>
      <c r="S136" s="19" t="e">
        <f t="shared" ca="1" si="3"/>
        <v>#NAME?</v>
      </c>
      <c r="T136" s="19" t="e">
        <f t="shared" ca="1" si="3"/>
        <v>#NAME?</v>
      </c>
      <c r="U136" s="19" t="e">
        <f t="shared" ca="1" si="3"/>
        <v>#NAME?</v>
      </c>
      <c r="V136" s="19" t="e">
        <f t="shared" ca="1" si="3"/>
        <v>#NAME?</v>
      </c>
      <c r="W136" s="19" t="e">
        <f t="shared" ca="1" si="3"/>
        <v>#NAME?</v>
      </c>
      <c r="X136" s="19" t="e">
        <f t="shared" ca="1" si="3"/>
        <v>#NAME?</v>
      </c>
      <c r="Y136" s="19" t="e">
        <f t="shared" ca="1" si="3"/>
        <v>#NAME?</v>
      </c>
      <c r="Z136" s="19" t="e">
        <f t="shared" ca="1" si="3"/>
        <v>#NAME?</v>
      </c>
      <c r="AA136" s="19" t="e">
        <f t="shared" ca="1" si="3"/>
        <v>#NAME?</v>
      </c>
      <c r="AB136" s="19" t="e">
        <f t="shared" ca="1" si="3"/>
        <v>#NAME?</v>
      </c>
      <c r="AC136" s="19" t="e">
        <f t="shared" ca="1" si="3"/>
        <v>#NAME?</v>
      </c>
      <c r="AD136" s="19" t="e">
        <f t="shared" ca="1" si="3"/>
        <v>#NAME?</v>
      </c>
      <c r="AE136" s="19" t="e">
        <f t="shared" ca="1" si="3"/>
        <v>#NAME?</v>
      </c>
      <c r="AF136" s="19" t="e">
        <f t="shared" ca="1" si="3"/>
        <v>#NAME?</v>
      </c>
      <c r="AG136" s="19" t="e">
        <f t="shared" ca="1" si="3"/>
        <v>#NAME?</v>
      </c>
      <c r="AH136" s="19" t="e">
        <f t="shared" ca="1" si="3"/>
        <v>#NAME?</v>
      </c>
      <c r="AI136" s="19" t="e">
        <f t="shared" ca="1" si="3"/>
        <v>#NAME?</v>
      </c>
      <c r="AJ136" s="19" t="e">
        <f t="shared" ca="1" si="3"/>
        <v>#NAME?</v>
      </c>
      <c r="AK136" s="19" t="e">
        <f t="shared" ca="1" si="3"/>
        <v>#NAME?</v>
      </c>
    </row>
    <row r="137" spans="1:37" x14ac:dyDescent="0.25">
      <c r="B137" s="16" t="e">
        <f t="shared" ca="1" si="1"/>
        <v>#NAME?</v>
      </c>
      <c r="C137" t="str">
        <f>$C$106</f>
        <v>Departmental Programmes</v>
      </c>
      <c r="D137" t="s">
        <v>171</v>
      </c>
      <c r="E137" s="17" t="s">
        <v>95</v>
      </c>
      <c r="F137" t="e">
        <f t="shared" ca="1" si="2"/>
        <v>#NAME?</v>
      </c>
      <c r="K137" s="55" t="s">
        <v>96</v>
      </c>
      <c r="L137" s="55"/>
      <c r="M137" s="55"/>
      <c r="N137" s="55"/>
      <c r="P137" s="19" t="e">
        <f ca="1">IF(_xll.DIMIX(db_name&amp;":measure code",$B137)=0,0,_xll.DBRW(
$C$60,$C$61,$C$62,$C$63,$C$64,$C$65,$C$66,$C$67,$C$68,$B137,$C$69,$F137,$C$70,$C137,$E137,$D137,$C$71,P$99))</f>
        <v>#NAME?</v>
      </c>
      <c r="Q137" s="19" t="e">
        <f ca="1">IF(_xll.DIMIX(db_name&amp;":measure code",$B137)=0,0,_xll.DBRW(
$C$60,$C$61,$C$62,$C$63,$C$64,$C$65,$C$66,$C$67,$C$68,$B137,$C$69,$F137,$C$70,$C137,$E137,$D137,$C$71,Q$99))</f>
        <v>#NAME?</v>
      </c>
      <c r="R137" s="19" t="e">
        <f ca="1">IF(_xll.DIMIX(db_name&amp;":measure code",$B137)=0,0,_xll.DBRW(
$C$60,$C$61,$C$62,$C$63,$C$64,$C$65,$C$66,$C$67,$C$68,$B137,$C$69,$F137,$C$70,$C137,$E137,$D137,$C$71,R$99))</f>
        <v>#NAME?</v>
      </c>
      <c r="S137" s="19" t="e">
        <f ca="1">IF(_xll.DIMIX(db_name&amp;":measure code",$B137)=0,0,_xll.DBRW(
$C$60,$C$61,$C$62,$C$63,$C$64,$C$65,$C$66,$C$67,$C$68,$B137,$C$69,$F137,$C$70,$C137,$E137,$D137,$C$71,S$99))</f>
        <v>#NAME?</v>
      </c>
      <c r="T137" s="19" t="e">
        <f ca="1">IF(_xll.DIMIX(db_name&amp;":measure code",$B137)=0,0,_xll.DBRW(
$C$60,$C$61,$C$62,$C$63,$C$64,$C$65,$C$66,$C$67,$C$68,$B137,$C$69,$F137,$C$70,$C137,$E137,$D137,$C$71,T$99))</f>
        <v>#NAME?</v>
      </c>
      <c r="U137" s="19" t="e">
        <f ca="1">IF(_xll.DIMIX(db_name&amp;":measure code",$B137)=0,0,_xll.DBRW(
$C$60,$C$61,$C$62,$C$63,$C$64,$C$65,$C$66,$C$67,$C$68,$B137,$C$69,$F137,$C$70,$C137,$E137,$D137,$C$71,U$99))</f>
        <v>#NAME?</v>
      </c>
      <c r="V137" s="19" t="e">
        <f ca="1">IF(_xll.DIMIX(db_name&amp;":measure code",$B137)=0,0,_xll.DBRW(
$C$60,$C$61,$C$62,$C$63,$C$64,$C$65,$C$66,$C$67,$C$68,$B137,$C$69,$F137,$C$70,$C137,$E137,$D137,$C$71,V$99))</f>
        <v>#NAME?</v>
      </c>
      <c r="W137" s="19" t="e">
        <f ca="1">IF(_xll.DIMIX(db_name&amp;":measure code",$B137)=0,0,_xll.DBRW(
$C$60,$C$61,$C$62,$C$63,$C$64,$C$65,$C$66,$C$67,$C$68,$B137,$C$69,$F137,$C$70,$C137,$E137,$D137,$C$71,W$99))</f>
        <v>#NAME?</v>
      </c>
      <c r="X137" s="19" t="e">
        <f ca="1">IF(_xll.DIMIX(db_name&amp;":measure code",$B137)=0,0,_xll.DBRW(
$C$60,$C$61,$C$62,$C$63,$C$64,$C$65,$C$66,$C$67,$C$68,$B137,$C$69,$F137,$C$70,$C137,$E137,$D137,$C$71,X$99))</f>
        <v>#NAME?</v>
      </c>
      <c r="Y137" s="19" t="e">
        <f ca="1">IF(_xll.DIMIX(db_name&amp;":measure code",$B137)=0,0,_xll.DBRW(
$C$60,$C$61,$C$62,$C$63,$C$64,$C$65,$C$66,$C$67,$C$68,$B137,$C$69,$F137,$C$70,$C137,$E137,$D137,$C$71,Y$99))</f>
        <v>#NAME?</v>
      </c>
      <c r="Z137" s="19" t="e">
        <f ca="1">IF(_xll.DIMIX(db_name&amp;":measure code",$B137)=0,0,_xll.DBRW(
$C$60,$C$61,$C$62,$C$63,$C$64,$C$65,$C$66,$C$67,$C$68,$B137,$C$69,$F137,$C$70,$C137,$E137,$D137,$C$71,Z$99))</f>
        <v>#NAME?</v>
      </c>
      <c r="AA137" s="19" t="e">
        <f ca="1">IF(_xll.DIMIX(db_name&amp;":measure code",$B137)=0,0,_xll.DBRW(
$C$60,$C$61,$C$62,$C$63,$C$64,$C$65,$C$66,$C$67,$C$68,$B137,$C$69,$F137,$C$70,$C137,$E137,$D137,$C$71,AA$99))</f>
        <v>#NAME?</v>
      </c>
      <c r="AB137" s="19" t="e">
        <f ca="1">IF(_xll.DIMIX(db_name&amp;":measure code",$B137)=0,0,_xll.DBRW(
$C$60,$C$61,$C$62,$C$63,$C$64,$C$65,$C$66,$C$67,$C$68,$B137,$C$69,$F137,$C$70,$C137,$E137,$D137,$C$71,AB$99))</f>
        <v>#NAME?</v>
      </c>
      <c r="AC137" s="19" t="e">
        <f ca="1">IF(_xll.DIMIX(db_name&amp;":measure code",$B137)=0,0,_xll.DBRW(
$C$60,$C$61,$C$62,$C$63,$C$64,$C$65,$C$66,$C$67,$C$68,$B137,$C$69,$F137,$C$70,$C137,$E137,$D137,$C$71,AC$99))</f>
        <v>#NAME?</v>
      </c>
      <c r="AD137" s="19" t="e">
        <f ca="1">IF(_xll.DIMIX(db_name&amp;":measure code",$B137)=0,0,_xll.DBRW(
$C$60,$C$61,$C$62,$C$63,$C$64,$C$65,$C$66,$C$67,$C$68,$B137,$C$69,$F137,$C$70,$C137,$E137,$D137,$C$71,AD$99))</f>
        <v>#NAME?</v>
      </c>
      <c r="AE137" s="19" t="e">
        <f ca="1">IF(_xll.DIMIX(db_name&amp;":measure code",$B137)=0,0,_xll.DBRW(
$C$60,$C$61,$C$62,$C$63,$C$64,$C$65,$C$66,$C$67,$C$68,$B137,$C$69,$F137,$C$70,$C137,$E137,$D137,$C$71,AE$99))</f>
        <v>#NAME?</v>
      </c>
      <c r="AF137" s="19" t="e">
        <f ca="1">IF(_xll.DIMIX(db_name&amp;":measure code",$B137)=0,0,_xll.DBRW(
$C$60,$C$61,$C$62,$C$63,$C$64,$C$65,$C$66,$C$67,$C$68,$B137,$C$69,$F137,$C$70,$C137,$E137,$D137,$C$71,AF$99))</f>
        <v>#NAME?</v>
      </c>
      <c r="AG137" s="19" t="e">
        <f ca="1">IF(_xll.DIMIX(db_name&amp;":measure code",$B137)=0,0,_xll.DBRW(
$C$60,$C$61,$C$62,$C$63,$C$64,$C$65,$C$66,$C$67,$C$68,$B137,$C$69,$F137,$C$70,$C137,$E137,$D137,$C$71,AG$99))</f>
        <v>#NAME?</v>
      </c>
      <c r="AH137" s="19" t="e">
        <f ca="1">IF(_xll.DIMIX(db_name&amp;":measure code",$B137)=0,0,_xll.DBRW(
$C$60,$C$61,$C$62,$C$63,$C$64,$C$65,$C$66,$C$67,$C$68,$B137,$C$69,$F137,$C$70,$C137,$E137,$D137,$C$71,AH$99))</f>
        <v>#NAME?</v>
      </c>
      <c r="AI137" s="19" t="e">
        <f ca="1">IF(_xll.DIMIX(db_name&amp;":measure code",$B137)=0,0,_xll.DBRW(
$C$60,$C$61,$C$62,$C$63,$C$64,$C$65,$C$66,$C$67,$C$68,$B137,$C$69,$F137,$C$70,$C137,$E137,$D137,$C$71,AI$99))</f>
        <v>#NAME?</v>
      </c>
      <c r="AJ137" s="19" t="e">
        <f ca="1">IF(_xll.DIMIX(db_name&amp;":measure code",$B137)=0,0,_xll.DBRW(
$C$60,$C$61,$C$62,$C$63,$C$64,$C$65,$C$66,$C$67,$C$68,$B137,$C$69,$F137,$C$70,$C137,$E137,$D137,$C$71,AJ$99))</f>
        <v>#NAME?</v>
      </c>
      <c r="AK137" s="19" t="e">
        <f ca="1">IF(_xll.DIMIX(db_name&amp;":measure code",$B137)=0,0,_xll.DBRW(
$C$60,$C$61,$C$62,$C$63,$C$64,$C$65,$C$66,$C$67,$C$68,$B137,$C$69,$F137,$C$70,$C137,$E137,$D137,$C$71,AK$99))</f>
        <v>#NAME?</v>
      </c>
    </row>
    <row r="138" spans="1:37" x14ac:dyDescent="0.25">
      <c r="B138" s="16" t="e">
        <f t="shared" ca="1" si="1"/>
        <v>#NAME?</v>
      </c>
      <c r="C138" t="str">
        <f>$C$106</f>
        <v>Departmental Programmes</v>
      </c>
      <c r="D138" t="s">
        <v>171</v>
      </c>
      <c r="E138" s="17" t="s">
        <v>97</v>
      </c>
      <c r="F138" t="e">
        <f t="shared" ca="1" si="2"/>
        <v>#NAME?</v>
      </c>
      <c r="K138" s="55" t="s">
        <v>98</v>
      </c>
      <c r="L138" s="55"/>
      <c r="M138" s="55"/>
      <c r="N138" s="55"/>
      <c r="P138" s="19" t="e">
        <f ca="1">IF(_xll.DIMIX(db_name&amp;":measure code",$B138)=0,0,_xll.DBRW(
$C$60,$C$61,$C$62,$C$63,$C$64,$C$65,$C$66,$C$67,$C$68,$B138,$C$69,$F138,$C$70,$C138,$E138,$D138,$C$71,P$99))</f>
        <v>#NAME?</v>
      </c>
      <c r="Q138" s="19" t="e">
        <f ca="1">IF(_xll.DIMIX(db_name&amp;":measure code",$B138)=0,0,_xll.DBRW(
$C$60,$C$61,$C$62,$C$63,$C$64,$C$65,$C$66,$C$67,$C$68,$B138,$C$69,$F138,$C$70,$C138,$E138,$D138,$C$71,Q$99))</f>
        <v>#NAME?</v>
      </c>
      <c r="R138" s="19" t="e">
        <f ca="1">IF(_xll.DIMIX(db_name&amp;":measure code",$B138)=0,0,_xll.DBRW(
$C$60,$C$61,$C$62,$C$63,$C$64,$C$65,$C$66,$C$67,$C$68,$B138,$C$69,$F138,$C$70,$C138,$E138,$D138,$C$71,R$99))</f>
        <v>#NAME?</v>
      </c>
      <c r="S138" s="19" t="e">
        <f ca="1">IF(_xll.DIMIX(db_name&amp;":measure code",$B138)=0,0,_xll.DBRW(
$C$60,$C$61,$C$62,$C$63,$C$64,$C$65,$C$66,$C$67,$C$68,$B138,$C$69,$F138,$C$70,$C138,$E138,$D138,$C$71,S$99))</f>
        <v>#NAME?</v>
      </c>
      <c r="T138" s="19" t="e">
        <f ca="1">IF(_xll.DIMIX(db_name&amp;":measure code",$B138)=0,0,_xll.DBRW(
$C$60,$C$61,$C$62,$C$63,$C$64,$C$65,$C$66,$C$67,$C$68,$B138,$C$69,$F138,$C$70,$C138,$E138,$D138,$C$71,T$99))</f>
        <v>#NAME?</v>
      </c>
      <c r="U138" s="19" t="e">
        <f ca="1">IF(_xll.DIMIX(db_name&amp;":measure code",$B138)=0,0,_xll.DBRW(
$C$60,$C$61,$C$62,$C$63,$C$64,$C$65,$C$66,$C$67,$C$68,$B138,$C$69,$F138,$C$70,$C138,$E138,$D138,$C$71,U$99))</f>
        <v>#NAME?</v>
      </c>
      <c r="V138" s="19" t="e">
        <f ca="1">IF(_xll.DIMIX(db_name&amp;":measure code",$B138)=0,0,_xll.DBRW(
$C$60,$C$61,$C$62,$C$63,$C$64,$C$65,$C$66,$C$67,$C$68,$B138,$C$69,$F138,$C$70,$C138,$E138,$D138,$C$71,V$99))</f>
        <v>#NAME?</v>
      </c>
      <c r="W138" s="19" t="e">
        <f ca="1">IF(_xll.DIMIX(db_name&amp;":measure code",$B138)=0,0,_xll.DBRW(
$C$60,$C$61,$C$62,$C$63,$C$64,$C$65,$C$66,$C$67,$C$68,$B138,$C$69,$F138,$C$70,$C138,$E138,$D138,$C$71,W$99))</f>
        <v>#NAME?</v>
      </c>
      <c r="X138" s="19" t="e">
        <f ca="1">IF(_xll.DIMIX(db_name&amp;":measure code",$B138)=0,0,_xll.DBRW(
$C$60,$C$61,$C$62,$C$63,$C$64,$C$65,$C$66,$C$67,$C$68,$B138,$C$69,$F138,$C$70,$C138,$E138,$D138,$C$71,X$99))</f>
        <v>#NAME?</v>
      </c>
      <c r="Y138" s="19" t="e">
        <f ca="1">IF(_xll.DIMIX(db_name&amp;":measure code",$B138)=0,0,_xll.DBRW(
$C$60,$C$61,$C$62,$C$63,$C$64,$C$65,$C$66,$C$67,$C$68,$B138,$C$69,$F138,$C$70,$C138,$E138,$D138,$C$71,Y$99))</f>
        <v>#NAME?</v>
      </c>
      <c r="Z138" s="19" t="e">
        <f ca="1">IF(_xll.DIMIX(db_name&amp;":measure code",$B138)=0,0,_xll.DBRW(
$C$60,$C$61,$C$62,$C$63,$C$64,$C$65,$C$66,$C$67,$C$68,$B138,$C$69,$F138,$C$70,$C138,$E138,$D138,$C$71,Z$99))</f>
        <v>#NAME?</v>
      </c>
      <c r="AA138" s="19" t="e">
        <f ca="1">IF(_xll.DIMIX(db_name&amp;":measure code",$B138)=0,0,_xll.DBRW(
$C$60,$C$61,$C$62,$C$63,$C$64,$C$65,$C$66,$C$67,$C$68,$B138,$C$69,$F138,$C$70,$C138,$E138,$D138,$C$71,AA$99))</f>
        <v>#NAME?</v>
      </c>
      <c r="AB138" s="19" t="e">
        <f ca="1">IF(_xll.DIMIX(db_name&amp;":measure code",$B138)=0,0,_xll.DBRW(
$C$60,$C$61,$C$62,$C$63,$C$64,$C$65,$C$66,$C$67,$C$68,$B138,$C$69,$F138,$C$70,$C138,$E138,$D138,$C$71,AB$99))</f>
        <v>#NAME?</v>
      </c>
      <c r="AC138" s="19" t="e">
        <f ca="1">IF(_xll.DIMIX(db_name&amp;":measure code",$B138)=0,0,_xll.DBRW(
$C$60,$C$61,$C$62,$C$63,$C$64,$C$65,$C$66,$C$67,$C$68,$B138,$C$69,$F138,$C$70,$C138,$E138,$D138,$C$71,AC$99))</f>
        <v>#NAME?</v>
      </c>
      <c r="AD138" s="19" t="e">
        <f ca="1">IF(_xll.DIMIX(db_name&amp;":measure code",$B138)=0,0,_xll.DBRW(
$C$60,$C$61,$C$62,$C$63,$C$64,$C$65,$C$66,$C$67,$C$68,$B138,$C$69,$F138,$C$70,$C138,$E138,$D138,$C$71,AD$99))</f>
        <v>#NAME?</v>
      </c>
      <c r="AE138" s="19" t="e">
        <f ca="1">IF(_xll.DIMIX(db_name&amp;":measure code",$B138)=0,0,_xll.DBRW(
$C$60,$C$61,$C$62,$C$63,$C$64,$C$65,$C$66,$C$67,$C$68,$B138,$C$69,$F138,$C$70,$C138,$E138,$D138,$C$71,AE$99))</f>
        <v>#NAME?</v>
      </c>
      <c r="AF138" s="19" t="e">
        <f ca="1">IF(_xll.DIMIX(db_name&amp;":measure code",$B138)=0,0,_xll.DBRW(
$C$60,$C$61,$C$62,$C$63,$C$64,$C$65,$C$66,$C$67,$C$68,$B138,$C$69,$F138,$C$70,$C138,$E138,$D138,$C$71,AF$99))</f>
        <v>#NAME?</v>
      </c>
      <c r="AG138" s="19" t="e">
        <f ca="1">IF(_xll.DIMIX(db_name&amp;":measure code",$B138)=0,0,_xll.DBRW(
$C$60,$C$61,$C$62,$C$63,$C$64,$C$65,$C$66,$C$67,$C$68,$B138,$C$69,$F138,$C$70,$C138,$E138,$D138,$C$71,AG$99))</f>
        <v>#NAME?</v>
      </c>
      <c r="AH138" s="19" t="e">
        <f ca="1">IF(_xll.DIMIX(db_name&amp;":measure code",$B138)=0,0,_xll.DBRW(
$C$60,$C$61,$C$62,$C$63,$C$64,$C$65,$C$66,$C$67,$C$68,$B138,$C$69,$F138,$C$70,$C138,$E138,$D138,$C$71,AH$99))</f>
        <v>#NAME?</v>
      </c>
      <c r="AI138" s="19" t="e">
        <f ca="1">IF(_xll.DIMIX(db_name&amp;":measure code",$B138)=0,0,_xll.DBRW(
$C$60,$C$61,$C$62,$C$63,$C$64,$C$65,$C$66,$C$67,$C$68,$B138,$C$69,$F138,$C$70,$C138,$E138,$D138,$C$71,AI$99))</f>
        <v>#NAME?</v>
      </c>
      <c r="AJ138" s="19" t="e">
        <f ca="1">IF(_xll.DIMIX(db_name&amp;":measure code",$B138)=0,0,_xll.DBRW(
$C$60,$C$61,$C$62,$C$63,$C$64,$C$65,$C$66,$C$67,$C$68,$B138,$C$69,$F138,$C$70,$C138,$E138,$D138,$C$71,AJ$99))</f>
        <v>#NAME?</v>
      </c>
      <c r="AK138" s="19" t="e">
        <f ca="1">IF(_xll.DIMIX(db_name&amp;":measure code",$B138)=0,0,_xll.DBRW(
$C$60,$C$61,$C$62,$C$63,$C$64,$C$65,$C$66,$C$67,$C$68,$B138,$C$69,$F138,$C$70,$C138,$E138,$D138,$C$71,AK$99))</f>
        <v>#NAME?</v>
      </c>
    </row>
    <row r="139" spans="1:37" x14ac:dyDescent="0.25">
      <c r="B139" s="16"/>
      <c r="E139" s="17"/>
      <c r="K139" s="55" t="s">
        <v>99</v>
      </c>
      <c r="L139" s="55"/>
      <c r="M139" s="55"/>
      <c r="N139" s="55"/>
      <c r="P139" s="19" t="e">
        <f ca="1">P133+P136+P137+P138</f>
        <v>#NAME?</v>
      </c>
      <c r="Q139" s="19" t="e">
        <f t="shared" ref="Q139:AK139" ca="1" si="4">Q133+Q136+Q137+Q138</f>
        <v>#NAME?</v>
      </c>
      <c r="R139" s="19" t="e">
        <f t="shared" ca="1" si="4"/>
        <v>#NAME?</v>
      </c>
      <c r="S139" s="19" t="e">
        <f t="shared" ca="1" si="4"/>
        <v>#NAME?</v>
      </c>
      <c r="T139" s="19" t="e">
        <f t="shared" ca="1" si="4"/>
        <v>#NAME?</v>
      </c>
      <c r="U139" s="19" t="e">
        <f t="shared" ca="1" si="4"/>
        <v>#NAME?</v>
      </c>
      <c r="V139" s="19" t="e">
        <f t="shared" ca="1" si="4"/>
        <v>#NAME?</v>
      </c>
      <c r="W139" s="19" t="e">
        <f t="shared" ca="1" si="4"/>
        <v>#NAME?</v>
      </c>
      <c r="X139" s="19" t="e">
        <f t="shared" ca="1" si="4"/>
        <v>#NAME?</v>
      </c>
      <c r="Y139" s="19" t="e">
        <f t="shared" ca="1" si="4"/>
        <v>#NAME?</v>
      </c>
      <c r="Z139" s="19" t="e">
        <f t="shared" ca="1" si="4"/>
        <v>#NAME?</v>
      </c>
      <c r="AA139" s="19" t="e">
        <f t="shared" ca="1" si="4"/>
        <v>#NAME?</v>
      </c>
      <c r="AB139" s="19" t="e">
        <f t="shared" ca="1" si="4"/>
        <v>#NAME?</v>
      </c>
      <c r="AC139" s="19" t="e">
        <f t="shared" ca="1" si="4"/>
        <v>#NAME?</v>
      </c>
      <c r="AD139" s="19" t="e">
        <f t="shared" ca="1" si="4"/>
        <v>#NAME?</v>
      </c>
      <c r="AE139" s="19" t="e">
        <f t="shared" ca="1" si="4"/>
        <v>#NAME?</v>
      </c>
      <c r="AF139" s="19" t="e">
        <f t="shared" ca="1" si="4"/>
        <v>#NAME?</v>
      </c>
      <c r="AG139" s="19" t="e">
        <f t="shared" ca="1" si="4"/>
        <v>#NAME?</v>
      </c>
      <c r="AH139" s="19" t="e">
        <f t="shared" ca="1" si="4"/>
        <v>#NAME?</v>
      </c>
      <c r="AI139" s="19" t="e">
        <f t="shared" ca="1" si="4"/>
        <v>#NAME?</v>
      </c>
      <c r="AJ139" s="19" t="e">
        <f t="shared" ca="1" si="4"/>
        <v>#NAME?</v>
      </c>
      <c r="AK139" s="19" t="e">
        <f t="shared" ca="1" si="4"/>
        <v>#NAME?</v>
      </c>
    </row>
    <row r="140" spans="1:37" x14ac:dyDescent="0.25">
      <c r="B140" s="16" t="e">
        <f t="shared" ca="1" si="1"/>
        <v>#NAME?</v>
      </c>
      <c r="C140" t="s">
        <v>100</v>
      </c>
      <c r="D140" s="21" t="s">
        <v>45</v>
      </c>
      <c r="K140" s="48" t="s">
        <v>101</v>
      </c>
      <c r="L140" s="48"/>
      <c r="M140" s="48"/>
      <c r="N140" s="48"/>
      <c r="P140" s="22" t="e">
        <f ca="1">IF(_xll.DIMIX(db_name&amp;":measure code",$B140)=0,0,_xll.DBRW($C$77,$P$116,$V$116,$C$79,$C140,$P$120,$V$118,$B140,P$130,$D140))</f>
        <v>#NAME?</v>
      </c>
      <c r="Q140" s="22" t="e">
        <f ca="1">IF(_xll.DIMIX(db_name&amp;":measure code",$B140)=0,0,_xll.DBRW($C$77,$P$116,$V$116,$C$79,$C140,$P$120,$V$118,$B140,Q$130,$D140))</f>
        <v>#NAME?</v>
      </c>
      <c r="R140" s="22" t="e">
        <f ca="1">IF(_xll.DIMIX(db_name&amp;":measure code",$B140)=0,0,_xll.DBRW($C$77,$P$116,$V$116,$C$79,$C140,$P$120,$V$118,$B140,R$130,$D140))</f>
        <v>#NAME?</v>
      </c>
      <c r="S140" s="22" t="e">
        <f ca="1">IF(_xll.DIMIX(db_name&amp;":measure code",$B140)=0,0,_xll.DBRW($C$77,$P$116,$V$116,$C$79,$C140,$P$120,$V$118,$B140,S$130,$D140))</f>
        <v>#NAME?</v>
      </c>
      <c r="T140" s="22" t="e">
        <f ca="1">IF(_xll.DIMIX(db_name&amp;":measure code",$B140)=0,0,_xll.DBRW($C$77,$P$116,$V$116,$C$79,$C140,$P$120,$V$118,$B140,T$130,$D140))</f>
        <v>#NAME?</v>
      </c>
      <c r="U140" s="22" t="e">
        <f ca="1">IF(_xll.DIMIX(db_name&amp;":measure code",$B140)=0,0,_xll.DBRW($C$77,$P$116,$V$116,$C$79,$C140,$P$120,$V$118,$B140,U$130,$D140))</f>
        <v>#NAME?</v>
      </c>
      <c r="V140" s="22" t="e">
        <f ca="1">IF(_xll.DIMIX(db_name&amp;":measure code",$B140)=0,0,_xll.DBRW($C$77,$P$116,$V$116,$C$79,$C140,$P$120,$V$118,$B140,V$130,$D140))</f>
        <v>#NAME?</v>
      </c>
      <c r="W140" s="22" t="e">
        <f ca="1">IF(_xll.DIMIX(db_name&amp;":measure code",$B140)=0,0,_xll.DBRW($C$77,$P$116,$V$116,$C$79,$C140,$P$120,$V$118,$B140,W$130,$D140))</f>
        <v>#NAME?</v>
      </c>
      <c r="X140" s="22" t="e">
        <f ca="1">IF(_xll.DIMIX(db_name&amp;":measure code",$B140)=0,0,_xll.DBRW($C$77,$P$116,$V$116,$C$79,$C140,$P$120,$V$118,$B140,X$130,$D140))</f>
        <v>#NAME?</v>
      </c>
      <c r="Y140" s="22" t="e">
        <f ca="1">IF(_xll.DIMIX(db_name&amp;":measure code",$B140)=0,0,_xll.DBRW($C$77,$P$116,$V$116,$C$79,$C140,$P$120,$V$118,$B140,Y$130,$D140))</f>
        <v>#NAME?</v>
      </c>
      <c r="Z140" s="22" t="e">
        <f ca="1">IF(_xll.DIMIX(db_name&amp;":measure code",$B140)=0,0,_xll.DBRW($C$77,$P$116,$V$116,$C$79,$C140,$P$120,$V$118,$B140,Z$130,$D140))</f>
        <v>#NAME?</v>
      </c>
      <c r="AA140" s="22" t="e">
        <f ca="1">IF(_xll.DIMIX(db_name&amp;":measure code",$B140)=0,0,_xll.DBRW($C$77,$P$116,$V$116,$C$79,$C140,$P$120,$V$118,$B140,AA$130,$D140))</f>
        <v>#NAME?</v>
      </c>
      <c r="AB140" s="22" t="e">
        <f ca="1">IF(_xll.DIMIX(db_name&amp;":measure code",$B140)=0,0,_xll.DBRW($C$77,$P$116,$V$116,$C$79,$C140,$P$120,$V$118,$B140,AB$130,$D140))</f>
        <v>#NAME?</v>
      </c>
      <c r="AC140" s="22" t="e">
        <f ca="1">IF(_xll.DIMIX(db_name&amp;":measure code",$B140)=0,0,_xll.DBRW($C$77,$P$116,$V$116,$C$79,$C140,$P$120,$V$118,$B140,AC$130,$D140))</f>
        <v>#NAME?</v>
      </c>
      <c r="AD140" s="22" t="e">
        <f ca="1">IF(_xll.DIMIX(db_name&amp;":measure code",$B140)=0,0,_xll.DBRW($C$77,$P$116,$V$116,$C$79,$C140,$P$120,$V$118,$B140,AD$130,$D140))</f>
        <v>#NAME?</v>
      </c>
      <c r="AE140" s="22" t="e">
        <f ca="1">IF(_xll.DIMIX(db_name&amp;":measure code",$B140)=0,0,_xll.DBRW($C$77,$P$116,$V$116,$C$79,$C140,$P$120,$V$118,$B140,AE$130,$D140))</f>
        <v>#NAME?</v>
      </c>
      <c r="AF140" s="22" t="e">
        <f ca="1">IF(_xll.DIMIX(db_name&amp;":measure code",$B140)=0,0,_xll.DBRW($C$77,$P$116,$V$116,$C$79,$C140,$P$120,$V$118,$B140,AF$130,$D140))</f>
        <v>#NAME?</v>
      </c>
      <c r="AG140" s="22" t="e">
        <f ca="1">IF(_xll.DIMIX(db_name&amp;":measure code",$B140)=0,0,_xll.DBRW($C$77,$P$116,$V$116,$C$79,$C140,$P$120,$V$118,$B140,AG$130,$D140))</f>
        <v>#NAME?</v>
      </c>
      <c r="AH140" s="22" t="e">
        <f ca="1">IF(_xll.DIMIX(db_name&amp;":measure code",$B140)=0,0,_xll.DBRW($C$77,$P$116,$V$116,$C$79,$C140,$P$120,$V$118,$B140,AH$130,$D140))</f>
        <v>#NAME?</v>
      </c>
      <c r="AI140" s="22" t="e">
        <f ca="1">IF(_xll.DIMIX(db_name&amp;":measure code",$B140)=0,0,_xll.DBRW($C$77,$P$116,$V$116,$C$79,$C140,$P$120,$V$118,$B140,AI$130,$D140))</f>
        <v>#NAME?</v>
      </c>
      <c r="AJ140" s="22" t="e">
        <f ca="1">IF(_xll.DIMIX(db_name&amp;":measure code",$B140)=0,0,_xll.DBRW($C$77,$P$116,$V$116,$C$79,$C140,$P$120,$V$118,$B140,AJ$130,$D140))</f>
        <v>#NAME?</v>
      </c>
      <c r="AK140" s="22" t="e">
        <f ca="1">IF(_xll.DIMIX(db_name&amp;":measure code",$B140)=0,0,_xll.DBRW($C$77,$P$116,$V$116,$C$79,$C140,$P$120,$V$118,$B140,AK$130,$D140))</f>
        <v>#NAME?</v>
      </c>
    </row>
    <row r="141" spans="1:37" ht="4.5" customHeight="1" x14ac:dyDescent="0.25"/>
    <row r="142" spans="1:37" x14ac:dyDescent="0.25">
      <c r="B142" s="57"/>
      <c r="C142" s="57"/>
      <c r="D142" s="57"/>
      <c r="E142" s="57"/>
      <c r="F142" s="23"/>
      <c r="K142" s="57" t="s">
        <v>103</v>
      </c>
      <c r="L142" s="57"/>
      <c r="M142" s="57"/>
      <c r="N142" s="57"/>
      <c r="P142" s="23" t="e">
        <f ca="1">P$99</f>
        <v>#NAME?</v>
      </c>
      <c r="Q142" s="23" t="e">
        <f t="shared" ref="Q142:AK142" ca="1" si="5">Q$99</f>
        <v>#NAME?</v>
      </c>
      <c r="R142" s="23" t="e">
        <f t="shared" ca="1" si="5"/>
        <v>#NAME?</v>
      </c>
      <c r="S142" s="23" t="e">
        <f t="shared" ca="1" si="5"/>
        <v>#NAME?</v>
      </c>
      <c r="T142" s="23" t="e">
        <f t="shared" ca="1" si="5"/>
        <v>#NAME?</v>
      </c>
      <c r="U142" s="23" t="e">
        <f t="shared" ca="1" si="5"/>
        <v>#NAME?</v>
      </c>
      <c r="V142" s="23" t="e">
        <f t="shared" ca="1" si="5"/>
        <v>#NAME?</v>
      </c>
      <c r="W142" s="23" t="e">
        <f t="shared" ca="1" si="5"/>
        <v>#NAME?</v>
      </c>
      <c r="X142" s="23" t="e">
        <f t="shared" ca="1" si="5"/>
        <v>#NAME?</v>
      </c>
      <c r="Y142" s="23" t="e">
        <f t="shared" ca="1" si="5"/>
        <v>#NAME?</v>
      </c>
      <c r="Z142" s="23" t="e">
        <f t="shared" ca="1" si="5"/>
        <v>#NAME?</v>
      </c>
      <c r="AA142" s="23" t="e">
        <f t="shared" ca="1" si="5"/>
        <v>#NAME?</v>
      </c>
      <c r="AB142" s="23" t="e">
        <f t="shared" ca="1" si="5"/>
        <v>#NAME?</v>
      </c>
      <c r="AC142" s="23" t="e">
        <f t="shared" ca="1" si="5"/>
        <v>#NAME?</v>
      </c>
      <c r="AD142" s="23" t="e">
        <f t="shared" ca="1" si="5"/>
        <v>#NAME?</v>
      </c>
      <c r="AE142" s="23" t="e">
        <f t="shared" ca="1" si="5"/>
        <v>#NAME?</v>
      </c>
      <c r="AF142" s="23" t="e">
        <f t="shared" ca="1" si="5"/>
        <v>#NAME?</v>
      </c>
      <c r="AG142" s="23" t="e">
        <f t="shared" ca="1" si="5"/>
        <v>#NAME?</v>
      </c>
      <c r="AH142" s="23" t="e">
        <f t="shared" ca="1" si="5"/>
        <v>#NAME?</v>
      </c>
      <c r="AI142" s="23" t="e">
        <f t="shared" ca="1" si="5"/>
        <v>#NAME?</v>
      </c>
      <c r="AJ142" s="23" t="e">
        <f t="shared" ca="1" si="5"/>
        <v>#NAME?</v>
      </c>
      <c r="AK142" s="23" t="e">
        <f t="shared" ca="1" si="5"/>
        <v>#NAME?</v>
      </c>
    </row>
    <row r="143" spans="1:37" x14ac:dyDescent="0.25">
      <c r="B143" s="16" t="e">
        <f t="shared" ref="B143:B150" ca="1" si="6">$C$56</f>
        <v>#NAME?</v>
      </c>
      <c r="C143" t="str">
        <f t="shared" ref="C143:C149" si="7">$C$105</f>
        <v>Administered Programmes</v>
      </c>
      <c r="D143" t="s">
        <v>171</v>
      </c>
      <c r="E143" s="17" t="e">
        <f ca="1">$C$48</f>
        <v>#NAME?</v>
      </c>
      <c r="F143" t="e">
        <f t="shared" ref="F143:F148" ca="1" si="8">$C$46</f>
        <v>#NAME?</v>
      </c>
      <c r="K143" s="55" t="s">
        <v>104</v>
      </c>
      <c r="L143" s="55"/>
      <c r="M143" s="55"/>
      <c r="N143" s="55"/>
      <c r="P143" s="19" t="e">
        <f ca="1">IF(_xll.DIMIX(db_name&amp;":measure code",$B143)=0,0,_xll.DBRW(
$C$60,$C$61,$C$62,$C$63,$C$64,$C$65,$C$66,$C$67,$C$68,$B143,$C$69,$F143,$C$70,$C143,$E143,$D143,$C$71,P$99))</f>
        <v>#NAME?</v>
      </c>
      <c r="Q143" s="19" t="e">
        <f ca="1">IF(_xll.DIMIX(db_name&amp;":measure code",$B143)=0,0,_xll.DBRW(
$C$60,$C$61,$C$62,$C$63,$C$64,$C$65,$C$66,$C$67,$C$68,$B143,$C$69,$F143,$C$70,$C143,$E143,$D143,$C$71,Q$99))</f>
        <v>#NAME?</v>
      </c>
      <c r="R143" s="19" t="e">
        <f ca="1">IF(_xll.DIMIX(db_name&amp;":measure code",$B143)=0,0,_xll.DBRW(
$C$60,$C$61,$C$62,$C$63,$C$64,$C$65,$C$66,$C$67,$C$68,$B143,$C$69,$F143,$C$70,$C143,$E143,$D143,$C$71,R$99))</f>
        <v>#NAME?</v>
      </c>
      <c r="S143" s="19" t="e">
        <f ca="1">IF(_xll.DIMIX(db_name&amp;":measure code",$B143)=0,0,_xll.DBRW(
$C$60,$C$61,$C$62,$C$63,$C$64,$C$65,$C$66,$C$67,$C$68,$B143,$C$69,$F143,$C$70,$C143,$E143,$D143,$C$71,S$99))</f>
        <v>#NAME?</v>
      </c>
      <c r="T143" s="19" t="e">
        <f ca="1">IF(_xll.DIMIX(db_name&amp;":measure code",$B143)=0,0,_xll.DBRW(
$C$60,$C$61,$C$62,$C$63,$C$64,$C$65,$C$66,$C$67,$C$68,$B143,$C$69,$F143,$C$70,$C143,$E143,$D143,$C$71,T$99))</f>
        <v>#NAME?</v>
      </c>
      <c r="U143" s="19" t="e">
        <f ca="1">IF(_xll.DIMIX(db_name&amp;":measure code",$B143)=0,0,_xll.DBRW(
$C$60,$C$61,$C$62,$C$63,$C$64,$C$65,$C$66,$C$67,$C$68,$B143,$C$69,$F143,$C$70,$C143,$E143,$D143,$C$71,U$99))</f>
        <v>#NAME?</v>
      </c>
      <c r="V143" s="19" t="e">
        <f ca="1">IF(_xll.DIMIX(db_name&amp;":measure code",$B143)=0,0,_xll.DBRW(
$C$60,$C$61,$C$62,$C$63,$C$64,$C$65,$C$66,$C$67,$C$68,$B143,$C$69,$F143,$C$70,$C143,$E143,$D143,$C$71,V$99))</f>
        <v>#NAME?</v>
      </c>
      <c r="W143" s="19" t="e">
        <f ca="1">IF(_xll.DIMIX(db_name&amp;":measure code",$B143)=0,0,_xll.DBRW(
$C$60,$C$61,$C$62,$C$63,$C$64,$C$65,$C$66,$C$67,$C$68,$B143,$C$69,$F143,$C$70,$C143,$E143,$D143,$C$71,W$99))</f>
        <v>#NAME?</v>
      </c>
      <c r="X143" s="19" t="e">
        <f ca="1">IF(_xll.DIMIX(db_name&amp;":measure code",$B143)=0,0,_xll.DBRW(
$C$60,$C$61,$C$62,$C$63,$C$64,$C$65,$C$66,$C$67,$C$68,$B143,$C$69,$F143,$C$70,$C143,$E143,$D143,$C$71,X$99))</f>
        <v>#NAME?</v>
      </c>
      <c r="Y143" s="19" t="e">
        <f ca="1">IF(_xll.DIMIX(db_name&amp;":measure code",$B143)=0,0,_xll.DBRW(
$C$60,$C$61,$C$62,$C$63,$C$64,$C$65,$C$66,$C$67,$C$68,$B143,$C$69,$F143,$C$70,$C143,$E143,$D143,$C$71,Y$99))</f>
        <v>#NAME?</v>
      </c>
      <c r="Z143" s="19" t="e">
        <f ca="1">IF(_xll.DIMIX(db_name&amp;":measure code",$B143)=0,0,_xll.DBRW(
$C$60,$C$61,$C$62,$C$63,$C$64,$C$65,$C$66,$C$67,$C$68,$B143,$C$69,$F143,$C$70,$C143,$E143,$D143,$C$71,Z$99))</f>
        <v>#NAME?</v>
      </c>
      <c r="AA143" s="19" t="e">
        <f ca="1">IF(_xll.DIMIX(db_name&amp;":measure code",$B143)=0,0,_xll.DBRW(
$C$60,$C$61,$C$62,$C$63,$C$64,$C$65,$C$66,$C$67,$C$68,$B143,$C$69,$F143,$C$70,$C143,$E143,$D143,$C$71,AA$99))</f>
        <v>#NAME?</v>
      </c>
      <c r="AB143" s="19" t="e">
        <f ca="1">IF(_xll.DIMIX(db_name&amp;":measure code",$B143)=0,0,_xll.DBRW(
$C$60,$C$61,$C$62,$C$63,$C$64,$C$65,$C$66,$C$67,$C$68,$B143,$C$69,$F143,$C$70,$C143,$E143,$D143,$C$71,AB$99))</f>
        <v>#NAME?</v>
      </c>
      <c r="AC143" s="19" t="e">
        <f ca="1">IF(_xll.DIMIX(db_name&amp;":measure code",$B143)=0,0,_xll.DBRW(
$C$60,$C$61,$C$62,$C$63,$C$64,$C$65,$C$66,$C$67,$C$68,$B143,$C$69,$F143,$C$70,$C143,$E143,$D143,$C$71,AC$99))</f>
        <v>#NAME?</v>
      </c>
      <c r="AD143" s="19" t="e">
        <f ca="1">IF(_xll.DIMIX(db_name&amp;":measure code",$B143)=0,0,_xll.DBRW(
$C$60,$C$61,$C$62,$C$63,$C$64,$C$65,$C$66,$C$67,$C$68,$B143,$C$69,$F143,$C$70,$C143,$E143,$D143,$C$71,AD$99))</f>
        <v>#NAME?</v>
      </c>
      <c r="AE143" s="19" t="e">
        <f ca="1">IF(_xll.DIMIX(db_name&amp;":measure code",$B143)=0,0,_xll.DBRW(
$C$60,$C$61,$C$62,$C$63,$C$64,$C$65,$C$66,$C$67,$C$68,$B143,$C$69,$F143,$C$70,$C143,$E143,$D143,$C$71,AE$99))</f>
        <v>#NAME?</v>
      </c>
      <c r="AF143" s="19" t="e">
        <f ca="1">IF(_xll.DIMIX(db_name&amp;":measure code",$B143)=0,0,_xll.DBRW(
$C$60,$C$61,$C$62,$C$63,$C$64,$C$65,$C$66,$C$67,$C$68,$B143,$C$69,$F143,$C$70,$C143,$E143,$D143,$C$71,AF$99))</f>
        <v>#NAME?</v>
      </c>
      <c r="AG143" s="19" t="e">
        <f ca="1">IF(_xll.DIMIX(db_name&amp;":measure code",$B143)=0,0,_xll.DBRW(
$C$60,$C$61,$C$62,$C$63,$C$64,$C$65,$C$66,$C$67,$C$68,$B143,$C$69,$F143,$C$70,$C143,$E143,$D143,$C$71,AG$99))</f>
        <v>#NAME?</v>
      </c>
      <c r="AH143" s="19" t="e">
        <f ca="1">IF(_xll.DIMIX(db_name&amp;":measure code",$B143)=0,0,_xll.DBRW(
$C$60,$C$61,$C$62,$C$63,$C$64,$C$65,$C$66,$C$67,$C$68,$B143,$C$69,$F143,$C$70,$C143,$E143,$D143,$C$71,AH$99))</f>
        <v>#NAME?</v>
      </c>
      <c r="AI143" s="19" t="e">
        <f ca="1">IF(_xll.DIMIX(db_name&amp;":measure code",$B143)=0,0,_xll.DBRW(
$C$60,$C$61,$C$62,$C$63,$C$64,$C$65,$C$66,$C$67,$C$68,$B143,$C$69,$F143,$C$70,$C143,$E143,$D143,$C$71,AI$99))</f>
        <v>#NAME?</v>
      </c>
      <c r="AJ143" s="19" t="e">
        <f ca="1">IF(_xll.DIMIX(db_name&amp;":measure code",$B143)=0,0,_xll.DBRW(
$C$60,$C$61,$C$62,$C$63,$C$64,$C$65,$C$66,$C$67,$C$68,$B143,$C$69,$F143,$C$70,$C143,$E143,$D143,$C$71,AJ$99))</f>
        <v>#NAME?</v>
      </c>
      <c r="AK143" s="19" t="e">
        <f ca="1">IF(_xll.DIMIX(db_name&amp;":measure code",$B143)=0,0,_xll.DBRW(
$C$60,$C$61,$C$62,$C$63,$C$64,$C$65,$C$66,$C$67,$C$68,$B143,$C$69,$F143,$C$70,$C143,$E143,$D143,$C$71,AK$99))</f>
        <v>#NAME?</v>
      </c>
    </row>
    <row r="144" spans="1:37" x14ac:dyDescent="0.25">
      <c r="B144" s="16" t="e">
        <f t="shared" ca="1" si="6"/>
        <v>#NAME?</v>
      </c>
      <c r="C144" t="str">
        <f t="shared" si="7"/>
        <v>Administered Programmes</v>
      </c>
      <c r="D144" t="s">
        <v>171</v>
      </c>
      <c r="E144" s="17" t="e">
        <f ca="1">$C$47</f>
        <v>#NAME?</v>
      </c>
      <c r="F144" t="e">
        <f t="shared" ca="1" si="8"/>
        <v>#NAME?</v>
      </c>
      <c r="K144" s="55" t="s">
        <v>105</v>
      </c>
      <c r="L144" s="55"/>
      <c r="M144" s="55"/>
      <c r="N144" s="55"/>
      <c r="P144" s="19" t="e">
        <f ca="1">IF(_xll.DIMIX(db_name&amp;":measure code",$B144)=0,0,_xll.DBRW(
$C$60,$C$61,$C$62,$C$63,$C$64,$C$65,$C$66,$C$67,$C$68,$B144,$C$69,$F144,$C$70,$C144,$E144,$D144,$C$71,P$99))</f>
        <v>#NAME?</v>
      </c>
      <c r="Q144" s="19" t="e">
        <f ca="1">IF(_xll.DIMIX(db_name&amp;":measure code",$B144)=0,0,_xll.DBRW(
$C$60,$C$61,$C$62,$C$63,$C$64,$C$65,$C$66,$C$67,$C$68,$B144,$C$69,$F144,$C$70,$C144,$E144,$D144,$C$71,Q$99))</f>
        <v>#NAME?</v>
      </c>
      <c r="R144" s="19" t="e">
        <f ca="1">IF(_xll.DIMIX(db_name&amp;":measure code",$B144)=0,0,_xll.DBRW(
$C$60,$C$61,$C$62,$C$63,$C$64,$C$65,$C$66,$C$67,$C$68,$B144,$C$69,$F144,$C$70,$C144,$E144,$D144,$C$71,R$99))</f>
        <v>#NAME?</v>
      </c>
      <c r="S144" s="19" t="e">
        <f ca="1">IF(_xll.DIMIX(db_name&amp;":measure code",$B144)=0,0,_xll.DBRW(
$C$60,$C$61,$C$62,$C$63,$C$64,$C$65,$C$66,$C$67,$C$68,$B144,$C$69,$F144,$C$70,$C144,$E144,$D144,$C$71,S$99))</f>
        <v>#NAME?</v>
      </c>
      <c r="T144" s="19" t="e">
        <f ca="1">IF(_xll.DIMIX(db_name&amp;":measure code",$B144)=0,0,_xll.DBRW(
$C$60,$C$61,$C$62,$C$63,$C$64,$C$65,$C$66,$C$67,$C$68,$B144,$C$69,$F144,$C$70,$C144,$E144,$D144,$C$71,T$99))</f>
        <v>#NAME?</v>
      </c>
      <c r="U144" s="19" t="e">
        <f ca="1">IF(_xll.DIMIX(db_name&amp;":measure code",$B144)=0,0,_xll.DBRW(
$C$60,$C$61,$C$62,$C$63,$C$64,$C$65,$C$66,$C$67,$C$68,$B144,$C$69,$F144,$C$70,$C144,$E144,$D144,$C$71,U$99))</f>
        <v>#NAME?</v>
      </c>
      <c r="V144" s="19" t="e">
        <f ca="1">IF(_xll.DIMIX(db_name&amp;":measure code",$B144)=0,0,_xll.DBRW(
$C$60,$C$61,$C$62,$C$63,$C$64,$C$65,$C$66,$C$67,$C$68,$B144,$C$69,$F144,$C$70,$C144,$E144,$D144,$C$71,V$99))</f>
        <v>#NAME?</v>
      </c>
      <c r="W144" s="19" t="e">
        <f ca="1">IF(_xll.DIMIX(db_name&amp;":measure code",$B144)=0,0,_xll.DBRW(
$C$60,$C$61,$C$62,$C$63,$C$64,$C$65,$C$66,$C$67,$C$68,$B144,$C$69,$F144,$C$70,$C144,$E144,$D144,$C$71,W$99))</f>
        <v>#NAME?</v>
      </c>
      <c r="X144" s="19" t="e">
        <f ca="1">IF(_xll.DIMIX(db_name&amp;":measure code",$B144)=0,0,_xll.DBRW(
$C$60,$C$61,$C$62,$C$63,$C$64,$C$65,$C$66,$C$67,$C$68,$B144,$C$69,$F144,$C$70,$C144,$E144,$D144,$C$71,X$99))</f>
        <v>#NAME?</v>
      </c>
      <c r="Y144" s="19" t="e">
        <f ca="1">IF(_xll.DIMIX(db_name&amp;":measure code",$B144)=0,0,_xll.DBRW(
$C$60,$C$61,$C$62,$C$63,$C$64,$C$65,$C$66,$C$67,$C$68,$B144,$C$69,$F144,$C$70,$C144,$E144,$D144,$C$71,Y$99))</f>
        <v>#NAME?</v>
      </c>
      <c r="Z144" s="19" t="e">
        <f ca="1">IF(_xll.DIMIX(db_name&amp;":measure code",$B144)=0,0,_xll.DBRW(
$C$60,$C$61,$C$62,$C$63,$C$64,$C$65,$C$66,$C$67,$C$68,$B144,$C$69,$F144,$C$70,$C144,$E144,$D144,$C$71,Z$99))</f>
        <v>#NAME?</v>
      </c>
      <c r="AA144" s="19" t="e">
        <f ca="1">IF(_xll.DIMIX(db_name&amp;":measure code",$B144)=0,0,_xll.DBRW(
$C$60,$C$61,$C$62,$C$63,$C$64,$C$65,$C$66,$C$67,$C$68,$B144,$C$69,$F144,$C$70,$C144,$E144,$D144,$C$71,AA$99))</f>
        <v>#NAME?</v>
      </c>
      <c r="AB144" s="19" t="e">
        <f ca="1">IF(_xll.DIMIX(db_name&amp;":measure code",$B144)=0,0,_xll.DBRW(
$C$60,$C$61,$C$62,$C$63,$C$64,$C$65,$C$66,$C$67,$C$68,$B144,$C$69,$F144,$C$70,$C144,$E144,$D144,$C$71,AB$99))</f>
        <v>#NAME?</v>
      </c>
      <c r="AC144" s="19" t="e">
        <f ca="1">IF(_xll.DIMIX(db_name&amp;":measure code",$B144)=0,0,_xll.DBRW(
$C$60,$C$61,$C$62,$C$63,$C$64,$C$65,$C$66,$C$67,$C$68,$B144,$C$69,$F144,$C$70,$C144,$E144,$D144,$C$71,AC$99))</f>
        <v>#NAME?</v>
      </c>
      <c r="AD144" s="19" t="e">
        <f ca="1">IF(_xll.DIMIX(db_name&amp;":measure code",$B144)=0,0,_xll.DBRW(
$C$60,$C$61,$C$62,$C$63,$C$64,$C$65,$C$66,$C$67,$C$68,$B144,$C$69,$F144,$C$70,$C144,$E144,$D144,$C$71,AD$99))</f>
        <v>#NAME?</v>
      </c>
      <c r="AE144" s="19" t="e">
        <f ca="1">IF(_xll.DIMIX(db_name&amp;":measure code",$B144)=0,0,_xll.DBRW(
$C$60,$C$61,$C$62,$C$63,$C$64,$C$65,$C$66,$C$67,$C$68,$B144,$C$69,$F144,$C$70,$C144,$E144,$D144,$C$71,AE$99))</f>
        <v>#NAME?</v>
      </c>
      <c r="AF144" s="19" t="e">
        <f ca="1">IF(_xll.DIMIX(db_name&amp;":measure code",$B144)=0,0,_xll.DBRW(
$C$60,$C$61,$C$62,$C$63,$C$64,$C$65,$C$66,$C$67,$C$68,$B144,$C$69,$F144,$C$70,$C144,$E144,$D144,$C$71,AF$99))</f>
        <v>#NAME?</v>
      </c>
      <c r="AG144" s="19" t="e">
        <f ca="1">IF(_xll.DIMIX(db_name&amp;":measure code",$B144)=0,0,_xll.DBRW(
$C$60,$C$61,$C$62,$C$63,$C$64,$C$65,$C$66,$C$67,$C$68,$B144,$C$69,$F144,$C$70,$C144,$E144,$D144,$C$71,AG$99))</f>
        <v>#NAME?</v>
      </c>
      <c r="AH144" s="19" t="e">
        <f ca="1">IF(_xll.DIMIX(db_name&amp;":measure code",$B144)=0,0,_xll.DBRW(
$C$60,$C$61,$C$62,$C$63,$C$64,$C$65,$C$66,$C$67,$C$68,$B144,$C$69,$F144,$C$70,$C144,$E144,$D144,$C$71,AH$99))</f>
        <v>#NAME?</v>
      </c>
      <c r="AI144" s="19" t="e">
        <f ca="1">IF(_xll.DIMIX(db_name&amp;":measure code",$B144)=0,0,_xll.DBRW(
$C$60,$C$61,$C$62,$C$63,$C$64,$C$65,$C$66,$C$67,$C$68,$B144,$C$69,$F144,$C$70,$C144,$E144,$D144,$C$71,AI$99))</f>
        <v>#NAME?</v>
      </c>
      <c r="AJ144" s="19" t="e">
        <f ca="1">IF(_xll.DIMIX(db_name&amp;":measure code",$B144)=0,0,_xll.DBRW(
$C$60,$C$61,$C$62,$C$63,$C$64,$C$65,$C$66,$C$67,$C$68,$B144,$C$69,$F144,$C$70,$C144,$E144,$D144,$C$71,AJ$99))</f>
        <v>#NAME?</v>
      </c>
      <c r="AK144" s="19" t="e">
        <f ca="1">IF(_xll.DIMIX(db_name&amp;":measure code",$B144)=0,0,_xll.DBRW(
$C$60,$C$61,$C$62,$C$63,$C$64,$C$65,$C$66,$C$67,$C$68,$B144,$C$69,$F144,$C$70,$C144,$E144,$D144,$C$71,AK$99))</f>
        <v>#NAME?</v>
      </c>
    </row>
    <row r="145" spans="2:37" x14ac:dyDescent="0.25">
      <c r="B145" s="16" t="e">
        <f t="shared" ca="1" si="6"/>
        <v>#NAME?</v>
      </c>
      <c r="C145" t="str">
        <f t="shared" si="7"/>
        <v>Administered Programmes</v>
      </c>
      <c r="D145" t="s">
        <v>171</v>
      </c>
      <c r="E145" s="17" t="s">
        <v>102</v>
      </c>
      <c r="F145" t="e">
        <f t="shared" ca="1" si="8"/>
        <v>#NAME?</v>
      </c>
      <c r="K145" s="55" t="s">
        <v>106</v>
      </c>
      <c r="L145" s="55"/>
      <c r="M145" s="55"/>
      <c r="N145" s="55"/>
      <c r="P145" s="19" t="e">
        <f ca="1">IF(_xll.DIMIX(db_name&amp;":measure code",$B145)=0,0,_xll.DBRW(
$C$60,$C$61,$C$62,$C$63,$C$64,$C$65,$C$66,$C$67,$C$68,$B145,$C$69,$F145,$C$70,$C145,$E145,$D145,$C$71,P$99))</f>
        <v>#NAME?</v>
      </c>
      <c r="Q145" s="19" t="e">
        <f ca="1">IF(_xll.DIMIX(db_name&amp;":measure code",$B145)=0,0,_xll.DBRW(
$C$60,$C$61,$C$62,$C$63,$C$64,$C$65,$C$66,$C$67,$C$68,$B145,$C$69,$F145,$C$70,$C145,$E145,$D145,$C$71,Q$99))</f>
        <v>#NAME?</v>
      </c>
      <c r="R145" s="19" t="e">
        <f ca="1">IF(_xll.DIMIX(db_name&amp;":measure code",$B145)=0,0,_xll.DBRW(
$C$60,$C$61,$C$62,$C$63,$C$64,$C$65,$C$66,$C$67,$C$68,$B145,$C$69,$F145,$C$70,$C145,$E145,$D145,$C$71,R$99))</f>
        <v>#NAME?</v>
      </c>
      <c r="S145" s="19" t="e">
        <f ca="1">IF(_xll.DIMIX(db_name&amp;":measure code",$B145)=0,0,_xll.DBRW(
$C$60,$C$61,$C$62,$C$63,$C$64,$C$65,$C$66,$C$67,$C$68,$B145,$C$69,$F145,$C$70,$C145,$E145,$D145,$C$71,S$99))</f>
        <v>#NAME?</v>
      </c>
      <c r="T145" s="19" t="e">
        <f ca="1">IF(_xll.DIMIX(db_name&amp;":measure code",$B145)=0,0,_xll.DBRW(
$C$60,$C$61,$C$62,$C$63,$C$64,$C$65,$C$66,$C$67,$C$68,$B145,$C$69,$F145,$C$70,$C145,$E145,$D145,$C$71,T$99))</f>
        <v>#NAME?</v>
      </c>
      <c r="U145" s="19" t="e">
        <f ca="1">IF(_xll.DIMIX(db_name&amp;":measure code",$B145)=0,0,_xll.DBRW(
$C$60,$C$61,$C$62,$C$63,$C$64,$C$65,$C$66,$C$67,$C$68,$B145,$C$69,$F145,$C$70,$C145,$E145,$D145,$C$71,U$99))</f>
        <v>#NAME?</v>
      </c>
      <c r="V145" s="19" t="e">
        <f ca="1">IF(_xll.DIMIX(db_name&amp;":measure code",$B145)=0,0,_xll.DBRW(
$C$60,$C$61,$C$62,$C$63,$C$64,$C$65,$C$66,$C$67,$C$68,$B145,$C$69,$F145,$C$70,$C145,$E145,$D145,$C$71,V$99))</f>
        <v>#NAME?</v>
      </c>
      <c r="W145" s="19" t="e">
        <f ca="1">IF(_xll.DIMIX(db_name&amp;":measure code",$B145)=0,0,_xll.DBRW(
$C$60,$C$61,$C$62,$C$63,$C$64,$C$65,$C$66,$C$67,$C$68,$B145,$C$69,$F145,$C$70,$C145,$E145,$D145,$C$71,W$99))</f>
        <v>#NAME?</v>
      </c>
      <c r="X145" s="19" t="e">
        <f ca="1">IF(_xll.DIMIX(db_name&amp;":measure code",$B145)=0,0,_xll.DBRW(
$C$60,$C$61,$C$62,$C$63,$C$64,$C$65,$C$66,$C$67,$C$68,$B145,$C$69,$F145,$C$70,$C145,$E145,$D145,$C$71,X$99))</f>
        <v>#NAME?</v>
      </c>
      <c r="Y145" s="19" t="e">
        <f ca="1">IF(_xll.DIMIX(db_name&amp;":measure code",$B145)=0,0,_xll.DBRW(
$C$60,$C$61,$C$62,$C$63,$C$64,$C$65,$C$66,$C$67,$C$68,$B145,$C$69,$F145,$C$70,$C145,$E145,$D145,$C$71,Y$99))</f>
        <v>#NAME?</v>
      </c>
      <c r="Z145" s="19" t="e">
        <f ca="1">IF(_xll.DIMIX(db_name&amp;":measure code",$B145)=0,0,_xll.DBRW(
$C$60,$C$61,$C$62,$C$63,$C$64,$C$65,$C$66,$C$67,$C$68,$B145,$C$69,$F145,$C$70,$C145,$E145,$D145,$C$71,Z$99))</f>
        <v>#NAME?</v>
      </c>
      <c r="AA145" s="19" t="e">
        <f ca="1">IF(_xll.DIMIX(db_name&amp;":measure code",$B145)=0,0,_xll.DBRW(
$C$60,$C$61,$C$62,$C$63,$C$64,$C$65,$C$66,$C$67,$C$68,$B145,$C$69,$F145,$C$70,$C145,$E145,$D145,$C$71,AA$99))</f>
        <v>#NAME?</v>
      </c>
      <c r="AB145" s="19" t="e">
        <f ca="1">IF(_xll.DIMIX(db_name&amp;":measure code",$B145)=0,0,_xll.DBRW(
$C$60,$C$61,$C$62,$C$63,$C$64,$C$65,$C$66,$C$67,$C$68,$B145,$C$69,$F145,$C$70,$C145,$E145,$D145,$C$71,AB$99))</f>
        <v>#NAME?</v>
      </c>
      <c r="AC145" s="19" t="e">
        <f ca="1">IF(_xll.DIMIX(db_name&amp;":measure code",$B145)=0,0,_xll.DBRW(
$C$60,$C$61,$C$62,$C$63,$C$64,$C$65,$C$66,$C$67,$C$68,$B145,$C$69,$F145,$C$70,$C145,$E145,$D145,$C$71,AC$99))</f>
        <v>#NAME?</v>
      </c>
      <c r="AD145" s="19" t="e">
        <f ca="1">IF(_xll.DIMIX(db_name&amp;":measure code",$B145)=0,0,_xll.DBRW(
$C$60,$C$61,$C$62,$C$63,$C$64,$C$65,$C$66,$C$67,$C$68,$B145,$C$69,$F145,$C$70,$C145,$E145,$D145,$C$71,AD$99))</f>
        <v>#NAME?</v>
      </c>
      <c r="AE145" s="19" t="e">
        <f ca="1">IF(_xll.DIMIX(db_name&amp;":measure code",$B145)=0,0,_xll.DBRW(
$C$60,$C$61,$C$62,$C$63,$C$64,$C$65,$C$66,$C$67,$C$68,$B145,$C$69,$F145,$C$70,$C145,$E145,$D145,$C$71,AE$99))</f>
        <v>#NAME?</v>
      </c>
      <c r="AF145" s="19" t="e">
        <f ca="1">IF(_xll.DIMIX(db_name&amp;":measure code",$B145)=0,0,_xll.DBRW(
$C$60,$C$61,$C$62,$C$63,$C$64,$C$65,$C$66,$C$67,$C$68,$B145,$C$69,$F145,$C$70,$C145,$E145,$D145,$C$71,AF$99))</f>
        <v>#NAME?</v>
      </c>
      <c r="AG145" s="19" t="e">
        <f ca="1">IF(_xll.DIMIX(db_name&amp;":measure code",$B145)=0,0,_xll.DBRW(
$C$60,$C$61,$C$62,$C$63,$C$64,$C$65,$C$66,$C$67,$C$68,$B145,$C$69,$F145,$C$70,$C145,$E145,$D145,$C$71,AG$99))</f>
        <v>#NAME?</v>
      </c>
      <c r="AH145" s="19" t="e">
        <f ca="1">IF(_xll.DIMIX(db_name&amp;":measure code",$B145)=0,0,_xll.DBRW(
$C$60,$C$61,$C$62,$C$63,$C$64,$C$65,$C$66,$C$67,$C$68,$B145,$C$69,$F145,$C$70,$C145,$E145,$D145,$C$71,AH$99))</f>
        <v>#NAME?</v>
      </c>
      <c r="AI145" s="19" t="e">
        <f ca="1">IF(_xll.DIMIX(db_name&amp;":measure code",$B145)=0,0,_xll.DBRW(
$C$60,$C$61,$C$62,$C$63,$C$64,$C$65,$C$66,$C$67,$C$68,$B145,$C$69,$F145,$C$70,$C145,$E145,$D145,$C$71,AI$99))</f>
        <v>#NAME?</v>
      </c>
      <c r="AJ145" s="19" t="e">
        <f ca="1">IF(_xll.DIMIX(db_name&amp;":measure code",$B145)=0,0,_xll.DBRW(
$C$60,$C$61,$C$62,$C$63,$C$64,$C$65,$C$66,$C$67,$C$68,$B145,$C$69,$F145,$C$70,$C145,$E145,$D145,$C$71,AJ$99))</f>
        <v>#NAME?</v>
      </c>
      <c r="AK145" s="19" t="e">
        <f ca="1">IF(_xll.DIMIX(db_name&amp;":measure code",$B145)=0,0,_xll.DBRW(
$C$60,$C$61,$C$62,$C$63,$C$64,$C$65,$C$66,$C$67,$C$68,$B145,$C$69,$F145,$C$70,$C145,$E145,$D145,$C$71,AK$99))</f>
        <v>#NAME?</v>
      </c>
    </row>
    <row r="146" spans="2:37" x14ac:dyDescent="0.25">
      <c r="B146" s="16" t="e">
        <f t="shared" ca="1" si="6"/>
        <v>#NAME?</v>
      </c>
      <c r="C146" t="str">
        <f t="shared" si="7"/>
        <v>Administered Programmes</v>
      </c>
      <c r="D146" t="s">
        <v>171</v>
      </c>
      <c r="E146" s="17" t="s">
        <v>90</v>
      </c>
      <c r="F146" t="e">
        <f t="shared" ca="1" si="8"/>
        <v>#NAME?</v>
      </c>
      <c r="K146" s="55" t="s">
        <v>107</v>
      </c>
      <c r="L146" s="55"/>
      <c r="M146" s="55"/>
      <c r="N146" s="55"/>
      <c r="P146" s="19" t="e">
        <f ca="1">IF(_xll.DIMIX(db_name&amp;":measure code",$B146)=0,0,_xll.DBRW(
$C$60,$C$61,$C$62,$C$63,$C$64,$C$65,$C$66,$C$67,$C$68,$B146,$C$69,$F146,$C$70,$C146,$E146,$D146,$C$71,P$99))</f>
        <v>#NAME?</v>
      </c>
      <c r="Q146" s="19" t="e">
        <f ca="1">IF(_xll.DIMIX(db_name&amp;":measure code",$B146)=0,0,_xll.DBRW(
$C$60,$C$61,$C$62,$C$63,$C$64,$C$65,$C$66,$C$67,$C$68,$B146,$C$69,$F146,$C$70,$C146,$E146,$D146,$C$71,Q$99))</f>
        <v>#NAME?</v>
      </c>
      <c r="R146" s="19" t="e">
        <f ca="1">IF(_xll.DIMIX(db_name&amp;":measure code",$B146)=0,0,_xll.DBRW(
$C$60,$C$61,$C$62,$C$63,$C$64,$C$65,$C$66,$C$67,$C$68,$B146,$C$69,$F146,$C$70,$C146,$E146,$D146,$C$71,R$99))</f>
        <v>#NAME?</v>
      </c>
      <c r="S146" s="19" t="e">
        <f ca="1">IF(_xll.DIMIX(db_name&amp;":measure code",$B146)=0,0,_xll.DBRW(
$C$60,$C$61,$C$62,$C$63,$C$64,$C$65,$C$66,$C$67,$C$68,$B146,$C$69,$F146,$C$70,$C146,$E146,$D146,$C$71,S$99))</f>
        <v>#NAME?</v>
      </c>
      <c r="T146" s="19" t="e">
        <f ca="1">IF(_xll.DIMIX(db_name&amp;":measure code",$B146)=0,0,_xll.DBRW(
$C$60,$C$61,$C$62,$C$63,$C$64,$C$65,$C$66,$C$67,$C$68,$B146,$C$69,$F146,$C$70,$C146,$E146,$D146,$C$71,T$99))</f>
        <v>#NAME?</v>
      </c>
      <c r="U146" s="19" t="e">
        <f ca="1">IF(_xll.DIMIX(db_name&amp;":measure code",$B146)=0,0,_xll.DBRW(
$C$60,$C$61,$C$62,$C$63,$C$64,$C$65,$C$66,$C$67,$C$68,$B146,$C$69,$F146,$C$70,$C146,$E146,$D146,$C$71,U$99))</f>
        <v>#NAME?</v>
      </c>
      <c r="V146" s="19" t="e">
        <f ca="1">IF(_xll.DIMIX(db_name&amp;":measure code",$B146)=0,0,_xll.DBRW(
$C$60,$C$61,$C$62,$C$63,$C$64,$C$65,$C$66,$C$67,$C$68,$B146,$C$69,$F146,$C$70,$C146,$E146,$D146,$C$71,V$99))</f>
        <v>#NAME?</v>
      </c>
      <c r="W146" s="19" t="e">
        <f ca="1">IF(_xll.DIMIX(db_name&amp;":measure code",$B146)=0,0,_xll.DBRW(
$C$60,$C$61,$C$62,$C$63,$C$64,$C$65,$C$66,$C$67,$C$68,$B146,$C$69,$F146,$C$70,$C146,$E146,$D146,$C$71,W$99))</f>
        <v>#NAME?</v>
      </c>
      <c r="X146" s="19" t="e">
        <f ca="1">IF(_xll.DIMIX(db_name&amp;":measure code",$B146)=0,0,_xll.DBRW(
$C$60,$C$61,$C$62,$C$63,$C$64,$C$65,$C$66,$C$67,$C$68,$B146,$C$69,$F146,$C$70,$C146,$E146,$D146,$C$71,X$99))</f>
        <v>#NAME?</v>
      </c>
      <c r="Y146" s="19" t="e">
        <f ca="1">IF(_xll.DIMIX(db_name&amp;":measure code",$B146)=0,0,_xll.DBRW(
$C$60,$C$61,$C$62,$C$63,$C$64,$C$65,$C$66,$C$67,$C$68,$B146,$C$69,$F146,$C$70,$C146,$E146,$D146,$C$71,Y$99))</f>
        <v>#NAME?</v>
      </c>
      <c r="Z146" s="19" t="e">
        <f ca="1">IF(_xll.DIMIX(db_name&amp;":measure code",$B146)=0,0,_xll.DBRW(
$C$60,$C$61,$C$62,$C$63,$C$64,$C$65,$C$66,$C$67,$C$68,$B146,$C$69,$F146,$C$70,$C146,$E146,$D146,$C$71,Z$99))</f>
        <v>#NAME?</v>
      </c>
      <c r="AA146" s="19" t="e">
        <f ca="1">IF(_xll.DIMIX(db_name&amp;":measure code",$B146)=0,0,_xll.DBRW(
$C$60,$C$61,$C$62,$C$63,$C$64,$C$65,$C$66,$C$67,$C$68,$B146,$C$69,$F146,$C$70,$C146,$E146,$D146,$C$71,AA$99))</f>
        <v>#NAME?</v>
      </c>
      <c r="AB146" s="19" t="e">
        <f ca="1">IF(_xll.DIMIX(db_name&amp;":measure code",$B146)=0,0,_xll.DBRW(
$C$60,$C$61,$C$62,$C$63,$C$64,$C$65,$C$66,$C$67,$C$68,$B146,$C$69,$F146,$C$70,$C146,$E146,$D146,$C$71,AB$99))</f>
        <v>#NAME?</v>
      </c>
      <c r="AC146" s="19" t="e">
        <f ca="1">IF(_xll.DIMIX(db_name&amp;":measure code",$B146)=0,0,_xll.DBRW(
$C$60,$C$61,$C$62,$C$63,$C$64,$C$65,$C$66,$C$67,$C$68,$B146,$C$69,$F146,$C$70,$C146,$E146,$D146,$C$71,AC$99))</f>
        <v>#NAME?</v>
      </c>
      <c r="AD146" s="19" t="e">
        <f ca="1">IF(_xll.DIMIX(db_name&amp;":measure code",$B146)=0,0,_xll.DBRW(
$C$60,$C$61,$C$62,$C$63,$C$64,$C$65,$C$66,$C$67,$C$68,$B146,$C$69,$F146,$C$70,$C146,$E146,$D146,$C$71,AD$99))</f>
        <v>#NAME?</v>
      </c>
      <c r="AE146" s="19" t="e">
        <f ca="1">IF(_xll.DIMIX(db_name&amp;":measure code",$B146)=0,0,_xll.DBRW(
$C$60,$C$61,$C$62,$C$63,$C$64,$C$65,$C$66,$C$67,$C$68,$B146,$C$69,$F146,$C$70,$C146,$E146,$D146,$C$71,AE$99))</f>
        <v>#NAME?</v>
      </c>
      <c r="AF146" s="19" t="e">
        <f ca="1">IF(_xll.DIMIX(db_name&amp;":measure code",$B146)=0,0,_xll.DBRW(
$C$60,$C$61,$C$62,$C$63,$C$64,$C$65,$C$66,$C$67,$C$68,$B146,$C$69,$F146,$C$70,$C146,$E146,$D146,$C$71,AF$99))</f>
        <v>#NAME?</v>
      </c>
      <c r="AG146" s="19" t="e">
        <f ca="1">IF(_xll.DIMIX(db_name&amp;":measure code",$B146)=0,0,_xll.DBRW(
$C$60,$C$61,$C$62,$C$63,$C$64,$C$65,$C$66,$C$67,$C$68,$B146,$C$69,$F146,$C$70,$C146,$E146,$D146,$C$71,AG$99))</f>
        <v>#NAME?</v>
      </c>
      <c r="AH146" s="19" t="e">
        <f ca="1">IF(_xll.DIMIX(db_name&amp;":measure code",$B146)=0,0,_xll.DBRW(
$C$60,$C$61,$C$62,$C$63,$C$64,$C$65,$C$66,$C$67,$C$68,$B146,$C$69,$F146,$C$70,$C146,$E146,$D146,$C$71,AH$99))</f>
        <v>#NAME?</v>
      </c>
      <c r="AI146" s="19" t="e">
        <f ca="1">IF(_xll.DIMIX(db_name&amp;":measure code",$B146)=0,0,_xll.DBRW(
$C$60,$C$61,$C$62,$C$63,$C$64,$C$65,$C$66,$C$67,$C$68,$B146,$C$69,$F146,$C$70,$C146,$E146,$D146,$C$71,AI$99))</f>
        <v>#NAME?</v>
      </c>
      <c r="AJ146" s="19" t="e">
        <f ca="1">IF(_xll.DIMIX(db_name&amp;":measure code",$B146)=0,0,_xll.DBRW(
$C$60,$C$61,$C$62,$C$63,$C$64,$C$65,$C$66,$C$67,$C$68,$B146,$C$69,$F146,$C$70,$C146,$E146,$D146,$C$71,AJ$99))</f>
        <v>#NAME?</v>
      </c>
      <c r="AK146" s="19" t="e">
        <f ca="1">IF(_xll.DIMIX(db_name&amp;":measure code",$B146)=0,0,_xll.DBRW(
$C$60,$C$61,$C$62,$C$63,$C$64,$C$65,$C$66,$C$67,$C$68,$B146,$C$69,$F146,$C$70,$C146,$E146,$D146,$C$71,AK$99))</f>
        <v>#NAME?</v>
      </c>
    </row>
    <row r="147" spans="2:37" x14ac:dyDescent="0.25">
      <c r="B147" s="16" t="e">
        <f t="shared" ca="1" si="6"/>
        <v>#NAME?</v>
      </c>
      <c r="C147" t="str">
        <f t="shared" si="7"/>
        <v>Administered Programmes</v>
      </c>
      <c r="D147" t="s">
        <v>171</v>
      </c>
      <c r="E147" s="17" t="s">
        <v>108</v>
      </c>
      <c r="F147" t="e">
        <f t="shared" ca="1" si="8"/>
        <v>#NAME?</v>
      </c>
      <c r="K147" s="55" t="s">
        <v>109</v>
      </c>
      <c r="L147" s="55"/>
      <c r="M147" s="55"/>
      <c r="N147" s="55"/>
      <c r="P147" s="19" t="e">
        <f ca="1">IF(_xll.DIMIX(db_name&amp;":measure code",$B147)=0,0,_xll.DBRW(
$C$60,$C$61,$C$62,$C$63,$C$64,$C$65,$C$66,$C$67,$C$68,$B147,$C$69,$F147,$C$70,$C147,$E147,$D147,$C$71,P$99))</f>
        <v>#NAME?</v>
      </c>
      <c r="Q147" s="19" t="e">
        <f ca="1">IF(_xll.DIMIX(db_name&amp;":measure code",$B147)=0,0,_xll.DBRW(
$C$60,$C$61,$C$62,$C$63,$C$64,$C$65,$C$66,$C$67,$C$68,$B147,$C$69,$F147,$C$70,$C147,$E147,$D147,$C$71,Q$99))</f>
        <v>#NAME?</v>
      </c>
      <c r="R147" s="19" t="e">
        <f ca="1">IF(_xll.DIMIX(db_name&amp;":measure code",$B147)=0,0,_xll.DBRW(
$C$60,$C$61,$C$62,$C$63,$C$64,$C$65,$C$66,$C$67,$C$68,$B147,$C$69,$F147,$C$70,$C147,$E147,$D147,$C$71,R$99))</f>
        <v>#NAME?</v>
      </c>
      <c r="S147" s="19" t="e">
        <f ca="1">IF(_xll.DIMIX(db_name&amp;":measure code",$B147)=0,0,_xll.DBRW(
$C$60,$C$61,$C$62,$C$63,$C$64,$C$65,$C$66,$C$67,$C$68,$B147,$C$69,$F147,$C$70,$C147,$E147,$D147,$C$71,S$99))</f>
        <v>#NAME?</v>
      </c>
      <c r="T147" s="19" t="e">
        <f ca="1">IF(_xll.DIMIX(db_name&amp;":measure code",$B147)=0,0,_xll.DBRW(
$C$60,$C$61,$C$62,$C$63,$C$64,$C$65,$C$66,$C$67,$C$68,$B147,$C$69,$F147,$C$70,$C147,$E147,$D147,$C$71,T$99))</f>
        <v>#NAME?</v>
      </c>
      <c r="U147" s="19" t="e">
        <f ca="1">IF(_xll.DIMIX(db_name&amp;":measure code",$B147)=0,0,_xll.DBRW(
$C$60,$C$61,$C$62,$C$63,$C$64,$C$65,$C$66,$C$67,$C$68,$B147,$C$69,$F147,$C$70,$C147,$E147,$D147,$C$71,U$99))</f>
        <v>#NAME?</v>
      </c>
      <c r="V147" s="19" t="e">
        <f ca="1">IF(_xll.DIMIX(db_name&amp;":measure code",$B147)=0,0,_xll.DBRW(
$C$60,$C$61,$C$62,$C$63,$C$64,$C$65,$C$66,$C$67,$C$68,$B147,$C$69,$F147,$C$70,$C147,$E147,$D147,$C$71,V$99))</f>
        <v>#NAME?</v>
      </c>
      <c r="W147" s="19" t="e">
        <f ca="1">IF(_xll.DIMIX(db_name&amp;":measure code",$B147)=0,0,_xll.DBRW(
$C$60,$C$61,$C$62,$C$63,$C$64,$C$65,$C$66,$C$67,$C$68,$B147,$C$69,$F147,$C$70,$C147,$E147,$D147,$C$71,W$99))</f>
        <v>#NAME?</v>
      </c>
      <c r="X147" s="19" t="e">
        <f ca="1">IF(_xll.DIMIX(db_name&amp;":measure code",$B147)=0,0,_xll.DBRW(
$C$60,$C$61,$C$62,$C$63,$C$64,$C$65,$C$66,$C$67,$C$68,$B147,$C$69,$F147,$C$70,$C147,$E147,$D147,$C$71,X$99))</f>
        <v>#NAME?</v>
      </c>
      <c r="Y147" s="19" t="e">
        <f ca="1">IF(_xll.DIMIX(db_name&amp;":measure code",$B147)=0,0,_xll.DBRW(
$C$60,$C$61,$C$62,$C$63,$C$64,$C$65,$C$66,$C$67,$C$68,$B147,$C$69,$F147,$C$70,$C147,$E147,$D147,$C$71,Y$99))</f>
        <v>#NAME?</v>
      </c>
      <c r="Z147" s="19" t="e">
        <f ca="1">IF(_xll.DIMIX(db_name&amp;":measure code",$B147)=0,0,_xll.DBRW(
$C$60,$C$61,$C$62,$C$63,$C$64,$C$65,$C$66,$C$67,$C$68,$B147,$C$69,$F147,$C$70,$C147,$E147,$D147,$C$71,Z$99))</f>
        <v>#NAME?</v>
      </c>
      <c r="AA147" s="19" t="e">
        <f ca="1">IF(_xll.DIMIX(db_name&amp;":measure code",$B147)=0,0,_xll.DBRW(
$C$60,$C$61,$C$62,$C$63,$C$64,$C$65,$C$66,$C$67,$C$68,$B147,$C$69,$F147,$C$70,$C147,$E147,$D147,$C$71,AA$99))</f>
        <v>#NAME?</v>
      </c>
      <c r="AB147" s="19" t="e">
        <f ca="1">IF(_xll.DIMIX(db_name&amp;":measure code",$B147)=0,0,_xll.DBRW(
$C$60,$C$61,$C$62,$C$63,$C$64,$C$65,$C$66,$C$67,$C$68,$B147,$C$69,$F147,$C$70,$C147,$E147,$D147,$C$71,AB$99))</f>
        <v>#NAME?</v>
      </c>
      <c r="AC147" s="19" t="e">
        <f ca="1">IF(_xll.DIMIX(db_name&amp;":measure code",$B147)=0,0,_xll.DBRW(
$C$60,$C$61,$C$62,$C$63,$C$64,$C$65,$C$66,$C$67,$C$68,$B147,$C$69,$F147,$C$70,$C147,$E147,$D147,$C$71,AC$99))</f>
        <v>#NAME?</v>
      </c>
      <c r="AD147" s="19" t="e">
        <f ca="1">IF(_xll.DIMIX(db_name&amp;":measure code",$B147)=0,0,_xll.DBRW(
$C$60,$C$61,$C$62,$C$63,$C$64,$C$65,$C$66,$C$67,$C$68,$B147,$C$69,$F147,$C$70,$C147,$E147,$D147,$C$71,AD$99))</f>
        <v>#NAME?</v>
      </c>
      <c r="AE147" s="19" t="e">
        <f ca="1">IF(_xll.DIMIX(db_name&amp;":measure code",$B147)=0,0,_xll.DBRW(
$C$60,$C$61,$C$62,$C$63,$C$64,$C$65,$C$66,$C$67,$C$68,$B147,$C$69,$F147,$C$70,$C147,$E147,$D147,$C$71,AE$99))</f>
        <v>#NAME?</v>
      </c>
      <c r="AF147" s="19" t="e">
        <f ca="1">IF(_xll.DIMIX(db_name&amp;":measure code",$B147)=0,0,_xll.DBRW(
$C$60,$C$61,$C$62,$C$63,$C$64,$C$65,$C$66,$C$67,$C$68,$B147,$C$69,$F147,$C$70,$C147,$E147,$D147,$C$71,AF$99))</f>
        <v>#NAME?</v>
      </c>
      <c r="AG147" s="19" t="e">
        <f ca="1">IF(_xll.DIMIX(db_name&amp;":measure code",$B147)=0,0,_xll.DBRW(
$C$60,$C$61,$C$62,$C$63,$C$64,$C$65,$C$66,$C$67,$C$68,$B147,$C$69,$F147,$C$70,$C147,$E147,$D147,$C$71,AG$99))</f>
        <v>#NAME?</v>
      </c>
      <c r="AH147" s="19" t="e">
        <f ca="1">IF(_xll.DIMIX(db_name&amp;":measure code",$B147)=0,0,_xll.DBRW(
$C$60,$C$61,$C$62,$C$63,$C$64,$C$65,$C$66,$C$67,$C$68,$B147,$C$69,$F147,$C$70,$C147,$E147,$D147,$C$71,AH$99))</f>
        <v>#NAME?</v>
      </c>
      <c r="AI147" s="19" t="e">
        <f ca="1">IF(_xll.DIMIX(db_name&amp;":measure code",$B147)=0,0,_xll.DBRW(
$C$60,$C$61,$C$62,$C$63,$C$64,$C$65,$C$66,$C$67,$C$68,$B147,$C$69,$F147,$C$70,$C147,$E147,$D147,$C$71,AI$99))</f>
        <v>#NAME?</v>
      </c>
      <c r="AJ147" s="19" t="e">
        <f ca="1">IF(_xll.DIMIX(db_name&amp;":measure code",$B147)=0,0,_xll.DBRW(
$C$60,$C$61,$C$62,$C$63,$C$64,$C$65,$C$66,$C$67,$C$68,$B147,$C$69,$F147,$C$70,$C147,$E147,$D147,$C$71,AJ$99))</f>
        <v>#NAME?</v>
      </c>
      <c r="AK147" s="19" t="e">
        <f ca="1">IF(_xll.DIMIX(db_name&amp;":measure code",$B147)=0,0,_xll.DBRW(
$C$60,$C$61,$C$62,$C$63,$C$64,$C$65,$C$66,$C$67,$C$68,$B147,$C$69,$F147,$C$70,$C147,$E147,$D147,$C$71,AK$99))</f>
        <v>#NAME?</v>
      </c>
    </row>
    <row r="148" spans="2:37" x14ac:dyDescent="0.25">
      <c r="B148" s="16" t="e">
        <f t="shared" ca="1" si="6"/>
        <v>#NAME?</v>
      </c>
      <c r="C148" t="str">
        <f t="shared" si="7"/>
        <v>Administered Programmes</v>
      </c>
      <c r="D148" t="s">
        <v>171</v>
      </c>
      <c r="E148" s="17" t="s">
        <v>110</v>
      </c>
      <c r="F148" t="e">
        <f t="shared" ca="1" si="8"/>
        <v>#NAME?</v>
      </c>
      <c r="K148" s="55" t="s">
        <v>111</v>
      </c>
      <c r="L148" s="55"/>
      <c r="M148" s="55"/>
      <c r="N148" s="55"/>
      <c r="P148" s="19" t="e">
        <f ca="1">IF(_xll.DIMIX(db_name&amp;":measure code",$B148)=0,0,_xll.DBRW(
$C$60,$C$61,$C$62,$C$63,$C$64,$C$65,$C$66,$C$67,$C$68,$B148,$C$69,$F148,$C$70,$C148,$E148,$D148,$C$71,P$99))</f>
        <v>#NAME?</v>
      </c>
      <c r="Q148" s="19" t="e">
        <f ca="1">IF(_xll.DIMIX(db_name&amp;":measure code",$B148)=0,0,_xll.DBRW(
$C$60,$C$61,$C$62,$C$63,$C$64,$C$65,$C$66,$C$67,$C$68,$B148,$C$69,$F148,$C$70,$C148,$E148,$D148,$C$71,Q$99))</f>
        <v>#NAME?</v>
      </c>
      <c r="R148" s="19" t="e">
        <f ca="1">IF(_xll.DIMIX(db_name&amp;":measure code",$B148)=0,0,_xll.DBRW(
$C$60,$C$61,$C$62,$C$63,$C$64,$C$65,$C$66,$C$67,$C$68,$B148,$C$69,$F148,$C$70,$C148,$E148,$D148,$C$71,R$99))</f>
        <v>#NAME?</v>
      </c>
      <c r="S148" s="19" t="e">
        <f ca="1">IF(_xll.DIMIX(db_name&amp;":measure code",$B148)=0,0,_xll.DBRW(
$C$60,$C$61,$C$62,$C$63,$C$64,$C$65,$C$66,$C$67,$C$68,$B148,$C$69,$F148,$C$70,$C148,$E148,$D148,$C$71,S$99))</f>
        <v>#NAME?</v>
      </c>
      <c r="T148" s="19" t="e">
        <f ca="1">IF(_xll.DIMIX(db_name&amp;":measure code",$B148)=0,0,_xll.DBRW(
$C$60,$C$61,$C$62,$C$63,$C$64,$C$65,$C$66,$C$67,$C$68,$B148,$C$69,$F148,$C$70,$C148,$E148,$D148,$C$71,T$99))</f>
        <v>#NAME?</v>
      </c>
      <c r="U148" s="19" t="e">
        <f ca="1">IF(_xll.DIMIX(db_name&amp;":measure code",$B148)=0,0,_xll.DBRW(
$C$60,$C$61,$C$62,$C$63,$C$64,$C$65,$C$66,$C$67,$C$68,$B148,$C$69,$F148,$C$70,$C148,$E148,$D148,$C$71,U$99))</f>
        <v>#NAME?</v>
      </c>
      <c r="V148" s="19" t="e">
        <f ca="1">IF(_xll.DIMIX(db_name&amp;":measure code",$B148)=0,0,_xll.DBRW(
$C$60,$C$61,$C$62,$C$63,$C$64,$C$65,$C$66,$C$67,$C$68,$B148,$C$69,$F148,$C$70,$C148,$E148,$D148,$C$71,V$99))</f>
        <v>#NAME?</v>
      </c>
      <c r="W148" s="19" t="e">
        <f ca="1">IF(_xll.DIMIX(db_name&amp;":measure code",$B148)=0,0,_xll.DBRW(
$C$60,$C$61,$C$62,$C$63,$C$64,$C$65,$C$66,$C$67,$C$68,$B148,$C$69,$F148,$C$70,$C148,$E148,$D148,$C$71,W$99))</f>
        <v>#NAME?</v>
      </c>
      <c r="X148" s="19" t="e">
        <f ca="1">IF(_xll.DIMIX(db_name&amp;":measure code",$B148)=0,0,_xll.DBRW(
$C$60,$C$61,$C$62,$C$63,$C$64,$C$65,$C$66,$C$67,$C$68,$B148,$C$69,$F148,$C$70,$C148,$E148,$D148,$C$71,X$99))</f>
        <v>#NAME?</v>
      </c>
      <c r="Y148" s="19" t="e">
        <f ca="1">IF(_xll.DIMIX(db_name&amp;":measure code",$B148)=0,0,_xll.DBRW(
$C$60,$C$61,$C$62,$C$63,$C$64,$C$65,$C$66,$C$67,$C$68,$B148,$C$69,$F148,$C$70,$C148,$E148,$D148,$C$71,Y$99))</f>
        <v>#NAME?</v>
      </c>
      <c r="Z148" s="19" t="e">
        <f ca="1">IF(_xll.DIMIX(db_name&amp;":measure code",$B148)=0,0,_xll.DBRW(
$C$60,$C$61,$C$62,$C$63,$C$64,$C$65,$C$66,$C$67,$C$68,$B148,$C$69,$F148,$C$70,$C148,$E148,$D148,$C$71,Z$99))</f>
        <v>#NAME?</v>
      </c>
      <c r="AA148" s="19" t="e">
        <f ca="1">IF(_xll.DIMIX(db_name&amp;":measure code",$B148)=0,0,_xll.DBRW(
$C$60,$C$61,$C$62,$C$63,$C$64,$C$65,$C$66,$C$67,$C$68,$B148,$C$69,$F148,$C$70,$C148,$E148,$D148,$C$71,AA$99))</f>
        <v>#NAME?</v>
      </c>
      <c r="AB148" s="19" t="e">
        <f ca="1">IF(_xll.DIMIX(db_name&amp;":measure code",$B148)=0,0,_xll.DBRW(
$C$60,$C$61,$C$62,$C$63,$C$64,$C$65,$C$66,$C$67,$C$68,$B148,$C$69,$F148,$C$70,$C148,$E148,$D148,$C$71,AB$99))</f>
        <v>#NAME?</v>
      </c>
      <c r="AC148" s="19" t="e">
        <f ca="1">IF(_xll.DIMIX(db_name&amp;":measure code",$B148)=0,0,_xll.DBRW(
$C$60,$C$61,$C$62,$C$63,$C$64,$C$65,$C$66,$C$67,$C$68,$B148,$C$69,$F148,$C$70,$C148,$E148,$D148,$C$71,AC$99))</f>
        <v>#NAME?</v>
      </c>
      <c r="AD148" s="19" t="e">
        <f ca="1">IF(_xll.DIMIX(db_name&amp;":measure code",$B148)=0,0,_xll.DBRW(
$C$60,$C$61,$C$62,$C$63,$C$64,$C$65,$C$66,$C$67,$C$68,$B148,$C$69,$F148,$C$70,$C148,$E148,$D148,$C$71,AD$99))</f>
        <v>#NAME?</v>
      </c>
      <c r="AE148" s="19" t="e">
        <f ca="1">IF(_xll.DIMIX(db_name&amp;":measure code",$B148)=0,0,_xll.DBRW(
$C$60,$C$61,$C$62,$C$63,$C$64,$C$65,$C$66,$C$67,$C$68,$B148,$C$69,$F148,$C$70,$C148,$E148,$D148,$C$71,AE$99))</f>
        <v>#NAME?</v>
      </c>
      <c r="AF148" s="19" t="e">
        <f ca="1">IF(_xll.DIMIX(db_name&amp;":measure code",$B148)=0,0,_xll.DBRW(
$C$60,$C$61,$C$62,$C$63,$C$64,$C$65,$C$66,$C$67,$C$68,$B148,$C$69,$F148,$C$70,$C148,$E148,$D148,$C$71,AF$99))</f>
        <v>#NAME?</v>
      </c>
      <c r="AG148" s="19" t="e">
        <f ca="1">IF(_xll.DIMIX(db_name&amp;":measure code",$B148)=0,0,_xll.DBRW(
$C$60,$C$61,$C$62,$C$63,$C$64,$C$65,$C$66,$C$67,$C$68,$B148,$C$69,$F148,$C$70,$C148,$E148,$D148,$C$71,AG$99))</f>
        <v>#NAME?</v>
      </c>
      <c r="AH148" s="19" t="e">
        <f ca="1">IF(_xll.DIMIX(db_name&amp;":measure code",$B148)=0,0,_xll.DBRW(
$C$60,$C$61,$C$62,$C$63,$C$64,$C$65,$C$66,$C$67,$C$68,$B148,$C$69,$F148,$C$70,$C148,$E148,$D148,$C$71,AH$99))</f>
        <v>#NAME?</v>
      </c>
      <c r="AI148" s="19" t="e">
        <f ca="1">IF(_xll.DIMIX(db_name&amp;":measure code",$B148)=0,0,_xll.DBRW(
$C$60,$C$61,$C$62,$C$63,$C$64,$C$65,$C$66,$C$67,$C$68,$B148,$C$69,$F148,$C$70,$C148,$E148,$D148,$C$71,AI$99))</f>
        <v>#NAME?</v>
      </c>
      <c r="AJ148" s="19" t="e">
        <f ca="1">IF(_xll.DIMIX(db_name&amp;":measure code",$B148)=0,0,_xll.DBRW(
$C$60,$C$61,$C$62,$C$63,$C$64,$C$65,$C$66,$C$67,$C$68,$B148,$C$69,$F148,$C$70,$C148,$E148,$D148,$C$71,AJ$99))</f>
        <v>#NAME?</v>
      </c>
      <c r="AK148" s="19" t="e">
        <f ca="1">IF(_xll.DIMIX(db_name&amp;":measure code",$B148)=0,0,_xll.DBRW(
$C$60,$C$61,$C$62,$C$63,$C$64,$C$65,$C$66,$C$67,$C$68,$B148,$C$69,$F148,$C$70,$C148,$E148,$D148,$C$71,AK$99))</f>
        <v>#NAME?</v>
      </c>
    </row>
    <row r="149" spans="2:37" x14ac:dyDescent="0.25">
      <c r="B149" s="16" t="e">
        <f t="shared" ca="1" si="6"/>
        <v>#NAME?</v>
      </c>
      <c r="C149" t="str">
        <f t="shared" si="7"/>
        <v>Administered Programmes</v>
      </c>
      <c r="E149" s="17"/>
      <c r="K149" s="55" t="s">
        <v>112</v>
      </c>
      <c r="L149" s="55"/>
      <c r="M149" s="55"/>
      <c r="N149" s="55"/>
      <c r="P149" s="19" t="e">
        <f ca="1">P145+P147+P148</f>
        <v>#NAME?</v>
      </c>
      <c r="Q149" s="19" t="e">
        <f t="shared" ref="Q149:AK149" ca="1" si="9">Q145+Q147+Q148</f>
        <v>#NAME?</v>
      </c>
      <c r="R149" s="19" t="e">
        <f t="shared" ca="1" si="9"/>
        <v>#NAME?</v>
      </c>
      <c r="S149" s="19" t="e">
        <f t="shared" ca="1" si="9"/>
        <v>#NAME?</v>
      </c>
      <c r="T149" s="19" t="e">
        <f t="shared" ca="1" si="9"/>
        <v>#NAME?</v>
      </c>
      <c r="U149" s="19" t="e">
        <f t="shared" ca="1" si="9"/>
        <v>#NAME?</v>
      </c>
      <c r="V149" s="19" t="e">
        <f t="shared" ca="1" si="9"/>
        <v>#NAME?</v>
      </c>
      <c r="W149" s="19" t="e">
        <f t="shared" ca="1" si="9"/>
        <v>#NAME?</v>
      </c>
      <c r="X149" s="19" t="e">
        <f t="shared" ca="1" si="9"/>
        <v>#NAME?</v>
      </c>
      <c r="Y149" s="19" t="e">
        <f t="shared" ca="1" si="9"/>
        <v>#NAME?</v>
      </c>
      <c r="Z149" s="19" t="e">
        <f t="shared" ca="1" si="9"/>
        <v>#NAME?</v>
      </c>
      <c r="AA149" s="19" t="e">
        <f t="shared" ca="1" si="9"/>
        <v>#NAME?</v>
      </c>
      <c r="AB149" s="19" t="e">
        <f t="shared" ca="1" si="9"/>
        <v>#NAME?</v>
      </c>
      <c r="AC149" s="19" t="e">
        <f t="shared" ca="1" si="9"/>
        <v>#NAME?</v>
      </c>
      <c r="AD149" s="19" t="e">
        <f t="shared" ca="1" si="9"/>
        <v>#NAME?</v>
      </c>
      <c r="AE149" s="19" t="e">
        <f t="shared" ca="1" si="9"/>
        <v>#NAME?</v>
      </c>
      <c r="AF149" s="19" t="e">
        <f t="shared" ca="1" si="9"/>
        <v>#NAME?</v>
      </c>
      <c r="AG149" s="19" t="e">
        <f t="shared" ca="1" si="9"/>
        <v>#NAME?</v>
      </c>
      <c r="AH149" s="19" t="e">
        <f t="shared" ca="1" si="9"/>
        <v>#NAME?</v>
      </c>
      <c r="AI149" s="19" t="e">
        <f t="shared" ca="1" si="9"/>
        <v>#NAME?</v>
      </c>
      <c r="AJ149" s="19" t="e">
        <f t="shared" ca="1" si="9"/>
        <v>#NAME?</v>
      </c>
      <c r="AK149" s="19" t="e">
        <f t="shared" ca="1" si="9"/>
        <v>#NAME?</v>
      </c>
    </row>
    <row r="150" spans="2:37" x14ac:dyDescent="0.25">
      <c r="B150" s="16" t="e">
        <f t="shared" ca="1" si="6"/>
        <v>#NAME?</v>
      </c>
      <c r="C150" t="s">
        <v>113</v>
      </c>
      <c r="D150" s="21" t="s">
        <v>45</v>
      </c>
      <c r="K150" s="48" t="s">
        <v>114</v>
      </c>
      <c r="L150" s="48"/>
      <c r="M150" s="48"/>
      <c r="N150" s="48"/>
      <c r="P150" s="22" t="e">
        <f ca="1">IF(_xll.DIMIX(db_name&amp;":measure code",$B150)=0,0,_xll.DBRW($C$77,$P$116,$V$116,$C$79,$C150,$P$120,$V$118,$B150,P$130,$D150))</f>
        <v>#NAME?</v>
      </c>
      <c r="Q150" s="22" t="e">
        <f ca="1">IF(_xll.DIMIX(db_name&amp;":measure code",$B150)=0,0,_xll.DBRW($C$77,$P$116,$V$116,$C$79,$C150,$P$120,$V$118,$B150,Q$130,$D150))</f>
        <v>#NAME?</v>
      </c>
      <c r="R150" s="22" t="e">
        <f ca="1">IF(_xll.DIMIX(db_name&amp;":measure code",$B150)=0,0,_xll.DBRW($C$77,$P$116,$V$116,$C$79,$C150,$P$120,$V$118,$B150,R$130,$D150))</f>
        <v>#NAME?</v>
      </c>
      <c r="S150" s="22" t="e">
        <f ca="1">IF(_xll.DIMIX(db_name&amp;":measure code",$B150)=0,0,_xll.DBRW($C$77,$P$116,$V$116,$C$79,$C150,$P$120,$V$118,$B150,S$130,$D150))</f>
        <v>#NAME?</v>
      </c>
      <c r="T150" s="22" t="e">
        <f ca="1">IF(_xll.DIMIX(db_name&amp;":measure code",$B150)=0,0,_xll.DBRW($C$77,$P$116,$V$116,$C$79,$C150,$P$120,$V$118,$B150,T$130,$D150))</f>
        <v>#NAME?</v>
      </c>
      <c r="U150" s="22" t="e">
        <f ca="1">IF(_xll.DIMIX(db_name&amp;":measure code",$B150)=0,0,_xll.DBRW($C$77,$P$116,$V$116,$C$79,$C150,$P$120,$V$118,$B150,U$130,$D150))</f>
        <v>#NAME?</v>
      </c>
      <c r="V150" s="22" t="e">
        <f ca="1">IF(_xll.DIMIX(db_name&amp;":measure code",$B150)=0,0,_xll.DBRW($C$77,$P$116,$V$116,$C$79,$C150,$P$120,$V$118,$B150,V$130,$D150))</f>
        <v>#NAME?</v>
      </c>
      <c r="W150" s="22" t="e">
        <f ca="1">IF(_xll.DIMIX(db_name&amp;":measure code",$B150)=0,0,_xll.DBRW($C$77,$P$116,$V$116,$C$79,$C150,$P$120,$V$118,$B150,W$130,$D150))</f>
        <v>#NAME?</v>
      </c>
      <c r="X150" s="22" t="e">
        <f ca="1">IF(_xll.DIMIX(db_name&amp;":measure code",$B150)=0,0,_xll.DBRW($C$77,$P$116,$V$116,$C$79,$C150,$P$120,$V$118,$B150,X$130,$D150))</f>
        <v>#NAME?</v>
      </c>
      <c r="Y150" s="22" t="e">
        <f ca="1">IF(_xll.DIMIX(db_name&amp;":measure code",$B150)=0,0,_xll.DBRW($C$77,$P$116,$V$116,$C$79,$C150,$P$120,$V$118,$B150,Y$130,$D150))</f>
        <v>#NAME?</v>
      </c>
      <c r="Z150" s="22" t="e">
        <f ca="1">IF(_xll.DIMIX(db_name&amp;":measure code",$B150)=0,0,_xll.DBRW($C$77,$P$116,$V$116,$C$79,$C150,$P$120,$V$118,$B150,Z$130,$D150))</f>
        <v>#NAME?</v>
      </c>
      <c r="AA150" s="22" t="e">
        <f ca="1">IF(_xll.DIMIX(db_name&amp;":measure code",$B150)=0,0,_xll.DBRW($C$77,$P$116,$V$116,$C$79,$C150,$P$120,$V$118,$B150,AA$130,$D150))</f>
        <v>#NAME?</v>
      </c>
      <c r="AB150" s="22" t="e">
        <f ca="1">IF(_xll.DIMIX(db_name&amp;":measure code",$B150)=0,0,_xll.DBRW($C$77,$P$116,$V$116,$C$79,$C150,$P$120,$V$118,$B150,AB$130,$D150))</f>
        <v>#NAME?</v>
      </c>
      <c r="AC150" s="22" t="e">
        <f ca="1">IF(_xll.DIMIX(db_name&amp;":measure code",$B150)=0,0,_xll.DBRW($C$77,$P$116,$V$116,$C$79,$C150,$P$120,$V$118,$B150,AC$130,$D150))</f>
        <v>#NAME?</v>
      </c>
      <c r="AD150" s="22" t="e">
        <f ca="1">IF(_xll.DIMIX(db_name&amp;":measure code",$B150)=0,0,_xll.DBRW($C$77,$P$116,$V$116,$C$79,$C150,$P$120,$V$118,$B150,AD$130,$D150))</f>
        <v>#NAME?</v>
      </c>
      <c r="AE150" s="22" t="e">
        <f ca="1">IF(_xll.DIMIX(db_name&amp;":measure code",$B150)=0,0,_xll.DBRW($C$77,$P$116,$V$116,$C$79,$C150,$P$120,$V$118,$B150,AE$130,$D150))</f>
        <v>#NAME?</v>
      </c>
      <c r="AF150" s="22" t="e">
        <f ca="1">IF(_xll.DIMIX(db_name&amp;":measure code",$B150)=0,0,_xll.DBRW($C$77,$P$116,$V$116,$C$79,$C150,$P$120,$V$118,$B150,AF$130,$D150))</f>
        <v>#NAME?</v>
      </c>
      <c r="AG150" s="22" t="e">
        <f ca="1">IF(_xll.DIMIX(db_name&amp;":measure code",$B150)=0,0,_xll.DBRW($C$77,$P$116,$V$116,$C$79,$C150,$P$120,$V$118,$B150,AG$130,$D150))</f>
        <v>#NAME?</v>
      </c>
      <c r="AH150" s="22" t="e">
        <f ca="1">IF(_xll.DIMIX(db_name&amp;":measure code",$B150)=0,0,_xll.DBRW($C$77,$P$116,$V$116,$C$79,$C150,$P$120,$V$118,$B150,AH$130,$D150))</f>
        <v>#NAME?</v>
      </c>
      <c r="AI150" s="22" t="e">
        <f ca="1">IF(_xll.DIMIX(db_name&amp;":measure code",$B150)=0,0,_xll.DBRW($C$77,$P$116,$V$116,$C$79,$C150,$P$120,$V$118,$B150,AI$130,$D150))</f>
        <v>#NAME?</v>
      </c>
      <c r="AJ150" s="22" t="e">
        <f ca="1">IF(_xll.DIMIX(db_name&amp;":measure code",$B150)=0,0,_xll.DBRW($C$77,$P$116,$V$116,$C$79,$C150,$P$120,$V$118,$B150,AJ$130,$D150))</f>
        <v>#NAME?</v>
      </c>
      <c r="AK150" s="22" t="e">
        <f ca="1">IF(_xll.DIMIX(db_name&amp;":measure code",$B150)=0,0,_xll.DBRW($C$77,$P$116,$V$116,$C$79,$C150,$P$120,$V$118,$B150,AK$130,$D150))</f>
        <v>#NAME?</v>
      </c>
    </row>
    <row r="151" spans="2:37" ht="4.5" customHeight="1" x14ac:dyDescent="0.25"/>
    <row r="152" spans="2:37" x14ac:dyDescent="0.25">
      <c r="K152" s="56" t="s">
        <v>115</v>
      </c>
      <c r="L152" s="56"/>
      <c r="M152" s="56"/>
      <c r="N152" s="56"/>
      <c r="P152" s="45" t="e">
        <f ca="1">P$99</f>
        <v>#NAME?</v>
      </c>
      <c r="Q152" s="45" t="e">
        <f t="shared" ref="Q152:AK152" ca="1" si="10">Q$99</f>
        <v>#NAME?</v>
      </c>
      <c r="R152" s="45" t="e">
        <f t="shared" ca="1" si="10"/>
        <v>#NAME?</v>
      </c>
      <c r="S152" s="45" t="e">
        <f t="shared" ca="1" si="10"/>
        <v>#NAME?</v>
      </c>
      <c r="T152" s="45" t="e">
        <f t="shared" ca="1" si="10"/>
        <v>#NAME?</v>
      </c>
      <c r="U152" s="45" t="e">
        <f t="shared" ca="1" si="10"/>
        <v>#NAME?</v>
      </c>
      <c r="V152" s="45" t="e">
        <f t="shared" ca="1" si="10"/>
        <v>#NAME?</v>
      </c>
      <c r="W152" s="45" t="e">
        <f t="shared" ca="1" si="10"/>
        <v>#NAME?</v>
      </c>
      <c r="X152" s="45" t="e">
        <f t="shared" ca="1" si="10"/>
        <v>#NAME?</v>
      </c>
      <c r="Y152" s="45" t="e">
        <f t="shared" ca="1" si="10"/>
        <v>#NAME?</v>
      </c>
      <c r="Z152" s="45" t="e">
        <f t="shared" ca="1" si="10"/>
        <v>#NAME?</v>
      </c>
      <c r="AA152" s="45" t="e">
        <f t="shared" ca="1" si="10"/>
        <v>#NAME?</v>
      </c>
      <c r="AB152" s="45" t="e">
        <f t="shared" ca="1" si="10"/>
        <v>#NAME?</v>
      </c>
      <c r="AC152" s="45" t="e">
        <f t="shared" ca="1" si="10"/>
        <v>#NAME?</v>
      </c>
      <c r="AD152" s="45" t="e">
        <f t="shared" ca="1" si="10"/>
        <v>#NAME?</v>
      </c>
      <c r="AE152" s="45" t="e">
        <f t="shared" ca="1" si="10"/>
        <v>#NAME?</v>
      </c>
      <c r="AF152" s="45" t="e">
        <f t="shared" ca="1" si="10"/>
        <v>#NAME?</v>
      </c>
      <c r="AG152" s="45" t="e">
        <f t="shared" ca="1" si="10"/>
        <v>#NAME?</v>
      </c>
      <c r="AH152" s="45" t="e">
        <f t="shared" ca="1" si="10"/>
        <v>#NAME?</v>
      </c>
      <c r="AI152" s="45" t="e">
        <f t="shared" ca="1" si="10"/>
        <v>#NAME?</v>
      </c>
      <c r="AJ152" s="45" t="e">
        <f t="shared" ca="1" si="10"/>
        <v>#NAME?</v>
      </c>
      <c r="AK152" s="45" t="e">
        <f t="shared" ca="1" si="10"/>
        <v>#NAME?</v>
      </c>
    </row>
    <row r="153" spans="2:37" x14ac:dyDescent="0.25">
      <c r="K153" s="55" t="s">
        <v>116</v>
      </c>
      <c r="L153" s="55"/>
      <c r="M153" s="55"/>
      <c r="N153" s="55"/>
      <c r="P153" s="46" t="e">
        <f t="shared" ref="P153:AK153" ca="1" si="11">P131+P143</f>
        <v>#NAME?</v>
      </c>
      <c r="Q153" s="46" t="e">
        <f t="shared" ca="1" si="11"/>
        <v>#NAME?</v>
      </c>
      <c r="R153" s="46" t="e">
        <f t="shared" ca="1" si="11"/>
        <v>#NAME?</v>
      </c>
      <c r="S153" s="46" t="e">
        <f t="shared" ca="1" si="11"/>
        <v>#NAME?</v>
      </c>
      <c r="T153" s="46" t="e">
        <f t="shared" ca="1" si="11"/>
        <v>#NAME?</v>
      </c>
      <c r="U153" s="46" t="e">
        <f t="shared" ca="1" si="11"/>
        <v>#NAME?</v>
      </c>
      <c r="V153" s="46" t="e">
        <f t="shared" ca="1" si="11"/>
        <v>#NAME?</v>
      </c>
      <c r="W153" s="46" t="e">
        <f t="shared" ca="1" si="11"/>
        <v>#NAME?</v>
      </c>
      <c r="X153" s="46" t="e">
        <f t="shared" ca="1" si="11"/>
        <v>#NAME?</v>
      </c>
      <c r="Y153" s="46" t="e">
        <f t="shared" ca="1" si="11"/>
        <v>#NAME?</v>
      </c>
      <c r="Z153" s="46" t="e">
        <f t="shared" ca="1" si="11"/>
        <v>#NAME?</v>
      </c>
      <c r="AA153" s="46" t="e">
        <f t="shared" ca="1" si="11"/>
        <v>#NAME?</v>
      </c>
      <c r="AB153" s="46" t="e">
        <f t="shared" ca="1" si="11"/>
        <v>#NAME?</v>
      </c>
      <c r="AC153" s="46" t="e">
        <f t="shared" ca="1" si="11"/>
        <v>#NAME?</v>
      </c>
      <c r="AD153" s="46" t="e">
        <f t="shared" ca="1" si="11"/>
        <v>#NAME?</v>
      </c>
      <c r="AE153" s="46" t="e">
        <f t="shared" ca="1" si="11"/>
        <v>#NAME?</v>
      </c>
      <c r="AF153" s="46" t="e">
        <f t="shared" ca="1" si="11"/>
        <v>#NAME?</v>
      </c>
      <c r="AG153" s="46" t="e">
        <f t="shared" ca="1" si="11"/>
        <v>#NAME?</v>
      </c>
      <c r="AH153" s="46" t="e">
        <f t="shared" ca="1" si="11"/>
        <v>#NAME?</v>
      </c>
      <c r="AI153" s="46" t="e">
        <f t="shared" ca="1" si="11"/>
        <v>#NAME?</v>
      </c>
      <c r="AJ153" s="46" t="e">
        <f t="shared" ca="1" si="11"/>
        <v>#NAME?</v>
      </c>
      <c r="AK153" s="46" t="e">
        <f t="shared" ca="1" si="11"/>
        <v>#NAME?</v>
      </c>
    </row>
    <row r="154" spans="2:37" x14ac:dyDescent="0.25">
      <c r="K154" s="55" t="s">
        <v>117</v>
      </c>
      <c r="L154" s="55"/>
      <c r="M154" s="55"/>
      <c r="N154" s="55"/>
      <c r="P154" s="46" t="e">
        <f t="shared" ref="P154:AK154" ca="1" si="12">P132+P144</f>
        <v>#NAME?</v>
      </c>
      <c r="Q154" s="46" t="e">
        <f t="shared" ca="1" si="12"/>
        <v>#NAME?</v>
      </c>
      <c r="R154" s="46" t="e">
        <f t="shared" ca="1" si="12"/>
        <v>#NAME?</v>
      </c>
      <c r="S154" s="46" t="e">
        <f t="shared" ca="1" si="12"/>
        <v>#NAME?</v>
      </c>
      <c r="T154" s="46" t="e">
        <f t="shared" ca="1" si="12"/>
        <v>#NAME?</v>
      </c>
      <c r="U154" s="46" t="e">
        <f t="shared" ca="1" si="12"/>
        <v>#NAME?</v>
      </c>
      <c r="V154" s="46" t="e">
        <f t="shared" ca="1" si="12"/>
        <v>#NAME?</v>
      </c>
      <c r="W154" s="46" t="e">
        <f t="shared" ca="1" si="12"/>
        <v>#NAME?</v>
      </c>
      <c r="X154" s="46" t="e">
        <f t="shared" ca="1" si="12"/>
        <v>#NAME?</v>
      </c>
      <c r="Y154" s="46" t="e">
        <f t="shared" ca="1" si="12"/>
        <v>#NAME?</v>
      </c>
      <c r="Z154" s="46" t="e">
        <f t="shared" ca="1" si="12"/>
        <v>#NAME?</v>
      </c>
      <c r="AA154" s="46" t="e">
        <f t="shared" ca="1" si="12"/>
        <v>#NAME?</v>
      </c>
      <c r="AB154" s="46" t="e">
        <f t="shared" ca="1" si="12"/>
        <v>#NAME?</v>
      </c>
      <c r="AC154" s="46" t="e">
        <f t="shared" ca="1" si="12"/>
        <v>#NAME?</v>
      </c>
      <c r="AD154" s="46" t="e">
        <f t="shared" ca="1" si="12"/>
        <v>#NAME?</v>
      </c>
      <c r="AE154" s="46" t="e">
        <f t="shared" ca="1" si="12"/>
        <v>#NAME?</v>
      </c>
      <c r="AF154" s="46" t="e">
        <f t="shared" ca="1" si="12"/>
        <v>#NAME?</v>
      </c>
      <c r="AG154" s="46" t="e">
        <f t="shared" ca="1" si="12"/>
        <v>#NAME?</v>
      </c>
      <c r="AH154" s="46" t="e">
        <f t="shared" ca="1" si="12"/>
        <v>#NAME?</v>
      </c>
      <c r="AI154" s="46" t="e">
        <f t="shared" ca="1" si="12"/>
        <v>#NAME?</v>
      </c>
      <c r="AJ154" s="46" t="e">
        <f t="shared" ca="1" si="12"/>
        <v>#NAME?</v>
      </c>
      <c r="AK154" s="46" t="e">
        <f t="shared" ca="1" si="12"/>
        <v>#NAME?</v>
      </c>
    </row>
    <row r="155" spans="2:37" x14ac:dyDescent="0.25">
      <c r="K155" s="55" t="s">
        <v>118</v>
      </c>
      <c r="L155" s="55"/>
      <c r="M155" s="55"/>
      <c r="N155" s="55"/>
      <c r="P155" s="46" t="e">
        <f t="shared" ref="P155:AK155" ca="1" si="13">P133+P145</f>
        <v>#NAME?</v>
      </c>
      <c r="Q155" s="46" t="e">
        <f t="shared" ca="1" si="13"/>
        <v>#NAME?</v>
      </c>
      <c r="R155" s="46" t="e">
        <f t="shared" ca="1" si="13"/>
        <v>#NAME?</v>
      </c>
      <c r="S155" s="46" t="e">
        <f t="shared" ca="1" si="13"/>
        <v>#NAME?</v>
      </c>
      <c r="T155" s="46" t="e">
        <f t="shared" ca="1" si="13"/>
        <v>#NAME?</v>
      </c>
      <c r="U155" s="46" t="e">
        <f t="shared" ca="1" si="13"/>
        <v>#NAME?</v>
      </c>
      <c r="V155" s="46" t="e">
        <f t="shared" ca="1" si="13"/>
        <v>#NAME?</v>
      </c>
      <c r="W155" s="46" t="e">
        <f t="shared" ca="1" si="13"/>
        <v>#NAME?</v>
      </c>
      <c r="X155" s="46" t="e">
        <f t="shared" ca="1" si="13"/>
        <v>#NAME?</v>
      </c>
      <c r="Y155" s="46" t="e">
        <f t="shared" ca="1" si="13"/>
        <v>#NAME?</v>
      </c>
      <c r="Z155" s="46" t="e">
        <f t="shared" ca="1" si="13"/>
        <v>#NAME?</v>
      </c>
      <c r="AA155" s="46" t="e">
        <f t="shared" ca="1" si="13"/>
        <v>#NAME?</v>
      </c>
      <c r="AB155" s="46" t="e">
        <f t="shared" ca="1" si="13"/>
        <v>#NAME?</v>
      </c>
      <c r="AC155" s="46" t="e">
        <f t="shared" ca="1" si="13"/>
        <v>#NAME?</v>
      </c>
      <c r="AD155" s="46" t="e">
        <f t="shared" ca="1" si="13"/>
        <v>#NAME?</v>
      </c>
      <c r="AE155" s="46" t="e">
        <f t="shared" ca="1" si="13"/>
        <v>#NAME?</v>
      </c>
      <c r="AF155" s="46" t="e">
        <f t="shared" ca="1" si="13"/>
        <v>#NAME?</v>
      </c>
      <c r="AG155" s="46" t="e">
        <f t="shared" ca="1" si="13"/>
        <v>#NAME?</v>
      </c>
      <c r="AH155" s="46" t="e">
        <f t="shared" ca="1" si="13"/>
        <v>#NAME?</v>
      </c>
      <c r="AI155" s="46" t="e">
        <f t="shared" ca="1" si="13"/>
        <v>#NAME?</v>
      </c>
      <c r="AJ155" s="46" t="e">
        <f t="shared" ca="1" si="13"/>
        <v>#NAME?</v>
      </c>
      <c r="AK155" s="46" t="e">
        <f t="shared" ca="1" si="13"/>
        <v>#NAME?</v>
      </c>
    </row>
    <row r="156" spans="2:37" x14ac:dyDescent="0.25">
      <c r="K156" s="55" t="s">
        <v>119</v>
      </c>
      <c r="L156" s="55"/>
      <c r="M156" s="55"/>
      <c r="N156" s="55"/>
      <c r="P156" s="46" t="e">
        <f t="shared" ref="P156:AK156" ca="1" si="14">P134+P146</f>
        <v>#NAME?</v>
      </c>
      <c r="Q156" s="46" t="e">
        <f t="shared" ca="1" si="14"/>
        <v>#NAME?</v>
      </c>
      <c r="R156" s="46" t="e">
        <f t="shared" ca="1" si="14"/>
        <v>#NAME?</v>
      </c>
      <c r="S156" s="46" t="e">
        <f t="shared" ca="1" si="14"/>
        <v>#NAME?</v>
      </c>
      <c r="T156" s="46" t="e">
        <f t="shared" ca="1" si="14"/>
        <v>#NAME?</v>
      </c>
      <c r="U156" s="46" t="e">
        <f t="shared" ca="1" si="14"/>
        <v>#NAME?</v>
      </c>
      <c r="V156" s="46" t="e">
        <f t="shared" ca="1" si="14"/>
        <v>#NAME?</v>
      </c>
      <c r="W156" s="46" t="e">
        <f t="shared" ca="1" si="14"/>
        <v>#NAME?</v>
      </c>
      <c r="X156" s="46" t="e">
        <f t="shared" ca="1" si="14"/>
        <v>#NAME?</v>
      </c>
      <c r="Y156" s="46" t="e">
        <f t="shared" ca="1" si="14"/>
        <v>#NAME?</v>
      </c>
      <c r="Z156" s="46" t="e">
        <f t="shared" ca="1" si="14"/>
        <v>#NAME?</v>
      </c>
      <c r="AA156" s="46" t="e">
        <f t="shared" ca="1" si="14"/>
        <v>#NAME?</v>
      </c>
      <c r="AB156" s="46" t="e">
        <f t="shared" ca="1" si="14"/>
        <v>#NAME?</v>
      </c>
      <c r="AC156" s="46" t="e">
        <f t="shared" ca="1" si="14"/>
        <v>#NAME?</v>
      </c>
      <c r="AD156" s="46" t="e">
        <f t="shared" ca="1" si="14"/>
        <v>#NAME?</v>
      </c>
      <c r="AE156" s="46" t="e">
        <f t="shared" ca="1" si="14"/>
        <v>#NAME?</v>
      </c>
      <c r="AF156" s="46" t="e">
        <f t="shared" ca="1" si="14"/>
        <v>#NAME?</v>
      </c>
      <c r="AG156" s="46" t="e">
        <f t="shared" ca="1" si="14"/>
        <v>#NAME?</v>
      </c>
      <c r="AH156" s="46" t="e">
        <f t="shared" ca="1" si="14"/>
        <v>#NAME?</v>
      </c>
      <c r="AI156" s="46" t="e">
        <f t="shared" ca="1" si="14"/>
        <v>#NAME?</v>
      </c>
      <c r="AJ156" s="46" t="e">
        <f t="shared" ca="1" si="14"/>
        <v>#NAME?</v>
      </c>
      <c r="AK156" s="46" t="e">
        <f t="shared" ca="1" si="14"/>
        <v>#NAME?</v>
      </c>
    </row>
    <row r="157" spans="2:37" x14ac:dyDescent="0.25">
      <c r="K157" s="55" t="s">
        <v>120</v>
      </c>
      <c r="L157" s="55"/>
      <c r="M157" s="55"/>
      <c r="N157" s="55"/>
      <c r="P157" s="46" t="e">
        <f t="shared" ref="P157:AK157" ca="1" si="15">P135+P147</f>
        <v>#NAME?</v>
      </c>
      <c r="Q157" s="46" t="e">
        <f t="shared" ca="1" si="15"/>
        <v>#NAME?</v>
      </c>
      <c r="R157" s="46" t="e">
        <f t="shared" ca="1" si="15"/>
        <v>#NAME?</v>
      </c>
      <c r="S157" s="46" t="e">
        <f t="shared" ca="1" si="15"/>
        <v>#NAME?</v>
      </c>
      <c r="T157" s="46" t="e">
        <f t="shared" ca="1" si="15"/>
        <v>#NAME?</v>
      </c>
      <c r="U157" s="46" t="e">
        <f t="shared" ca="1" si="15"/>
        <v>#NAME?</v>
      </c>
      <c r="V157" s="46" t="e">
        <f t="shared" ca="1" si="15"/>
        <v>#NAME?</v>
      </c>
      <c r="W157" s="46" t="e">
        <f t="shared" ca="1" si="15"/>
        <v>#NAME?</v>
      </c>
      <c r="X157" s="46" t="e">
        <f t="shared" ca="1" si="15"/>
        <v>#NAME?</v>
      </c>
      <c r="Y157" s="46" t="e">
        <f t="shared" ca="1" si="15"/>
        <v>#NAME?</v>
      </c>
      <c r="Z157" s="46" t="e">
        <f t="shared" ca="1" si="15"/>
        <v>#NAME?</v>
      </c>
      <c r="AA157" s="46" t="e">
        <f t="shared" ca="1" si="15"/>
        <v>#NAME?</v>
      </c>
      <c r="AB157" s="46" t="e">
        <f t="shared" ca="1" si="15"/>
        <v>#NAME?</v>
      </c>
      <c r="AC157" s="46" t="e">
        <f t="shared" ca="1" si="15"/>
        <v>#NAME?</v>
      </c>
      <c r="AD157" s="46" t="e">
        <f t="shared" ca="1" si="15"/>
        <v>#NAME?</v>
      </c>
      <c r="AE157" s="46" t="e">
        <f t="shared" ca="1" si="15"/>
        <v>#NAME?</v>
      </c>
      <c r="AF157" s="46" t="e">
        <f t="shared" ca="1" si="15"/>
        <v>#NAME?</v>
      </c>
      <c r="AG157" s="46" t="e">
        <f t="shared" ca="1" si="15"/>
        <v>#NAME?</v>
      </c>
      <c r="AH157" s="46" t="e">
        <f t="shared" ca="1" si="15"/>
        <v>#NAME?</v>
      </c>
      <c r="AI157" s="46" t="e">
        <f t="shared" ca="1" si="15"/>
        <v>#NAME?</v>
      </c>
      <c r="AJ157" s="46" t="e">
        <f t="shared" ca="1" si="15"/>
        <v>#NAME?</v>
      </c>
      <c r="AK157" s="46" t="e">
        <f t="shared" ca="1" si="15"/>
        <v>#NAME?</v>
      </c>
    </row>
    <row r="158" spans="2:37" x14ac:dyDescent="0.25">
      <c r="K158" s="55" t="s">
        <v>121</v>
      </c>
      <c r="L158" s="55"/>
      <c r="M158" s="55"/>
      <c r="N158" s="55"/>
      <c r="P158" s="46" t="e">
        <f t="shared" ref="P158:AK158" ca="1" si="16">P136+P148</f>
        <v>#NAME?</v>
      </c>
      <c r="Q158" s="46" t="e">
        <f t="shared" ca="1" si="16"/>
        <v>#NAME?</v>
      </c>
      <c r="R158" s="46" t="e">
        <f t="shared" ca="1" si="16"/>
        <v>#NAME?</v>
      </c>
      <c r="S158" s="46" t="e">
        <f t="shared" ca="1" si="16"/>
        <v>#NAME?</v>
      </c>
      <c r="T158" s="46" t="e">
        <f t="shared" ca="1" si="16"/>
        <v>#NAME?</v>
      </c>
      <c r="U158" s="46" t="e">
        <f t="shared" ca="1" si="16"/>
        <v>#NAME?</v>
      </c>
      <c r="V158" s="46" t="e">
        <f t="shared" ca="1" si="16"/>
        <v>#NAME?</v>
      </c>
      <c r="W158" s="46" t="e">
        <f t="shared" ca="1" si="16"/>
        <v>#NAME?</v>
      </c>
      <c r="X158" s="46" t="e">
        <f t="shared" ca="1" si="16"/>
        <v>#NAME?</v>
      </c>
      <c r="Y158" s="46" t="e">
        <f t="shared" ca="1" si="16"/>
        <v>#NAME?</v>
      </c>
      <c r="Z158" s="46" t="e">
        <f t="shared" ca="1" si="16"/>
        <v>#NAME?</v>
      </c>
      <c r="AA158" s="46" t="e">
        <f t="shared" ca="1" si="16"/>
        <v>#NAME?</v>
      </c>
      <c r="AB158" s="46" t="e">
        <f t="shared" ca="1" si="16"/>
        <v>#NAME?</v>
      </c>
      <c r="AC158" s="46" t="e">
        <f t="shared" ca="1" si="16"/>
        <v>#NAME?</v>
      </c>
      <c r="AD158" s="46" t="e">
        <f t="shared" ca="1" si="16"/>
        <v>#NAME?</v>
      </c>
      <c r="AE158" s="46" t="e">
        <f t="shared" ca="1" si="16"/>
        <v>#NAME?</v>
      </c>
      <c r="AF158" s="46" t="e">
        <f t="shared" ca="1" si="16"/>
        <v>#NAME?</v>
      </c>
      <c r="AG158" s="46" t="e">
        <f t="shared" ca="1" si="16"/>
        <v>#NAME?</v>
      </c>
      <c r="AH158" s="46" t="e">
        <f t="shared" ca="1" si="16"/>
        <v>#NAME?</v>
      </c>
      <c r="AI158" s="46" t="e">
        <f t="shared" ca="1" si="16"/>
        <v>#NAME?</v>
      </c>
      <c r="AJ158" s="46" t="e">
        <f t="shared" ca="1" si="16"/>
        <v>#NAME?</v>
      </c>
      <c r="AK158" s="46" t="e">
        <f t="shared" ca="1" si="16"/>
        <v>#NAME?</v>
      </c>
    </row>
    <row r="159" spans="2:37" x14ac:dyDescent="0.25">
      <c r="K159" s="55" t="s">
        <v>122</v>
      </c>
      <c r="L159" s="55"/>
      <c r="M159" s="55"/>
      <c r="N159" s="55"/>
      <c r="P159" s="46" t="e">
        <f t="shared" ref="P159:AK159" ca="1" si="17">P137+P149</f>
        <v>#NAME?</v>
      </c>
      <c r="Q159" s="46" t="e">
        <f t="shared" ca="1" si="17"/>
        <v>#NAME?</v>
      </c>
      <c r="R159" s="46" t="e">
        <f t="shared" ca="1" si="17"/>
        <v>#NAME?</v>
      </c>
      <c r="S159" s="46" t="e">
        <f t="shared" ca="1" si="17"/>
        <v>#NAME?</v>
      </c>
      <c r="T159" s="46" t="e">
        <f t="shared" ca="1" si="17"/>
        <v>#NAME?</v>
      </c>
      <c r="U159" s="46" t="e">
        <f t="shared" ca="1" si="17"/>
        <v>#NAME?</v>
      </c>
      <c r="V159" s="46" t="e">
        <f t="shared" ca="1" si="17"/>
        <v>#NAME?</v>
      </c>
      <c r="W159" s="46" t="e">
        <f t="shared" ca="1" si="17"/>
        <v>#NAME?</v>
      </c>
      <c r="X159" s="46" t="e">
        <f t="shared" ca="1" si="17"/>
        <v>#NAME?</v>
      </c>
      <c r="Y159" s="46" t="e">
        <f t="shared" ca="1" si="17"/>
        <v>#NAME?</v>
      </c>
      <c r="Z159" s="46" t="e">
        <f t="shared" ca="1" si="17"/>
        <v>#NAME?</v>
      </c>
      <c r="AA159" s="46" t="e">
        <f t="shared" ca="1" si="17"/>
        <v>#NAME?</v>
      </c>
      <c r="AB159" s="46" t="e">
        <f t="shared" ca="1" si="17"/>
        <v>#NAME?</v>
      </c>
      <c r="AC159" s="46" t="e">
        <f t="shared" ca="1" si="17"/>
        <v>#NAME?</v>
      </c>
      <c r="AD159" s="46" t="e">
        <f t="shared" ca="1" si="17"/>
        <v>#NAME?</v>
      </c>
      <c r="AE159" s="46" t="e">
        <f t="shared" ca="1" si="17"/>
        <v>#NAME?</v>
      </c>
      <c r="AF159" s="46" t="e">
        <f t="shared" ca="1" si="17"/>
        <v>#NAME?</v>
      </c>
      <c r="AG159" s="46" t="e">
        <f t="shared" ca="1" si="17"/>
        <v>#NAME?</v>
      </c>
      <c r="AH159" s="46" t="e">
        <f t="shared" ca="1" si="17"/>
        <v>#NAME?</v>
      </c>
      <c r="AI159" s="46" t="e">
        <f t="shared" ca="1" si="17"/>
        <v>#NAME?</v>
      </c>
      <c r="AJ159" s="46" t="e">
        <f t="shared" ca="1" si="17"/>
        <v>#NAME?</v>
      </c>
      <c r="AK159" s="46" t="e">
        <f t="shared" ca="1" si="17"/>
        <v>#NAME?</v>
      </c>
    </row>
    <row r="160" spans="2:37" x14ac:dyDescent="0.25">
      <c r="K160" s="55" t="s">
        <v>123</v>
      </c>
      <c r="L160" s="55"/>
      <c r="M160" s="55"/>
      <c r="N160" s="55"/>
      <c r="P160" s="46" t="e">
        <f t="shared" ref="P160:AK160" ca="1" si="18">P138+P150</f>
        <v>#NAME?</v>
      </c>
      <c r="Q160" s="46" t="e">
        <f t="shared" ca="1" si="18"/>
        <v>#NAME?</v>
      </c>
      <c r="R160" s="46" t="e">
        <f t="shared" ca="1" si="18"/>
        <v>#NAME?</v>
      </c>
      <c r="S160" s="46" t="e">
        <f t="shared" ca="1" si="18"/>
        <v>#NAME?</v>
      </c>
      <c r="T160" s="46" t="e">
        <f t="shared" ca="1" si="18"/>
        <v>#NAME?</v>
      </c>
      <c r="U160" s="46" t="e">
        <f t="shared" ca="1" si="18"/>
        <v>#NAME?</v>
      </c>
      <c r="V160" s="46" t="e">
        <f t="shared" ca="1" si="18"/>
        <v>#NAME?</v>
      </c>
      <c r="W160" s="46" t="e">
        <f t="shared" ca="1" si="18"/>
        <v>#NAME?</v>
      </c>
      <c r="X160" s="46" t="e">
        <f t="shared" ca="1" si="18"/>
        <v>#NAME?</v>
      </c>
      <c r="Y160" s="46" t="e">
        <f t="shared" ca="1" si="18"/>
        <v>#NAME?</v>
      </c>
      <c r="Z160" s="46" t="e">
        <f t="shared" ca="1" si="18"/>
        <v>#NAME?</v>
      </c>
      <c r="AA160" s="46" t="e">
        <f t="shared" ca="1" si="18"/>
        <v>#NAME?</v>
      </c>
      <c r="AB160" s="46" t="e">
        <f t="shared" ca="1" si="18"/>
        <v>#NAME?</v>
      </c>
      <c r="AC160" s="46" t="e">
        <f t="shared" ca="1" si="18"/>
        <v>#NAME?</v>
      </c>
      <c r="AD160" s="46" t="e">
        <f t="shared" ca="1" si="18"/>
        <v>#NAME?</v>
      </c>
      <c r="AE160" s="46" t="e">
        <f t="shared" ca="1" si="18"/>
        <v>#NAME?</v>
      </c>
      <c r="AF160" s="46" t="e">
        <f t="shared" ca="1" si="18"/>
        <v>#NAME?</v>
      </c>
      <c r="AG160" s="46" t="e">
        <f t="shared" ca="1" si="18"/>
        <v>#NAME?</v>
      </c>
      <c r="AH160" s="46" t="e">
        <f t="shared" ca="1" si="18"/>
        <v>#NAME?</v>
      </c>
      <c r="AI160" s="46" t="e">
        <f t="shared" ca="1" si="18"/>
        <v>#NAME?</v>
      </c>
      <c r="AJ160" s="46" t="e">
        <f t="shared" ca="1" si="18"/>
        <v>#NAME?</v>
      </c>
      <c r="AK160" s="46" t="e">
        <f t="shared" ca="1" si="18"/>
        <v>#NAME?</v>
      </c>
    </row>
    <row r="161" spans="11:37" x14ac:dyDescent="0.25">
      <c r="K161" s="48" t="s">
        <v>46</v>
      </c>
      <c r="L161" s="48"/>
      <c r="M161" s="48"/>
      <c r="N161" s="48"/>
      <c r="P161" s="47" t="e">
        <f ca="1">P140+P150</f>
        <v>#NAME?</v>
      </c>
      <c r="Q161" s="47" t="e">
        <f t="shared" ref="Q161:AK161" ca="1" si="19">Q140+Q150</f>
        <v>#NAME?</v>
      </c>
      <c r="R161" s="47" t="e">
        <f t="shared" ca="1" si="19"/>
        <v>#NAME?</v>
      </c>
      <c r="S161" s="47" t="e">
        <f t="shared" ca="1" si="19"/>
        <v>#NAME?</v>
      </c>
      <c r="T161" s="47" t="e">
        <f t="shared" ca="1" si="19"/>
        <v>#NAME?</v>
      </c>
      <c r="U161" s="47" t="e">
        <f t="shared" ca="1" si="19"/>
        <v>#NAME?</v>
      </c>
      <c r="V161" s="47" t="e">
        <f t="shared" ca="1" si="19"/>
        <v>#NAME?</v>
      </c>
      <c r="W161" s="47" t="e">
        <f t="shared" ca="1" si="19"/>
        <v>#NAME?</v>
      </c>
      <c r="X161" s="47" t="e">
        <f t="shared" ca="1" si="19"/>
        <v>#NAME?</v>
      </c>
      <c r="Y161" s="47" t="e">
        <f t="shared" ca="1" si="19"/>
        <v>#NAME?</v>
      </c>
      <c r="Z161" s="47" t="e">
        <f t="shared" ca="1" si="19"/>
        <v>#NAME?</v>
      </c>
      <c r="AA161" s="47" t="e">
        <f t="shared" ca="1" si="19"/>
        <v>#NAME?</v>
      </c>
      <c r="AB161" s="47" t="e">
        <f t="shared" ca="1" si="19"/>
        <v>#NAME?</v>
      </c>
      <c r="AC161" s="47" t="e">
        <f t="shared" ca="1" si="19"/>
        <v>#NAME?</v>
      </c>
      <c r="AD161" s="47" t="e">
        <f t="shared" ca="1" si="19"/>
        <v>#NAME?</v>
      </c>
      <c r="AE161" s="47" t="e">
        <f t="shared" ca="1" si="19"/>
        <v>#NAME?</v>
      </c>
      <c r="AF161" s="47" t="e">
        <f t="shared" ca="1" si="19"/>
        <v>#NAME?</v>
      </c>
      <c r="AG161" s="47" t="e">
        <f t="shared" ca="1" si="19"/>
        <v>#NAME?</v>
      </c>
      <c r="AH161" s="47" t="e">
        <f t="shared" ca="1" si="19"/>
        <v>#NAME?</v>
      </c>
      <c r="AI161" s="47" t="e">
        <f t="shared" ca="1" si="19"/>
        <v>#NAME?</v>
      </c>
      <c r="AJ161" s="47" t="e">
        <f t="shared" ca="1" si="19"/>
        <v>#NAME?</v>
      </c>
      <c r="AK161" s="47" t="e">
        <f t="shared" ca="1" si="19"/>
        <v>#NAME?</v>
      </c>
    </row>
  </sheetData>
  <sheetProtection sheet="1" objects="1" scenarios="1"/>
  <mergeCells count="80">
    <mergeCell ref="B59:C59"/>
    <mergeCell ref="K2:M2"/>
    <mergeCell ref="K3:M3"/>
    <mergeCell ref="K4:M4"/>
    <mergeCell ref="K5:M5"/>
    <mergeCell ref="K6:M6"/>
    <mergeCell ref="K7:M7"/>
    <mergeCell ref="AF116:AG116"/>
    <mergeCell ref="K118:N118"/>
    <mergeCell ref="P118:Q118"/>
    <mergeCell ref="T118:U118"/>
    <mergeCell ref="V118:W118"/>
    <mergeCell ref="Y118:Z118"/>
    <mergeCell ref="AA118:AB118"/>
    <mergeCell ref="AD118:AE118"/>
    <mergeCell ref="AF118:AG118"/>
    <mergeCell ref="P116:Q116"/>
    <mergeCell ref="T116:U116"/>
    <mergeCell ref="V116:W116"/>
    <mergeCell ref="Y116:Z116"/>
    <mergeCell ref="AA116:AB116"/>
    <mergeCell ref="AD116:AE116"/>
    <mergeCell ref="K116:N116"/>
    <mergeCell ref="AD120:AE120"/>
    <mergeCell ref="AF120:AG120"/>
    <mergeCell ref="K122:N122"/>
    <mergeCell ref="P122:W122"/>
    <mergeCell ref="Y122:Z122"/>
    <mergeCell ref="AA122:AG122"/>
    <mergeCell ref="K120:N120"/>
    <mergeCell ref="P120:Q120"/>
    <mergeCell ref="T120:U120"/>
    <mergeCell ref="V120:W120"/>
    <mergeCell ref="Y120:Z120"/>
    <mergeCell ref="AA120:AB120"/>
    <mergeCell ref="K124:N124"/>
    <mergeCell ref="P124:W126"/>
    <mergeCell ref="Y124:Z124"/>
    <mergeCell ref="AA124:AB124"/>
    <mergeCell ref="Y126:Z126"/>
    <mergeCell ref="AA126:AG126"/>
    <mergeCell ref="K130:N130"/>
    <mergeCell ref="K131:N131"/>
    <mergeCell ref="K132:N132"/>
    <mergeCell ref="K133:N133"/>
    <mergeCell ref="K134:N134"/>
    <mergeCell ref="B142:E142"/>
    <mergeCell ref="K142:N142"/>
    <mergeCell ref="K143:N143"/>
    <mergeCell ref="K135:N135"/>
    <mergeCell ref="K136:N136"/>
    <mergeCell ref="K137:N137"/>
    <mergeCell ref="K138:N138"/>
    <mergeCell ref="K139:N139"/>
    <mergeCell ref="K140:N140"/>
    <mergeCell ref="K153:N153"/>
    <mergeCell ref="K154:N154"/>
    <mergeCell ref="K150:N150"/>
    <mergeCell ref="K144:N144"/>
    <mergeCell ref="K145:N145"/>
    <mergeCell ref="K146:N146"/>
    <mergeCell ref="K147:N147"/>
    <mergeCell ref="K148:N148"/>
    <mergeCell ref="K149:N149"/>
    <mergeCell ref="K161:N161"/>
    <mergeCell ref="B11:D11"/>
    <mergeCell ref="B19:C19"/>
    <mergeCell ref="B37:C37"/>
    <mergeCell ref="B52:C52"/>
    <mergeCell ref="B58:C58"/>
    <mergeCell ref="B98:C98"/>
    <mergeCell ref="B104:C104"/>
    <mergeCell ref="B75:C75"/>
    <mergeCell ref="K155:N155"/>
    <mergeCell ref="K156:N156"/>
    <mergeCell ref="K157:N157"/>
    <mergeCell ref="K158:N158"/>
    <mergeCell ref="K159:N159"/>
    <mergeCell ref="K160:N160"/>
    <mergeCell ref="K152:N152"/>
  </mergeCells>
  <conditionalFormatting sqref="B101:B102">
    <cfRule type="expression" dxfId="14" priority="70" stopIfTrue="1">
      <formula>#REF!="N"</formula>
    </cfRule>
    <cfRule type="expression" dxfId="13" priority="71" stopIfTrue="1">
      <formula>#REF!="C"</formula>
    </cfRule>
  </conditionalFormatting>
  <conditionalFormatting sqref="E124">
    <cfRule type="expression" dxfId="12" priority="9" stopIfTrue="1">
      <formula>$A124="N"</formula>
    </cfRule>
    <cfRule type="expression" dxfId="11" priority="10" stopIfTrue="1">
      <formula>$A124="C"</formula>
    </cfRule>
  </conditionalFormatting>
  <conditionalFormatting sqref="E133">
    <cfRule type="expression" dxfId="10" priority="7" stopIfTrue="1">
      <formula>$A133="N"</formula>
    </cfRule>
    <cfRule type="expression" dxfId="9" priority="8" stopIfTrue="1">
      <formula>$A133="C"</formula>
    </cfRule>
  </conditionalFormatting>
  <conditionalFormatting sqref="P2:AK7">
    <cfRule type="expression" dxfId="8" priority="65">
      <formula>OR(LEFT($E2,7)="2330009",LEFT($E2,7)="2330008")</formula>
    </cfRule>
  </conditionalFormatting>
  <conditionalFormatting sqref="P7:AK7">
    <cfRule type="expression" dxfId="7" priority="64">
      <formula>$C7="ASL"</formula>
    </cfRule>
  </conditionalFormatting>
  <conditionalFormatting sqref="P131:AK139">
    <cfRule type="expression" dxfId="6" priority="61">
      <formula>OR(LEFT(#REF!,7)="2330009",LEFT(#REF!,7)="2330008")</formula>
    </cfRule>
  </conditionalFormatting>
  <conditionalFormatting sqref="P132:AK140">
    <cfRule type="expression" dxfId="5" priority="60">
      <formula>OR(LEFT($E132,7)="2330009",LEFT($E132,7)="2330008")</formula>
    </cfRule>
  </conditionalFormatting>
  <conditionalFormatting sqref="P143:AK149">
    <cfRule type="expression" dxfId="4" priority="57">
      <formula>OR(LEFT(#REF!,7)="2330009",LEFT(#REF!,7)="2330008")</formula>
    </cfRule>
  </conditionalFormatting>
  <conditionalFormatting sqref="P144:AK150">
    <cfRule type="expression" dxfId="3" priority="38">
      <formula>OR(LEFT($E144,7)="2330009",LEFT($E144,7)="2330008")</formula>
    </cfRule>
  </conditionalFormatting>
  <conditionalFormatting sqref="P153:AK161">
    <cfRule type="expression" dxfId="2" priority="54">
      <formula>OR(LEFT(#REF!,7)="2330009",LEFT(#REF!,7)="2330008")</formula>
    </cfRule>
  </conditionalFormatting>
  <conditionalFormatting sqref="AA116:AB116">
    <cfRule type="beginsWith" dxfId="1" priority="66" operator="beginsWith" text="approve">
      <formula>LEFT(AA116,LEN("approve"))="approve"</formula>
    </cfRule>
  </conditionalFormatting>
  <conditionalFormatting sqref="AF116">
    <cfRule type="cellIs" dxfId="0" priority="63" operator="equal">
      <formula>"INACTIVE"</formula>
    </cfRule>
  </conditionalFormatting>
  <pageMargins left="0.39370078740157483" right="0.39370078740157483" top="0.39370078740157483" bottom="0.39370078740157483" header="0.19685039370078741" footer="0.19685039370078741"/>
  <pageSetup paperSize="9" scale="60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1026" r:id="rId4" name="TIButton1">
          <controlPr defaultSize="0" print="0" autoLine="0" r:id="rId5">
            <anchor moveWithCells="1" sizeWithCells="1">
              <from>
                <xdr:col>10</xdr:col>
                <xdr:colOff>104775</xdr:colOff>
                <xdr:row>111</xdr:row>
                <xdr:rowOff>0</xdr:rowOff>
              </from>
              <to>
                <xdr:col>11</xdr:col>
                <xdr:colOff>114300</xdr:colOff>
                <xdr:row>111</xdr:row>
                <xdr:rowOff>247650</xdr:rowOff>
              </to>
            </anchor>
          </controlPr>
        </control>
      </mc:Choice>
      <mc:Fallback>
        <control shapeId="1026" r:id="rId4" name="TIButton1"/>
      </mc:Fallback>
    </mc:AlternateContent>
    <mc:AlternateContent xmlns:mc="http://schemas.openxmlformats.org/markup-compatibility/2006">
      <mc:Choice Requires="x14">
        <control shapeId="1027" r:id="rId6" name="TIButton2">
          <controlPr defaultSize="0" print="0" autoLine="0" r:id="rId7">
            <anchor moveWithCells="1" sizeWithCells="1">
              <from>
                <xdr:col>11</xdr:col>
                <xdr:colOff>161925</xdr:colOff>
                <xdr:row>111</xdr:row>
                <xdr:rowOff>0</xdr:rowOff>
              </from>
              <to>
                <xdr:col>12</xdr:col>
                <xdr:colOff>533400</xdr:colOff>
                <xdr:row>111</xdr:row>
                <xdr:rowOff>247650</xdr:rowOff>
              </to>
            </anchor>
          </controlPr>
        </control>
      </mc:Choice>
      <mc:Fallback>
        <control shapeId="1027" r:id="rId6" name="TIButton2"/>
      </mc:Fallback>
    </mc:AlternateContent>
    <mc:AlternateContent xmlns:mc="http://schemas.openxmlformats.org/markup-compatibility/2006">
      <mc:Choice Requires="x14">
        <control shapeId="1028" r:id="rId8" name="TIButton3">
          <controlPr defaultSize="0" print="0" autoLine="0" r:id="rId9">
            <anchor moveWithCells="1" sizeWithCells="1">
              <from>
                <xdr:col>17</xdr:col>
                <xdr:colOff>723900</xdr:colOff>
                <xdr:row>111</xdr:row>
                <xdr:rowOff>0</xdr:rowOff>
              </from>
              <to>
                <xdr:col>18</xdr:col>
                <xdr:colOff>657225</xdr:colOff>
                <xdr:row>111</xdr:row>
                <xdr:rowOff>247650</xdr:rowOff>
              </to>
            </anchor>
          </controlPr>
        </control>
      </mc:Choice>
      <mc:Fallback>
        <control shapeId="1028" r:id="rId8" name="TIButton3"/>
      </mc:Fallback>
    </mc:AlternateContent>
    <mc:AlternateContent xmlns:mc="http://schemas.openxmlformats.org/markup-compatibility/2006">
      <mc:Choice Requires="x14">
        <control shapeId="1029" r:id="rId10" name="TIButton4">
          <controlPr defaultSize="0" print="0" autoLine="0" r:id="rId11">
            <anchor moveWithCells="1" sizeWithCells="1">
              <from>
                <xdr:col>15</xdr:col>
                <xdr:colOff>57150</xdr:colOff>
                <xdr:row>111</xdr:row>
                <xdr:rowOff>0</xdr:rowOff>
              </from>
              <to>
                <xdr:col>16</xdr:col>
                <xdr:colOff>133350</xdr:colOff>
                <xdr:row>111</xdr:row>
                <xdr:rowOff>247650</xdr:rowOff>
              </to>
            </anchor>
          </controlPr>
        </control>
      </mc:Choice>
      <mc:Fallback>
        <control shapeId="1029" r:id="rId10" name="TIButton4"/>
      </mc:Fallback>
    </mc:AlternateContent>
    <mc:AlternateContent xmlns:mc="http://schemas.openxmlformats.org/markup-compatibility/2006">
      <mc:Choice Requires="x14">
        <control shapeId="1031" r:id="rId12" name="TIButton6">
          <controlPr defaultSize="0" print="0" autoLine="0" r:id="rId13">
            <anchor moveWithCells="1" sizeWithCells="1">
              <from>
                <xdr:col>16</xdr:col>
                <xdr:colOff>180975</xdr:colOff>
                <xdr:row>111</xdr:row>
                <xdr:rowOff>0</xdr:rowOff>
              </from>
              <to>
                <xdr:col>17</xdr:col>
                <xdr:colOff>676275</xdr:colOff>
                <xdr:row>111</xdr:row>
                <xdr:rowOff>247650</xdr:rowOff>
              </to>
            </anchor>
          </controlPr>
        </control>
      </mc:Choice>
      <mc:Fallback>
        <control shapeId="1031" r:id="rId12" name="TIButton6"/>
      </mc:Fallback>
    </mc:AlternateContent>
    <mc:AlternateContent xmlns:mc="http://schemas.openxmlformats.org/markup-compatibility/2006">
      <mc:Choice Requires="x14">
        <control shapeId="1032" r:id="rId14" name="TIButton5">
          <controlPr defaultSize="0" print="0" autoLine="0" r:id="rId15">
            <anchor moveWithCells="1" sizeWithCells="1">
              <from>
                <xdr:col>12</xdr:col>
                <xdr:colOff>581025</xdr:colOff>
                <xdr:row>111</xdr:row>
                <xdr:rowOff>0</xdr:rowOff>
              </from>
              <to>
                <xdr:col>13</xdr:col>
                <xdr:colOff>790575</xdr:colOff>
                <xdr:row>111</xdr:row>
                <xdr:rowOff>247650</xdr:rowOff>
              </to>
            </anchor>
          </controlPr>
        </control>
      </mc:Choice>
      <mc:Fallback>
        <control shapeId="1032" r:id="rId14" name="TIButton5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A2"/>
  <sheetViews>
    <sheetView workbookViewId="0"/>
  </sheetViews>
  <sheetFormatPr defaultRowHeight="15" x14ac:dyDescent="0.25"/>
  <sheetData>
    <row r="1" spans="1:1" x14ac:dyDescent="0.25">
      <c r="A1" t="s">
        <v>113</v>
      </c>
    </row>
    <row r="2" spans="1:1" x14ac:dyDescent="0.25">
      <c r="A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48</vt:i4>
      </vt:variant>
    </vt:vector>
  </HeadingPairs>
  <TitlesOfParts>
    <vt:vector size="50" baseType="lpstr">
      <vt:lpstr>view measure</vt:lpstr>
      <vt:lpstr>{PL}PickLst</vt:lpstr>
      <vt:lpstr>db_name</vt:lpstr>
      <vt:lpstr>psApp</vt:lpstr>
      <vt:lpstr>psHLYear</vt:lpstr>
      <vt:lpstr>psMeasCode</vt:lpstr>
      <vt:lpstr>psProgDimName</vt:lpstr>
      <vt:lpstr>psScenario</vt:lpstr>
      <vt:lpstr>psUser</vt:lpstr>
      <vt:lpstr>TM1BulkProcessCAP</vt:lpstr>
      <vt:lpstr>TM1BulkProcessWB</vt:lpstr>
      <vt:lpstr>TM1BulkProcessWS</vt:lpstr>
      <vt:lpstr>TM1EditMeas01CAP</vt:lpstr>
      <vt:lpstr>TM1EditMeas01WB</vt:lpstr>
      <vt:lpstr>TM1EditMeas01WS</vt:lpstr>
      <vt:lpstr>TM1HomeAECAP</vt:lpstr>
      <vt:lpstr>TM1HomeAEDataEntryCAP</vt:lpstr>
      <vt:lpstr>TM1HomeAEDataEntryWB</vt:lpstr>
      <vt:lpstr>TM1HomeAEDataEntryWS</vt:lpstr>
      <vt:lpstr>TM1HomeAEMeasuresCAP</vt:lpstr>
      <vt:lpstr>TM1HomeAEMeasuresWB</vt:lpstr>
      <vt:lpstr>TM1HomeAEMeasuresWS</vt:lpstr>
      <vt:lpstr>TM1HomeAEWB</vt:lpstr>
      <vt:lpstr>TM1HomeAEWS</vt:lpstr>
      <vt:lpstr>TM1HomeCAP</vt:lpstr>
      <vt:lpstr>TM1HomeRepCAP</vt:lpstr>
      <vt:lpstr>TM1HomeRepWB</vt:lpstr>
      <vt:lpstr>TM1HomeRepWS</vt:lpstr>
      <vt:lpstr>TM1HomeWB</vt:lpstr>
      <vt:lpstr>TM1HomeWS</vt:lpstr>
      <vt:lpstr>TM1MeasBulkCAP</vt:lpstr>
      <vt:lpstr>TM1MeasBulkWB</vt:lpstr>
      <vt:lpstr>TM1MeasBulkWS</vt:lpstr>
      <vt:lpstr>TM1MeasListCAP</vt:lpstr>
      <vt:lpstr>TM1MeasListWB</vt:lpstr>
      <vt:lpstr>TM1MeasListWS</vt:lpstr>
      <vt:lpstr>TM1NewMeas01HeaderCAP</vt:lpstr>
      <vt:lpstr>TM1NewMeas01HeaderWB</vt:lpstr>
      <vt:lpstr>TM1NewMeas01HeaderWS</vt:lpstr>
      <vt:lpstr>'view measure'!TM1RPTFMTIDCOL</vt:lpstr>
      <vt:lpstr>'view measure'!TM1RPTFMTRNG</vt:lpstr>
      <vt:lpstr>TM1ViewMeas01HeaderCAP</vt:lpstr>
      <vt:lpstr>TM1ViewMeas01HeaderWB</vt:lpstr>
      <vt:lpstr>TM1ViewMeas01HeaderWS</vt:lpstr>
      <vt:lpstr>TM1ViewMeas02DetCAP</vt:lpstr>
      <vt:lpstr>TM1ViewMeas02DetWB</vt:lpstr>
      <vt:lpstr>TM1ViewMeas02DetWS</vt:lpstr>
      <vt:lpstr>TM1ViewMeas03AdjCAP</vt:lpstr>
      <vt:lpstr>TM1ViewMeas03AdjWB</vt:lpstr>
      <vt:lpstr>TM1ViewMeas03AdjWS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Xin HE</cp:lastModifiedBy>
  <dcterms:created xsi:type="dcterms:W3CDTF">2019-09-12T03:36:32Z</dcterms:created>
  <dcterms:modified xsi:type="dcterms:W3CDTF">2025-08-05T04:57:35Z</dcterms:modified>
</cp:coreProperties>
</file>