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0F3D1C7-27F4-466F-8045-49D724015813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6" i="1"/>
  <c r="C43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<sst xmlns="http://schemas.openxmlformats.org/spreadsheetml/2006/main" count="56" uniqueCount="56">
  <si>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</si>
  <si>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</si>
  <si>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</si>
  <si>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</si>
  <si>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</si>
  <si>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</si>
  <si>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</si>
  <si>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</si>
  <si>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</si>
  <si>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</si>
  <si>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</si>
  <si>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</si>
  <si>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</si>
  <si>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</si>
  <si>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</si>
  <si>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</si>
  <si>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</si>
  <si>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</si>
  <si>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</si>
  <si>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</si>
  <si>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</si>
  <si>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</si>
  <si>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</si>
  <si>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</si>
  <si>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</si>
  <si>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</si>
  <si>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</si>
  <si>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</si>
  <si>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</si>
  <si>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</si>
  <si>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</si>
  <si>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</si>
  <si>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</si>
  <si>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</si>
  <si>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</si>
  <si>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</si>
  <si>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</si>
  <si>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</si>
  <si>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</si>
  <si>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</si>
  <si>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</si>
  <si>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</si>
  <si>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</si>
  <si>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</si>
  <si>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</si>
  <si>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</si>
  <si>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</si>
  <si>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{TM1SUBSETALL( [function] )}</t>
  </si>
  <si>
    <t>Function  :</t>
  </si>
  <si>
    <t>No</t>
  </si>
  <si>
    <t>Administration RDS - Function Attributes</t>
  </si>
  <si>
    <t>Function</t>
  </si>
  <si>
    <t>Admin RDS - Function</t>
  </si>
  <si>
    <t>Note : This screen is used to manage the Function attribute cube which is required for GEUS.</t>
  </si>
  <si>
    <t>Note : To search for a single function, select a Function, Set Filter to Yes and Click Refresh.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</si>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</sst>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47</xdr:row>
      <xdr:rowOff>19050</xdr:rowOff>
    </xdr:from>
    <xdr:to>
      <xdr:col>11</xdr:col>
      <xdr:colOff>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68be8a21_db6b_4ec2_ba4f_d664c0d4cf13" textlink="TM1HomeCAP">
      <xdr:nvSpPr>
        <xdr:cNvPr id="3" name="TM1Button_68be8a21_db6b_4ec2_ba4f_d664c0d4cf13">
          <a:extLst>
            <a:ext uri="{FF2B5EF4-FFF2-40B4-BE49-F238E27FC236}">
              <a16:creationId xmlns:a16="http://schemas.microsoft.com/office/drawing/2014/main" id="{203C0A12-3908-45F3-E992-EA78B3882BCF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160884-40AA-4DEA-8876-44BDB4D996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7d0dcd3e_e001_4770_94ab_d931d543a3c9" textlink="TM1HomeAdminCAP">
      <xdr:nvSpPr>
        <xdr:cNvPr id="4" name="TM1Button_7d0dcd3e_e001_4770_94ab_d931d543a3c9">
          <a:extLst>
            <a:ext uri="{FF2B5EF4-FFF2-40B4-BE49-F238E27FC236}">
              <a16:creationId xmlns:a16="http://schemas.microsoft.com/office/drawing/2014/main" id="{226B2F8C-3C64-309A-E1A6-D57D14091B81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B61B051-AB57-4DAE-B431-2998619EF8C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f70a3f31_29ca_4e26_88e1_a910b8a92bfa" textlink="TM1HomeAdminRDSCAP">
      <xdr:nvSpPr>
        <xdr:cNvPr id="5" name="TM1Button_f70a3f31_29ca_4e26_88e1_a910b8a92bfa">
          <a:extLst>
            <a:ext uri="{FF2B5EF4-FFF2-40B4-BE49-F238E27FC236}">
              <a16:creationId xmlns:a16="http://schemas.microsoft.com/office/drawing/2014/main" id="{9ACFB407-A347-9E69-9123-976F709B4FBB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1DFD04F-B217-441E-A4D7-C2797C0891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48</xdr:row>
      <xdr:rowOff>28575</xdr:rowOff>
    </xdr:from>
    <xdr:to>
      <xdr:col>13</xdr:col>
      <xdr:colOff>0</xdr:colOff>
      <xdr:row>49</xdr:row>
      <xdr:rowOff>285750</xdr:rowOff>
    </xdr:to>
    <xdr:sp macro="Sheet1.ExecuteAction_9b68c2c9_2bca_4d7c_9a4c_6766821afb52" textlink="">
      <xdr:nvSpPr>
        <xdr:cNvPr id="6" name="TM1Button_9b68c2c9_2bca_4d7c_9a4c_6766821afb52">
          <a:extLst>
            <a:ext uri="{FF2B5EF4-FFF2-40B4-BE49-F238E27FC236}">
              <a16:creationId xmlns:a16="http://schemas.microsoft.com/office/drawing/2014/main" id="{52FEDD1B-3179-6EA3-6A7E-42D538DE0CC6}"/>
            </a:ext>
          </a:extLst>
        </xdr:cNvPr>
        <xdr:cNvSpPr txBox="1"/>
      </xdr:nvSpPr>
      <xdr:spPr>
        <a:xfrm>
          <a:off x="94964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055cb7ec_7336_4ff4_b53e_dc4f5047e3f3" textlink="">
      <xdr:nvSpPr>
        <xdr:cNvPr id="7" name="TM1Button_055cb7ec_7336_4ff4_b53e_dc4f5047e3f3">
          <a:extLst>
            <a:ext uri="{FF2B5EF4-FFF2-40B4-BE49-F238E27FC236}">
              <a16:creationId xmlns:a16="http://schemas.microsoft.com/office/drawing/2014/main" id="{43A04386-BBF2-E9EB-677E-5444E945E686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M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</cols>
  <sheetData>
    <row r="1" spans="1:13" hidden="1" outlineLevel="1" x14ac:dyDescent="0.25">
      <c r="A1" t="s">
        <v>4</v>
      </c>
    </row>
    <row r="2" spans="1:13" hidden="1" outlineLevel="1" x14ac:dyDescent="0.25">
      <c r="A2">
        <f>0</f>
        <v>0</v>
      </c>
      <c r="J2" s="12"/>
      <c r="L2" s="17"/>
      <c r="M2" s="17"/>
    </row>
    <row r="3" spans="1:13" hidden="1" outlineLevel="1" x14ac:dyDescent="0.25">
      <c r="A3">
        <f>1</f>
        <v>1</v>
      </c>
      <c r="J3" s="13"/>
      <c r="L3" s="18"/>
      <c r="M3" s="18"/>
    </row>
    <row r="4" spans="1:13" hidden="1" outlineLevel="1" x14ac:dyDescent="0.25">
      <c r="A4">
        <f>2</f>
        <v>2</v>
      </c>
      <c r="J4" s="13"/>
      <c r="L4" s="18"/>
      <c r="M4" s="18"/>
    </row>
    <row r="5" spans="1:13" hidden="1" outlineLevel="1" x14ac:dyDescent="0.25">
      <c r="A5">
        <f>3</f>
        <v>3</v>
      </c>
      <c r="J5" s="13"/>
      <c r="L5" s="18"/>
      <c r="M5" s="18"/>
    </row>
    <row r="6" spans="1:13" hidden="1" outlineLevel="1" x14ac:dyDescent="0.25">
      <c r="A6" t="s">
        <v>2</v>
      </c>
      <c r="J6" s="13"/>
      <c r="L6" s="18"/>
      <c r="M6" s="18"/>
    </row>
    <row r="7" spans="1:13" hidden="1" outlineLevel="1" x14ac:dyDescent="0.25">
      <c r="A7" t="s">
        <v>3</v>
      </c>
      <c r="J7" s="22"/>
      <c r="L7" s="19"/>
      <c r="M7" s="19"/>
    </row>
    <row r="8" spans="1:13" hidden="1" outlineLevel="1" x14ac:dyDescent="0.25">
      <c r="A8" t="s">
        <v>5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25" t="s">
        <v>6</v>
      </c>
      <c r="C11" s="26"/>
      <c r="D11" s="27"/>
    </row>
    <row r="12" spans="1:13" hidden="1" outlineLevel="1" x14ac:dyDescent="0.25">
      <c r="B12" s="3" t="s">
        <v>7</v>
      </c>
      <c r="C12" s="4" t="s">
        <v>55</v>
      </c>
      <c r="D12" s="5"/>
    </row>
    <row r="13" spans="1:13" hidden="1" outlineLevel="1" x14ac:dyDescent="0.25">
      <c r="B13" s="3" t="s">
        <v>8</v>
      </c>
      <c r="C13" s="6" t="e">
        <f ca="1">_xll.VIEW(db_name&amp;":}ElementAttributes_}Clients","!","!")</f>
        <v>#NAME?</v>
      </c>
      <c r="D13" s="5"/>
    </row>
    <row r="14" spans="1:13" hidden="1" outlineLevel="1" x14ac:dyDescent="0.25">
      <c r="B14" s="3" t="s">
        <v>9</v>
      </c>
      <c r="C14" s="4" t="e">
        <f ca="1">_xll.TM1USER(db_name)</f>
        <v>#NAME?</v>
      </c>
      <c r="D14" s="5"/>
    </row>
    <row r="15" spans="1:13" hidden="1" outlineLevel="1" x14ac:dyDescent="0.25">
      <c r="B15" s="3" t="s">
        <v>10</v>
      </c>
      <c r="C15" s="4" t="e">
        <f ca="1">_xll.DBR($C$13,$C$14,$B15)</f>
        <v>#NAME?</v>
      </c>
      <c r="D15" s="5"/>
    </row>
    <row r="16" spans="1:13" hidden="1" outlineLevel="1" x14ac:dyDescent="0.25">
      <c r="B16" s="3" t="s">
        <v>11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12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5" t="s">
        <v>13</v>
      </c>
      <c r="C19" s="26"/>
      <c r="D19" s="27"/>
    </row>
    <row r="20" spans="2:8" hidden="1" outlineLevel="1" x14ac:dyDescent="0.25">
      <c r="B20" s="3" t="s">
        <v>14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15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16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17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18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19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5" t="s">
        <v>28</v>
      </c>
      <c r="C27" s="26"/>
      <c r="D27" s="27"/>
    </row>
    <row r="28" spans="2:8" hidden="1" outlineLevel="1" x14ac:dyDescent="0.25">
      <c r="B28" s="3" t="s">
        <v>29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30</v>
      </c>
      <c r="C29" t="s">
        <v>52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38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3" hidden="1" outlineLevel="1" x14ac:dyDescent="0.25">
      <c r="B33" s="7" t="s">
        <v>39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3" hidden="1" outlineLevel="1" x14ac:dyDescent="0.25">
      <c r="B34" s="7" t="s">
        <v>40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3" hidden="1" outlineLevel="1" x14ac:dyDescent="0.25">
      <c r="B35" s="7" t="s">
        <v>41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3" hidden="1" outlineLevel="1" x14ac:dyDescent="0.25">
      <c r="B36" s="14" t="s">
        <v>43</v>
      </c>
      <c r="C36" s="15" t="s">
        <v>42</v>
      </c>
    </row>
    <row r="37" spans="2:13" ht="17.25" hidden="1" customHeight="1" outlineLevel="1" x14ac:dyDescent="0.25"/>
    <row r="38" spans="2:13" hidden="1" outlineLevel="1" x14ac:dyDescent="0.25">
      <c r="B38" s="25" t="s">
        <v>46</v>
      </c>
      <c r="C38" s="26"/>
      <c r="D38" s="27"/>
    </row>
    <row r="39" spans="2:13" hidden="1" outlineLevel="1" x14ac:dyDescent="0.25">
      <c r="B39" s="3" t="s">
        <v>20</v>
      </c>
      <c r="C39" s="7" t="e">
        <f ca="1">_xll.TM1RPTVIEW(db_name&amp;":}ElementAttributes_function:1", 0,TM1RPTFMTRNG,TM1RPTFMTIDCOL)</f>
        <v>#NAME?</v>
      </c>
    </row>
    <row r="40" spans="2:13" hidden="1" outlineLevel="1" x14ac:dyDescent="0.25">
      <c r="B40" s="3" t="s">
        <v>21</v>
      </c>
      <c r="C40" s="7" t="e">
        <f ca="1">_xll.VIEW(db_name&amp;":}ElementAttributes_function","!","!")</f>
        <v>#NAME?</v>
      </c>
    </row>
    <row r="41" spans="2:13" hidden="1" outlineLevel="1" x14ac:dyDescent="0.25">
      <c r="B41" s="3" t="s">
        <v>22</v>
      </c>
      <c r="C41" s="7" t="str">
        <f>IF($L$57="No",$C$42,$C$43)</f>
        <v>{TM1SUBSETALL( [function] )}</v>
      </c>
      <c r="D41" s="5"/>
    </row>
    <row r="42" spans="2:13" hidden="1" outlineLevel="1" x14ac:dyDescent="0.25">
      <c r="B42" s="3" t="s">
        <v>25</v>
      </c>
      <c r="C42" s="7" t="s">
        <v>47</v>
      </c>
    </row>
    <row r="43" spans="2:13" hidden="1" outlineLevel="1" x14ac:dyDescent="0.25">
      <c r="B43" s="3" t="s">
        <v>26</v>
      </c>
      <c r="C43" s="7" t="e">
        <f ca="1">"{TM1DRILLDOWNMEMBER( {[function].[" &amp; $L$56 &amp; "]}, ALL, RECURSIVE )}"</f>
        <v>#NAME?</v>
      </c>
    </row>
    <row r="44" spans="2:13" hidden="1" outlineLevel="1" x14ac:dyDescent="0.25"/>
    <row r="45" spans="2:13" hidden="1" outlineLevel="1" x14ac:dyDescent="0.25">
      <c r="J45" s="1" t="s">
        <v>27</v>
      </c>
      <c r="L45" s="2" t="s">
        <v>0</v>
      </c>
      <c r="M45" s="2" t="s">
        <v>1</v>
      </c>
    </row>
    <row r="46" spans="2:13" hidden="1" outlineLevel="1" x14ac:dyDescent="0.25"/>
    <row r="47" spans="2:13" hidden="1" outlineLevel="1" x14ac:dyDescent="0.25"/>
    <row r="48" spans="2:13" ht="39.75" customHeight="1" collapsed="1" x14ac:dyDescent="0.25">
      <c r="I48" s="16"/>
      <c r="J48" s="16"/>
      <c r="K48" s="16"/>
      <c r="L48" s="16"/>
      <c r="M48" s="16" t="s">
        <v>50</v>
      </c>
    </row>
    <row r="49" spans="1:13" ht="4.5" customHeight="1" x14ac:dyDescent="0.25"/>
    <row r="50" spans="1:13" ht="24" customHeight="1" x14ac:dyDescent="0.25">
      <c r="J50" s="1"/>
    </row>
    <row r="51" spans="1:13" ht="1.5" customHeight="1" x14ac:dyDescent="0.25">
      <c r="I51" s="16"/>
      <c r="J51" s="16"/>
      <c r="K51" s="16"/>
      <c r="L51" s="16"/>
      <c r="M51" s="16"/>
    </row>
    <row r="52" spans="1:13" x14ac:dyDescent="0.25">
      <c r="J52" s="24" t="s">
        <v>53</v>
      </c>
      <c r="K52" s="24"/>
      <c r="L52" s="24"/>
      <c r="M52" s="24"/>
    </row>
    <row r="53" spans="1:13" x14ac:dyDescent="0.25">
      <c r="J53" s="24" t="s">
        <v>54</v>
      </c>
      <c r="K53" s="24"/>
      <c r="L53" s="24"/>
      <c r="M53" s="24"/>
    </row>
    <row r="54" spans="1:13" ht="5.0999999999999996" customHeight="1" x14ac:dyDescent="0.25"/>
    <row r="55" spans="1:13" x14ac:dyDescent="0.25">
      <c r="L55" s="9" t="s">
        <v>24</v>
      </c>
    </row>
    <row r="56" spans="1:13" x14ac:dyDescent="0.25">
      <c r="J56" s="8" t="s">
        <v>48</v>
      </c>
      <c r="L56" s="20" t="e">
        <f ca="1">_xll.SUBNM(db_name&amp;":function","","1001","code and description")</f>
        <v>#NAME?</v>
      </c>
    </row>
    <row r="57" spans="1:13" x14ac:dyDescent="0.25">
      <c r="J57" s="8" t="s">
        <v>23</v>
      </c>
      <c r="L57" s="21" t="s">
        <v>49</v>
      </c>
    </row>
    <row r="58" spans="1:13" ht="5.0999999999999996" customHeight="1" x14ac:dyDescent="0.25"/>
    <row r="59" spans="1:13" x14ac:dyDescent="0.25">
      <c r="J59" s="10" t="s">
        <v>51</v>
      </c>
      <c r="L59" s="11" t="s">
        <v>44</v>
      </c>
      <c r="M59" s="11" t="s">
        <v>45</v>
      </c>
    </row>
    <row r="60" spans="1:13" x14ac:dyDescent="0.25">
      <c r="A60" t="e">
        <f ca="1">IF(_xll.TM1RPTELISCONSOLIDATED($J$60,$J60),IF(_xll.TM1RPTELLEV($J$60,$J60)&lt;=3,_xll.TM1RPTELLEV($J$60,$J60),"D"),"N")</f>
        <v>#NAME?</v>
      </c>
      <c r="J60" s="23" t="e">
        <f ca="1">_xll.TM1RPTROW($C$39,db_name&amp;":function","","","",0,$C$41)</f>
        <v>#NAME?</v>
      </c>
      <c r="L60" s="17" t="e">
        <f ca="1">_xll.DBRW($C$39,$J60,L$45)</f>
        <v>#NAME?</v>
      </c>
      <c r="M60" s="17" t="e">
        <f ca="1">_xll.DBRW($C$39,$J60,M$45)</f>
        <v>#NAME?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2025-08-11T06:18:08Z</dcterms:modified>
</cp:coreProperties>
</file>