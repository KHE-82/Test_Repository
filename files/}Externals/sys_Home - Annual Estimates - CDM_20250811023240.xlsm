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EADAE1A-1C91-4E66-BD04-436A348EE5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{PL}PickLst" sheetId="3" state="hidden" r:id="rId2"/>
  </sheets>
  <definedNames>
    <definedName name="db_name">Menu!$C$2</definedName>
    <definedName name="home">Menu!$G$33</definedName>
    <definedName name="Menu">Menu!$G$34</definedName>
    <definedName name="psHLYear">Menu!$C$11</definedName>
    <definedName name="psScenario">Menu!$C$12</definedName>
    <definedName name="psUser">Menu!$C$7</definedName>
    <definedName name="RangeName_List">#REF!</definedName>
    <definedName name="TM1AdjIDListCAP">Menu!$D$45</definedName>
    <definedName name="TM1AdjIDListWB">Menu!$F$45</definedName>
    <definedName name="TM1BulkProcessCAP">Menu!$D$46</definedName>
    <definedName name="TM1BulkProcessWB">Menu!$F$46</definedName>
    <definedName name="TM1BulkProcessWS">Menu!$H$46</definedName>
    <definedName name="TM1EDCAP">Menu!$D$50</definedName>
    <definedName name="TM1EDWB">Menu!$F$50</definedName>
    <definedName name="TM1EDWS">Menu!$H$50</definedName>
    <definedName name="TM1FailMsg">Menu!$D$28</definedName>
    <definedName name="TM1FE3CAP">Menu!$D$48</definedName>
    <definedName name="TM1FE3WB">Menu!$F$48</definedName>
    <definedName name="TM1FE3WS">Menu!$H$48</definedName>
    <definedName name="TM1HomeAdminCAP">Menu!$D$40</definedName>
    <definedName name="TM1HomeAdminWB">Menu!$F$40</definedName>
    <definedName name="TM1HomeAdminWS">Menu!$H$40</definedName>
    <definedName name="TM1HomeAEAccVarCAP">Menu!$D$38</definedName>
    <definedName name="TM1HomeAEAccVarWB">Menu!$F$38</definedName>
    <definedName name="TM1HomeAEAccVarWS">Menu!$H$38</definedName>
    <definedName name="TM1HomeAECAP">Menu!$D$34</definedName>
    <definedName name="TM1HomeAECDMCAP">Menu!$D$42</definedName>
    <definedName name="TM1HomeAECDMWB">Menu!$F$42</definedName>
    <definedName name="TM1HomeAECDMWS">Menu!$H$42</definedName>
    <definedName name="TM1HomeAEDataEntryCAP">Menu!$D$35</definedName>
    <definedName name="TM1HomeAEDataEntryWB">Menu!$F$35</definedName>
    <definedName name="TM1HomeAEDataEntryWS">Menu!$H$35</definedName>
    <definedName name="TM1HomeAEFFCAP">Menu!$D$37</definedName>
    <definedName name="TM1HomeAEFFWB">Menu!$F$37</definedName>
    <definedName name="TM1HomeAEFFWS">Menu!$H$37</definedName>
    <definedName name="TM1HomeAEMeasuresCAP">Menu!$D$36</definedName>
    <definedName name="TM1HomeAEMeasuresWB">Menu!$F$36</definedName>
    <definedName name="TM1HomeAEMeasuresWS">Menu!$H$36</definedName>
    <definedName name="TM1HomeAEWB">Menu!$F$34</definedName>
    <definedName name="TM1HomeAEWS">Menu!$H$34</definedName>
    <definedName name="TM1HomeCAP">Menu!$D$33</definedName>
    <definedName name="TM1HomeRepCAP">Menu!$D$39</definedName>
    <definedName name="TM1HomeRepWB">Menu!$F$39</definedName>
    <definedName name="TM1HomeRepWS">Menu!$H$39</definedName>
    <definedName name="TM1HomeUnderCAP">Menu!$D$41</definedName>
    <definedName name="TM1HomeUnderWB">Menu!$F$41</definedName>
    <definedName name="TM1HomeUnderWS">Menu!$H$41</definedName>
    <definedName name="TM1HomeWB">Menu!$F$33</definedName>
    <definedName name="TM1HomeWS">Menu!$H$33</definedName>
    <definedName name="TM1IDListWS">Menu!$H$45</definedName>
    <definedName name="TM1IndexCAP">Menu!$D$49</definedName>
    <definedName name="TM1IndexFE3MapCAP">Menu!$D$52</definedName>
    <definedName name="TM1IndexFE3MapWB">Menu!$F$52</definedName>
    <definedName name="TM1IndexFE3MapWS">Menu!$H$52</definedName>
    <definedName name="TM1IndexWB">Menu!$F$49</definedName>
    <definedName name="TM1IndexWS">Menu!$H$49</definedName>
    <definedName name="TM1NewAdj01HeaderCAP">Menu!$D$44</definedName>
    <definedName name="TM1NewAdj01HeaderWB">Menu!$F$44</definedName>
    <definedName name="TM1NewAdj01HeaderWS">Menu!$H$44</definedName>
    <definedName name="TM1NewAdj97UploadCAP">Menu!$D$47</definedName>
    <definedName name="TM1NewAdj97UploadWB">Menu!$F$47</definedName>
    <definedName name="TM1NewAdj97UploadWS">Menu!$H$47</definedName>
    <definedName name="TM1OkMsg">Menu!$D$27</definedName>
    <definedName name="TM1ProgTransferCAP">Menu!$D$51</definedName>
    <definedName name="TM1ProgTransferWB">Menu!$F$51</definedName>
    <definedName name="TM1ProgTransferWS">Menu!$H$51</definedName>
    <definedName name="TM1PromptMsg">Menu!$D$26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1" l="1"/>
  <c r="H42" i="1"/>
  <c r="G42" i="1"/>
  <c r="F42" i="1"/>
  <c r="E42" i="1"/>
  <c r="D42" i="1"/>
  <c r="C42" i="1"/>
  <c r="K92" i="1"/>
  <c r="C10" i="1"/>
  <c r="C12" i="1"/>
  <c r="C11" i="1"/>
  <c r="C13" i="1"/>
  <c r="C14" i="1"/>
  <c r="C15" i="1"/>
  <c r="K58" i="1"/>
  <c r="C4" i="1"/>
  <c r="C7" i="1"/>
  <c r="W56" i="1"/>
  <c r="H52" i="1"/>
  <c r="G52" i="1"/>
  <c r="F52" i="1"/>
  <c r="E52" i="1"/>
  <c r="D52" i="1"/>
  <c r="C52" i="1"/>
  <c r="H51" i="1"/>
  <c r="G51" i="1"/>
  <c r="F51" i="1"/>
  <c r="E51" i="1"/>
  <c r="D51" i="1"/>
  <c r="C51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<sst xmlns="http://schemas.openxmlformats.org/spreadsheetml/2006/main" count="72" uniqueCount="65">
  <si>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</si>
  <si>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</si>
  <si>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</si>
  <si>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</si>
  <si>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</si>
  <si>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</si>
  <si>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</si>
  <si>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</si>
  <si>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</si>
  <si>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</si>
  <si>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</si>
  <si>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</si>
  <si>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</si>
  <si>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</si>
  <si>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</si>
  <si>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</si>
  <si>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</si>
  <si>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</si>
  <si>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</si>
  <si>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</si>
  <si>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</si>
  <si>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</si>
  <si>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</si>
  <si>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</si>
  <si>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</si>
  <si>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</si>
  <si>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</si>
  <si>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</si>
  <si>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</si>
  <si>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</si>
  <si>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</si>
  <si>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</si>
  <si>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</si>
  <si>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</si>
  <si>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Annual Estimates - Flatfile Creation</t>
  </si>
  <si>
    <t>Homepage - Annual Estimates - Account Variation</t>
  </si>
  <si>
    <t>Worksheet description</t>
  </si>
  <si>
    <t>Homepage - Reports</t>
  </si>
  <si>
    <t>Homepage - Administration</t>
  </si>
  <si>
    <t>Homepage - Under Construction</t>
  </si>
  <si>
    <t>Data Entry - New Adj 01 - Header Details</t>
  </si>
  <si>
    <t>Adjustment - ID List</t>
  </si>
  <si>
    <t>Adjustment - Bulk Process</t>
  </si>
  <si>
    <t>Data Entry - New Adj 97 - Upload</t>
  </si>
  <si>
    <t>Adjustment - Generate FE3</t>
  </si>
  <si>
    <t>Adjustment - Generate Indexation</t>
  </si>
  <si>
    <t>Adjustment - Generate ED</t>
  </si>
  <si>
    <t>Adjustment - Programme Transfers</t>
  </si>
  <si>
    <t>Adjustment - Indexation and FE3 Navigational Map</t>
  </si>
  <si>
    <t>ANNUAL ESTIMATES</t>
  </si>
  <si>
    <t>DATA ENTRY MENU</t>
  </si>
  <si>
    <t>Navigate to the adjustment list</t>
  </si>
  <si>
    <t>Navigate to the Primary Financial Statements</t>
  </si>
  <si>
    <t>Homepage - Annual Estimates - CDM Extract</t>
  </si>
  <si>
    <t>CDM TI Message</t>
  </si>
  <si>
    <t>Success</t>
  </si>
  <si>
    <t>Fail</t>
  </si>
  <si>
    <t>CDM Extract was processed successfully. The output file was saved in the specified directory.</t>
  </si>
  <si>
    <t>CDM Extract was failed. Please contact TM1 Administrator.</t>
  </si>
  <si>
    <t>Prompt</t>
  </si>
  <si>
    <t>Are you sure you want to run this CDM Extract?</t>
  </si>
  <si>
    <t>TM1PromptMsg</t>
  </si>
  <si>
    <t>TM1FailMsg</t>
  </si>
  <si>
    <t>TM1OkMsg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</si>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</sst>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23703726310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theme="0" tint="-0.1499374370555742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3" xfId="0" applyBorder="1"/>
    <xf numFmtId="0" fontId="0" fillId="0" borderId="0" xfId="0" quotePrefix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/>
    <xf numFmtId="0" fontId="2" fillId="6" borderId="3" xfId="0" applyFont="1" applyFill="1" applyBorder="1"/>
    <xf numFmtId="0" fontId="4" fillId="2" borderId="0" xfId="0" applyFont="1" applyFill="1" applyAlignment="1">
      <alignment horizontal="right" vertical="center" indent="1"/>
    </xf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23703726310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57</xdr:row>
      <xdr:rowOff>55686</xdr:rowOff>
    </xdr:from>
    <xdr:to>
      <xdr:col>22</xdr:col>
      <xdr:colOff>206290</xdr:colOff>
      <xdr:row>57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62</xdr:row>
      <xdr:rowOff>57150</xdr:rowOff>
    </xdr:from>
    <xdr:to>
      <xdr:col>15</xdr:col>
      <xdr:colOff>307716</xdr:colOff>
      <xdr:row>62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28775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28575</xdr:rowOff>
    </xdr:from>
    <xdr:to>
      <xdr:col>12</xdr:col>
      <xdr:colOff>57150</xdr:colOff>
      <xdr:row>55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38300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28576</xdr:colOff>
      <xdr:row>0</xdr:row>
      <xdr:rowOff>0</xdr:rowOff>
    </xdr:from>
    <xdr:to>
      <xdr:col>26</xdr:col>
      <xdr:colOff>55246</xdr:colOff>
      <xdr:row>62</xdr:row>
      <xdr:rowOff>281941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0"/>
          <a:ext cx="1857375" cy="185737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63</xdr:row>
      <xdr:rowOff>47625</xdr:rowOff>
    </xdr:from>
    <xdr:to>
      <xdr:col>14</xdr:col>
      <xdr:colOff>752475</xdr:colOff>
      <xdr:row>66</xdr:row>
      <xdr:rowOff>0</xdr:rowOff>
    </xdr:to>
    <xdr:sp macro="Sheet1.ExecuteAction_d83193c2_e3cf_49d0_bb35_7fa5b4a83253" textlink="TM1HomeAEDataEntryCAP">
      <xdr:nvSpPr>
        <xdr:cNvPr id="2" name="TM1Button_d83193c2_e3cf_49d0_bb35_7fa5b4a83253">
          <a:extLst>
            <a:ext uri="{FF2B5EF4-FFF2-40B4-BE49-F238E27FC236}">
              <a16:creationId xmlns:a16="http://schemas.microsoft.com/office/drawing/2014/main" id="{257E610F-8E4E-CE67-A097-2EA33AEA8A9C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4E0C3D-A11D-4E95-94DF-953D5AF545B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47625</xdr:rowOff>
    </xdr:from>
    <xdr:to>
      <xdr:col>21</xdr:col>
      <xdr:colOff>1038225</xdr:colOff>
      <xdr:row>68</xdr:row>
      <xdr:rowOff>57150</xdr:rowOff>
    </xdr:to>
    <xdr:sp macro="Sheet1.ExecuteAction_b75938c6_2cfe_4b71_b380_de6e77ad6b1d" textlink="">
      <xdr:nvSpPr>
        <xdr:cNvPr id="4" name="TM1Button_b75938c6_2cfe_4b71_b380_de6e77ad6b1d">
          <a:extLst>
            <a:ext uri="{FF2B5EF4-FFF2-40B4-BE49-F238E27FC236}">
              <a16:creationId xmlns:a16="http://schemas.microsoft.com/office/drawing/2014/main" id="{9D76C8CF-C07F-691F-94C1-7DB863782B0A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1 - Entity Resourcing</a:t>
          </a:r>
        </a:p>
      </xdr:txBody>
    </xdr:sp>
    <xdr:clientData/>
  </xdr:twoCellAnchor>
  <xdr:twoCellAnchor editAs="oneCell">
    <xdr:from>
      <xdr:col>18</xdr:col>
      <xdr:colOff>285750</xdr:colOff>
      <xdr:row>68</xdr:row>
      <xdr:rowOff>104775</xdr:rowOff>
    </xdr:from>
    <xdr:to>
      <xdr:col>21</xdr:col>
      <xdr:colOff>1038225</xdr:colOff>
      <xdr:row>70</xdr:row>
      <xdr:rowOff>114300</xdr:rowOff>
    </xdr:to>
    <xdr:sp macro="Sheet1.ExecuteAction_df1b2340_664a_43d2_95d6_53aa804e977d" textlink="">
      <xdr:nvSpPr>
        <xdr:cNvPr id="5" name="TM1Button_df1b2340_664a_43d2_95d6_53aa804e977d">
          <a:extLst>
            <a:ext uri="{FF2B5EF4-FFF2-40B4-BE49-F238E27FC236}">
              <a16:creationId xmlns:a16="http://schemas.microsoft.com/office/drawing/2014/main" id="{E7AF681B-6DBD-6ADB-9A6B-2CBCF13D1DE3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2 - Summary</a:t>
          </a:r>
        </a:p>
      </xdr:txBody>
    </xdr:sp>
    <xdr:clientData/>
  </xdr:twoCellAnchor>
  <xdr:twoCellAnchor editAs="oneCell">
    <xdr:from>
      <xdr:col>18</xdr:col>
      <xdr:colOff>285750</xdr:colOff>
      <xdr:row>70</xdr:row>
      <xdr:rowOff>161925</xdr:rowOff>
    </xdr:from>
    <xdr:to>
      <xdr:col>21</xdr:col>
      <xdr:colOff>1038225</xdr:colOff>
      <xdr:row>72</xdr:row>
      <xdr:rowOff>38100</xdr:rowOff>
    </xdr:to>
    <xdr:sp macro="Sheet1.ExecuteAction_fd96ec01_f341_41b9_bd11_593ab9febce2" textlink="">
      <xdr:nvSpPr>
        <xdr:cNvPr id="6" name="TM1Button_fd96ec01_f341_41b9_bd11_593ab9febce2">
          <a:extLst>
            <a:ext uri="{FF2B5EF4-FFF2-40B4-BE49-F238E27FC236}">
              <a16:creationId xmlns:a16="http://schemas.microsoft.com/office/drawing/2014/main" id="{2168DA8B-BF3B-55E3-F422-A22160EC9BAE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2 - Detailed</a:t>
          </a:r>
        </a:p>
      </xdr:txBody>
    </xdr:sp>
    <xdr:clientData/>
  </xdr:twoCellAnchor>
  <xdr:twoCellAnchor editAs="oneCell">
    <xdr:from>
      <xdr:col>18</xdr:col>
      <xdr:colOff>285750</xdr:colOff>
      <xdr:row>72</xdr:row>
      <xdr:rowOff>85725</xdr:rowOff>
    </xdr:from>
    <xdr:to>
      <xdr:col>21</xdr:col>
      <xdr:colOff>1038225</xdr:colOff>
      <xdr:row>74</xdr:row>
      <xdr:rowOff>152400</xdr:rowOff>
    </xdr:to>
    <xdr:sp macro="Sheet1.ExecuteAction_04a5bf71_b819_4a9f_9bbf_7d9e063a5111" textlink="">
      <xdr:nvSpPr>
        <xdr:cNvPr id="7" name="TM1Button_04a5bf71_b819_4a9f_9bbf_7d9e063a5111">
          <a:extLst>
            <a:ext uri="{FF2B5EF4-FFF2-40B4-BE49-F238E27FC236}">
              <a16:creationId xmlns:a16="http://schemas.microsoft.com/office/drawing/2014/main" id="{6568531D-AEC7-D9AD-88E6-85B2495B1A4D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Section 2 - Program Component</a:t>
          </a:r>
        </a:p>
      </xdr:txBody>
    </xdr:sp>
    <xdr:clientData/>
  </xdr:twoCellAnchor>
  <xdr:twoCellAnchor editAs="oneCell">
    <xdr:from>
      <xdr:col>18</xdr:col>
      <xdr:colOff>285750</xdr:colOff>
      <xdr:row>75</xdr:row>
      <xdr:rowOff>9525</xdr:rowOff>
    </xdr:from>
    <xdr:to>
      <xdr:col>21</xdr:col>
      <xdr:colOff>1038225</xdr:colOff>
      <xdr:row>78</xdr:row>
      <xdr:rowOff>19050</xdr:rowOff>
    </xdr:to>
    <xdr:sp macro="Sheet1.ExecuteAction_5aeae72c_710e_49fd_b662_4e09428e5a5b" textlink="">
      <xdr:nvSpPr>
        <xdr:cNvPr id="8" name="TM1Button_5aeae72c_710e_49fd_b662_4e09428e5a5b">
          <a:extLst>
            <a:ext uri="{FF2B5EF4-FFF2-40B4-BE49-F238E27FC236}">
              <a16:creationId xmlns:a16="http://schemas.microsoft.com/office/drawing/2014/main" id="{E1718787-D012-ECE6-3FE7-98F5E499EB43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TBAL</a:t>
          </a:r>
        </a:p>
      </xdr:txBody>
    </xdr:sp>
    <xdr:clientData/>
  </xdr:twoCellAnchor>
  <xdr:twoCellAnchor editAs="oneCell">
    <xdr:from>
      <xdr:col>18</xdr:col>
      <xdr:colOff>304800</xdr:colOff>
      <xdr:row>78</xdr:row>
      <xdr:rowOff>66675</xdr:rowOff>
    </xdr:from>
    <xdr:to>
      <xdr:col>21</xdr:col>
      <xdr:colOff>1057275</xdr:colOff>
      <xdr:row>80</xdr:row>
      <xdr:rowOff>133350</xdr:rowOff>
    </xdr:to>
    <xdr:sp macro="Sheet1.ExecuteAction_a291c0e1_0fb7_411e_bddb_a08d1854a3e6" textlink="">
      <xdr:nvSpPr>
        <xdr:cNvPr id="10" name="TM1Button_a291c0e1_0fb7_411e_bddb_a08d1854a3e6">
          <a:extLst>
            <a:ext uri="{FF2B5EF4-FFF2-40B4-BE49-F238E27FC236}">
              <a16:creationId xmlns:a16="http://schemas.microsoft.com/office/drawing/2014/main" id="{EF6E0AF7-00F5-098C-661C-F24C40C177C2}"/>
            </a:ext>
          </a:extLst>
        </xdr:cNvPr>
        <xdr:cNvSpPr txBox="1"/>
      </xdr:nvSpPr>
      <xdr:spPr>
        <a:xfrm>
          <a:off x="687705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TBAL Cash Flow</a:t>
          </a:r>
        </a:p>
      </xdr:txBody>
    </xdr:sp>
    <xdr:clientData/>
  </xdr:twoCellAnchor>
  <xdr:twoCellAnchor editAs="oneCell">
    <xdr:from>
      <xdr:col>18</xdr:col>
      <xdr:colOff>285750</xdr:colOff>
      <xdr:row>80</xdr:row>
      <xdr:rowOff>180975</xdr:rowOff>
    </xdr:from>
    <xdr:to>
      <xdr:col>21</xdr:col>
      <xdr:colOff>1038225</xdr:colOff>
      <xdr:row>84</xdr:row>
      <xdr:rowOff>0</xdr:rowOff>
    </xdr:to>
    <xdr:sp macro="Sheet1.ExecuteAction_8ea11c4d_5289_4694_9e53_23dc686ebc04" textlink="">
      <xdr:nvSpPr>
        <xdr:cNvPr id="13" name="TM1Button_8ea11c4d_5289_4694_9e53_23dc686ebc04">
          <a:extLst>
            <a:ext uri="{FF2B5EF4-FFF2-40B4-BE49-F238E27FC236}">
              <a16:creationId xmlns:a16="http://schemas.microsoft.com/office/drawing/2014/main" id="{B6E60378-663E-505E-3584-374C2E2BE2DC}"/>
            </a:ext>
          </a:extLst>
        </xdr:cNvPr>
        <xdr:cNvSpPr txBox="1"/>
      </xdr:nvSpPr>
      <xdr:spPr>
        <a:xfrm>
          <a:off x="6858000" y="44672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Program Details</a:t>
          </a:r>
        </a:p>
      </xdr:txBody>
    </xdr:sp>
    <xdr:clientData/>
  </xdr:twoCellAnchor>
  <xdr:twoCellAnchor editAs="oneCell">
    <xdr:from>
      <xdr:col>11</xdr:col>
      <xdr:colOff>0</xdr:colOff>
      <xdr:row>72</xdr:row>
      <xdr:rowOff>104775</xdr:rowOff>
    </xdr:from>
    <xdr:to>
      <xdr:col>14</xdr:col>
      <xdr:colOff>752475</xdr:colOff>
      <xdr:row>74</xdr:row>
      <xdr:rowOff>171450</xdr:rowOff>
    </xdr:to>
    <xdr:sp macro="Sheet1.ExecuteAction_24798953_c2b5_43a3_9a13_5d9fcdcc55d1" textlink="TM1HomeAECDMCAP">
      <xdr:nvSpPr>
        <xdr:cNvPr id="14" name="TM1Button_24798953_c2b5_43a3_9a13_5d9fcdcc55d1">
          <a:extLst>
            <a:ext uri="{FF2B5EF4-FFF2-40B4-BE49-F238E27FC236}">
              <a16:creationId xmlns:a16="http://schemas.microsoft.com/office/drawing/2014/main" id="{DE1DF59D-321D-0800-0A30-9A400978AF4C}"/>
            </a:ext>
          </a:extLst>
        </xdr:cNvPr>
        <xdr:cNvSpPr txBox="1"/>
      </xdr:nvSpPr>
      <xdr:spPr>
        <a:xfrm>
          <a:off x="438150" y="34004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D5CFAA-20F1-42CD-8483-E2EEF1E619D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RECALC_0_3272_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47625</xdr:rowOff>
    </xdr:from>
    <xdr:to>
      <xdr:col>14</xdr:col>
      <xdr:colOff>752475</xdr:colOff>
      <xdr:row>68</xdr:row>
      <xdr:rowOff>57150</xdr:rowOff>
    </xdr:to>
    <xdr:sp macro="Sheet1.ExecuteAction_702f7e13_6e15_469c_a6d2_f46c080c88a1" textlink="TM1HomeAEMeasuresCAP">
      <xdr:nvSpPr>
        <xdr:cNvPr id="15" name="TM1Button_702f7e13_6e15_469c_a6d2_f46c080c88a1">
          <a:extLst>
            <a:ext uri="{FF2B5EF4-FFF2-40B4-BE49-F238E27FC236}">
              <a16:creationId xmlns:a16="http://schemas.microsoft.com/office/drawing/2014/main" id="{C61A4314-64A1-3DB1-36F3-5FA83B641B7F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B2F9E4B-6C77-42D8-AB8E-B6730196CA7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104775</xdr:rowOff>
    </xdr:from>
    <xdr:to>
      <xdr:col>14</xdr:col>
      <xdr:colOff>752475</xdr:colOff>
      <xdr:row>70</xdr:row>
      <xdr:rowOff>114300</xdr:rowOff>
    </xdr:to>
    <xdr:sp macro="Sheet1.ExecuteAction_b369a652_d689_4e2c_8d42_573c84059335" textlink="TM1HomeAEFFCAP">
      <xdr:nvSpPr>
        <xdr:cNvPr id="16" name="TM1Button_b369a652_d689_4e2c_8d42_573c84059335">
          <a:extLst>
            <a:ext uri="{FF2B5EF4-FFF2-40B4-BE49-F238E27FC236}">
              <a16:creationId xmlns:a16="http://schemas.microsoft.com/office/drawing/2014/main" id="{7B340BE7-6CFB-AF45-D7A6-16AEF6410BF1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3516A4-5FC5-4982-92B3-2362857FDAC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RECALC_0_1007_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70</xdr:row>
      <xdr:rowOff>161925</xdr:rowOff>
    </xdr:from>
    <xdr:to>
      <xdr:col>14</xdr:col>
      <xdr:colOff>752475</xdr:colOff>
      <xdr:row>72</xdr:row>
      <xdr:rowOff>38100</xdr:rowOff>
    </xdr:to>
    <xdr:sp macro="Sheet1.ExecuteAction_92686fb3_ef8b_4d24_a914_fee1bdbbfaec" textlink="TM1HomeAEAccVarCAP">
      <xdr:nvSpPr>
        <xdr:cNvPr id="17" name="TM1Button_92686fb3_ef8b_4d24_a914_fee1bdbbfaec">
          <a:extLst>
            <a:ext uri="{FF2B5EF4-FFF2-40B4-BE49-F238E27FC236}">
              <a16:creationId xmlns:a16="http://schemas.microsoft.com/office/drawing/2014/main" id="{90B60BE0-284F-5130-C0C8-2D3BA9C572DE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FA680BC-D211-4FFC-86D0-CF11A5B13BB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RECALC_0_874_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59</xdr:row>
      <xdr:rowOff>47625</xdr:rowOff>
    </xdr:from>
    <xdr:to>
      <xdr:col>13</xdr:col>
      <xdr:colOff>38100</xdr:colOff>
      <xdr:row>61</xdr:row>
      <xdr:rowOff>85725</xdr:rowOff>
    </xdr:to>
    <xdr:sp macro="Sheet1.ExecuteAction_4d411649_7182_459d_a305_d8b5892405f2" textlink="TM1HomeCAP">
      <xdr:nvSpPr>
        <xdr:cNvPr id="18" name="TM1Button_4d411649_7182_459d_a305_d8b5892405f2">
          <a:extLst>
            <a:ext uri="{FF2B5EF4-FFF2-40B4-BE49-F238E27FC236}">
              <a16:creationId xmlns:a16="http://schemas.microsoft.com/office/drawing/2014/main" id="{D09DC151-7BBA-F7BF-8DCB-89AB23D1981B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A8B162E-0DE0-4047-91CB-E7DC5D2C33F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59</xdr:row>
      <xdr:rowOff>47625</xdr:rowOff>
    </xdr:from>
    <xdr:to>
      <xdr:col>15</xdr:col>
      <xdr:colOff>352425</xdr:colOff>
      <xdr:row>61</xdr:row>
      <xdr:rowOff>85725</xdr:rowOff>
    </xdr:to>
    <xdr:sp macro="Sheet1.ExecuteAction_ceb80ad1_4118_4c77_b290_175ec83a8c12" textlink="TM1HomeAECAP">
      <xdr:nvSpPr>
        <xdr:cNvPr id="20" name="TM1Button_ceb80ad1_4118_4c77_b290_175ec83a8c12">
          <a:extLst>
            <a:ext uri="{FF2B5EF4-FFF2-40B4-BE49-F238E27FC236}">
              <a16:creationId xmlns:a16="http://schemas.microsoft.com/office/drawing/2014/main" id="{07E00463-FBCD-4FBC-F143-E910A89EE47A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381215-413B-435C-9716-D84F24C5C5E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RECALC_0_76_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59</xdr:row>
      <xdr:rowOff>38100</xdr:rowOff>
    </xdr:from>
    <xdr:to>
      <xdr:col>19</xdr:col>
      <xdr:colOff>1104900</xdr:colOff>
      <xdr:row>61</xdr:row>
      <xdr:rowOff>76200</xdr:rowOff>
    </xdr:to>
    <xdr:sp macro="Sheet1.ExecuteAction_af596c0e_c990_4180_aff8_8e9b69c08039" textlink="TM1HomeRepCAP">
      <xdr:nvSpPr>
        <xdr:cNvPr id="22" name="TM1Button_af596c0e_c990_4180_aff8_8e9b69c08039">
          <a:extLst>
            <a:ext uri="{FF2B5EF4-FFF2-40B4-BE49-F238E27FC236}">
              <a16:creationId xmlns:a16="http://schemas.microsoft.com/office/drawing/2014/main" id="{9150567B-4970-D618-6A75-A2A33DB3C287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86ED862-69C3-4298-B149-3B94E2F4523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59</xdr:row>
      <xdr:rowOff>38100</xdr:rowOff>
    </xdr:from>
    <xdr:to>
      <xdr:col>22</xdr:col>
      <xdr:colOff>114300</xdr:colOff>
      <xdr:row>61</xdr:row>
      <xdr:rowOff>76200</xdr:rowOff>
    </xdr:to>
    <xdr:sp macro="Sheet1.ExecuteAction_0fe52f65_f4b9_495f_8d7b_58127e46be9d" textlink="TM1HomeAdminCAP">
      <xdr:nvSpPr>
        <xdr:cNvPr id="23" name="TM1Button_0fe52f65_f4b9_495f_8d7b_58127e46be9d">
          <a:extLst>
            <a:ext uri="{FF2B5EF4-FFF2-40B4-BE49-F238E27FC236}">
              <a16:creationId xmlns:a16="http://schemas.microsoft.com/office/drawing/2014/main" id="{85FB421B-F588-88A7-F265-5958365CFBB8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81F6DB-1DF6-4CCF-B926-201F6FA04C6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63</xdr:row>
      <xdr:rowOff>47625</xdr:rowOff>
    </xdr:from>
    <xdr:to>
      <xdr:col>21</xdr:col>
      <xdr:colOff>1038225</xdr:colOff>
      <xdr:row>66</xdr:row>
      <xdr:rowOff>0</xdr:rowOff>
    </xdr:to>
    <xdr:sp macro="Sheet1.ExecuteAction_2e8caf15_fd0b_4c8a_9954_34b022a75e9a" textlink="">
      <xdr:nvSpPr>
        <xdr:cNvPr id="24" name="TM1Button_2e8caf15_fd0b_4c8a_9954_34b022a75e9a">
          <a:extLst>
            <a:ext uri="{FF2B5EF4-FFF2-40B4-BE49-F238E27FC236}">
              <a16:creationId xmlns:a16="http://schemas.microsoft.com/office/drawing/2014/main" id="{1D876066-856E-5B2E-7245-04871CA48FD2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CDM Extract -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AE92"/>
  <sheetViews>
    <sheetView showGridLines="0" tabSelected="1" topLeftCell="J56" workbookViewId="0"/>
  </sheetViews>
  <sheetFormatPr defaultRowHeight="15" customHeight="1" outlineLevelRow="1" outlineLevelCol="1" x14ac:dyDescent="0.25"/>
  <cols>
    <col min="1" max="1" width="5.7109375" hidden="1" customWidth="1" outlineLevel="1"/>
    <col min="2" max="2" width="55.28515625" hidden="1" customWidth="1" outlineLevel="1"/>
    <col min="3" max="4" width="20.28515625" hidden="1" customWidth="1" outlineLevel="1"/>
    <col min="5" max="5" width="24.42578125" hidden="1" customWidth="1" outlineLevel="1"/>
    <col min="6" max="6" width="63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5" hidden="1" customHeight="1" outlineLevel="1" x14ac:dyDescent="0.25">
      <c r="B1" s="19" t="s">
        <v>0</v>
      </c>
      <c r="C1" s="20"/>
      <c r="D1" s="21"/>
    </row>
    <row r="2" spans="2:4" ht="15" hidden="1" customHeight="1" outlineLevel="1" x14ac:dyDescent="0.25">
      <c r="B2" s="10" t="s">
        <v>1</v>
      </c>
      <c r="C2" s="11" t="s">
        <v>64</v>
      </c>
      <c r="D2" s="2"/>
    </row>
    <row r="3" spans="2:4" ht="15" hidden="1" customHeight="1" outlineLevel="1" x14ac:dyDescent="0.25">
      <c r="B3" s="10" t="s">
        <v>2</v>
      </c>
      <c r="C3" s="12" t="str">
        <f>_xll.VIEW((db_name&amp;":}ElementAttributes_}Clients"),"!","!")</f>
        <v>finance_geus:}ElementAttributes_}Clients:1264217196-746513723</v>
      </c>
      <c r="D3" s="2"/>
    </row>
    <row r="4" spans="2:4" ht="15" hidden="1" customHeight="1" outlineLevel="1" x14ac:dyDescent="0.25">
      <c r="B4" s="10" t="s">
        <v>3</v>
      </c>
      <c r="C4" s="11" t="str">
        <f ca="1">_xll.TM1USER(db_name)</f>
        <v>RECALC_0_100_</v>
      </c>
      <c r="D4" s="2"/>
    </row>
    <row r="5" spans="2:4" ht="15" hidden="1" customHeight="1" outlineLevel="1" x14ac:dyDescent="0.25">
      <c r="B5" s="10" t="s">
        <v>4</v>
      </c>
      <c r="C5" s="11" t="str">
        <f ca="1">_xll.DBR($C$3,$C$4,$B5)</f>
        <v>RECALC_1_101_</v>
      </c>
      <c r="D5" s="2"/>
    </row>
    <row r="6" spans="2:4" ht="15" hidden="1" customHeight="1" outlineLevel="1" x14ac:dyDescent="0.25">
      <c r="B6" s="10" t="s">
        <v>5</v>
      </c>
      <c r="C6" s="11" t="str">
        <f ca="1">_xll.DBR($C$3,$C$4,$B6)</f>
        <v>RECALC_1_232_</v>
      </c>
      <c r="D6" s="2"/>
    </row>
    <row r="7" spans="2:4" ht="15" hidden="1" customHeight="1" outlineLevel="1" x14ac:dyDescent="0.25">
      <c r="B7" s="10" t="s">
        <v>6</v>
      </c>
      <c r="C7" s="11" t="str">
        <f ca="1">IF((LEFT($C$4,6)="CAM_AD"),$C$5,$C$4)</f>
        <v>RECALC_0_100_</v>
      </c>
      <c r="D7" s="1"/>
    </row>
    <row r="8" spans="2:4" ht="15" hidden="1" customHeight="1" outlineLevel="1" x14ac:dyDescent="0.25"/>
    <row r="9" spans="2:4" ht="15" hidden="1" customHeight="1" outlineLevel="1" x14ac:dyDescent="0.25">
      <c r="B9" s="19" t="s">
        <v>7</v>
      </c>
      <c r="C9" s="20"/>
      <c r="D9" s="21"/>
    </row>
    <row r="10" spans="2:4" ht="15" hidden="1" customHeight="1" outlineLevel="1" x14ac:dyDescent="0.25">
      <c r="B10" s="10" t="s">
        <v>8</v>
      </c>
      <c r="C10" s="1" t="str">
        <f>_xll.VIEW((db_name&amp;":}ElementAttributes_variables"),"!","!")</f>
        <v>finance_geus:}ElementAttributes_variables:1264217196494424092</v>
      </c>
      <c r="D10" s="1"/>
    </row>
    <row r="11" spans="2:4" ht="15" hidden="1" customHeight="1" outlineLevel="1" x14ac:dyDescent="0.25">
      <c r="B11" s="10" t="s">
        <v>9</v>
      </c>
      <c r="C11" s="1" t="str">
        <f ca="1">_xll.DBR($C$10,$B11,"value")</f>
        <v>RECALC_0_231_</v>
      </c>
      <c r="D11" s="1"/>
    </row>
    <row r="12" spans="2:4" ht="15" hidden="1" customHeight="1" outlineLevel="1" x14ac:dyDescent="0.25">
      <c r="B12" s="10" t="s">
        <v>10</v>
      </c>
      <c r="C12" s="1" t="str">
        <f ca="1">_xll.DBR($C$10,$B12,"value")</f>
        <v>RECALC_0_230_</v>
      </c>
      <c r="D12" s="1"/>
    </row>
    <row r="13" spans="2:4" ht="15" hidden="1" customHeight="1" outlineLevel="1" x14ac:dyDescent="0.25">
      <c r="B13" s="10" t="s">
        <v>11</v>
      </c>
      <c r="C13" s="1" t="str">
        <f ca="1">_xll.DBR($C$10,$B13,"value")</f>
        <v>RECALC_0_484_</v>
      </c>
      <c r="D13" s="1"/>
    </row>
    <row r="14" spans="2:4" ht="15" hidden="1" customHeight="1" outlineLevel="1" x14ac:dyDescent="0.25">
      <c r="B14" s="10" t="s">
        <v>12</v>
      </c>
      <c r="C14" s="1" t="str">
        <f ca="1">_xll.DBR($C$10,$B14,"value")</f>
        <v>RECALC_0_483_</v>
      </c>
      <c r="D14" s="1"/>
    </row>
    <row r="15" spans="2:4" ht="15" hidden="1" customHeight="1" outlineLevel="1" x14ac:dyDescent="0.25">
      <c r="B15" s="10" t="s">
        <v>13</v>
      </c>
      <c r="C15" s="1" t="str">
        <f ca="1">("The current scenario is """&amp;($C$12&amp;(""" for the """&amp;($C$11&amp;(""" Headline Year. Archive was done for """&amp;($C$13&amp;(""" on scenario """&amp;($C$14&amp;"""."))))))))</f>
        <v>The current scenario is "RECALC_0_230_" for the "RECALC_0_231_" Headline Year. Archive was done for "RECALC_0_484_" on scenario "RECALC_0_483_".</v>
      </c>
      <c r="D15" s="1"/>
    </row>
    <row r="16" spans="2:4" ht="15" hidden="1" customHeight="1" outlineLevel="1" x14ac:dyDescent="0.25"/>
    <row r="17" spans="2:8" ht="15" hidden="1" customHeight="1" outlineLevel="1" x14ac:dyDescent="0.25">
      <c r="B17" s="19" t="s">
        <v>14</v>
      </c>
      <c r="C17" s="20"/>
      <c r="D17" s="21"/>
    </row>
    <row r="18" spans="2:8" ht="15" hidden="1" customHeight="1" outlineLevel="1" x14ac:dyDescent="0.25">
      <c r="B18" s="10" t="s">
        <v>8</v>
      </c>
      <c r="C18" s="1" t="str">
        <f>_xll.VIEW((db_name&amp;":sys_client preference"),"!","!","!")</f>
        <v>finance_geus:sys_client preference:12642171961900811292</v>
      </c>
      <c r="D18" s="1"/>
    </row>
    <row r="19" spans="2:8" ht="15" hidden="1" customHeight="1" outlineLevel="1" x14ac:dyDescent="0.25">
      <c r="B19" s="10" t="s">
        <v>15</v>
      </c>
      <c r="C19" s="1" t="str">
        <f ca="1">_xll.DBR($C$18,psUser,$B19,"value")</f>
        <v>RECALC_1_416_</v>
      </c>
      <c r="D19" s="1"/>
    </row>
    <row r="20" spans="2:8" ht="15" hidden="1" customHeight="1" outlineLevel="1" x14ac:dyDescent="0.25">
      <c r="B20" s="10" t="s">
        <v>16</v>
      </c>
      <c r="C20" s="1" t="str">
        <f ca="1">_xll.DBR($C$18,psUser,$B20,"value")</f>
        <v>RECALC_1_414_</v>
      </c>
      <c r="D20" s="1"/>
    </row>
    <row r="21" spans="2:8" ht="15" hidden="1" customHeight="1" outlineLevel="1" x14ac:dyDescent="0.25">
      <c r="B21" s="10" t="s">
        <v>17</v>
      </c>
      <c r="C21" s="1" t="str">
        <f ca="1">_xll.DBR($C$18,psUser,$B21,"value")</f>
        <v>RECALC_1_412_</v>
      </c>
      <c r="D21" s="1"/>
    </row>
    <row r="22" spans="2:8" ht="15" hidden="1" customHeight="1" outlineLevel="1" x14ac:dyDescent="0.25">
      <c r="B22" s="10" t="s">
        <v>18</v>
      </c>
      <c r="C22" s="1" t="str">
        <f ca="1">_xll.DBR($C$18,psUser,$B22,"value")</f>
        <v>RECALC_1_493_</v>
      </c>
      <c r="D22" s="1"/>
    </row>
    <row r="23" spans="2:8" ht="15" hidden="1" customHeight="1" outlineLevel="1" x14ac:dyDescent="0.25">
      <c r="B23" s="10" t="s">
        <v>19</v>
      </c>
      <c r="C23" s="1" t="s">
        <v>20</v>
      </c>
      <c r="D23" s="1"/>
    </row>
    <row r="24" spans="2:8" ht="15" hidden="1" customHeight="1" outlineLevel="1" x14ac:dyDescent="0.25"/>
    <row r="25" spans="2:8" ht="15" hidden="1" customHeight="1" outlineLevel="1" x14ac:dyDescent="0.25">
      <c r="B25" s="19" t="s">
        <v>54</v>
      </c>
      <c r="C25" s="20"/>
      <c r="D25" s="21"/>
    </row>
    <row r="26" spans="2:8" ht="15" hidden="1" customHeight="1" outlineLevel="1" x14ac:dyDescent="0.25">
      <c r="B26" s="10" t="s">
        <v>59</v>
      </c>
      <c r="C26" s="1" t="s">
        <v>61</v>
      </c>
      <c r="D26" s="1" t="s">
        <v>60</v>
      </c>
    </row>
    <row r="27" spans="2:8" ht="15" hidden="1" customHeight="1" outlineLevel="1" x14ac:dyDescent="0.25">
      <c r="B27" s="10" t="s">
        <v>55</v>
      </c>
      <c r="C27" s="1" t="s">
        <v>63</v>
      </c>
      <c r="D27" s="1" t="s">
        <v>57</v>
      </c>
    </row>
    <row r="28" spans="2:8" ht="15" hidden="1" customHeight="1" outlineLevel="1" x14ac:dyDescent="0.25">
      <c r="B28" s="10" t="s">
        <v>56</v>
      </c>
      <c r="C28" s="1" t="s">
        <v>62</v>
      </c>
      <c r="D28" s="1" t="s">
        <v>58</v>
      </c>
    </row>
    <row r="29" spans="2:8" ht="15" hidden="1" customHeight="1" outlineLevel="1" x14ac:dyDescent="0.25"/>
    <row r="30" spans="2:8" ht="15" hidden="1" customHeight="1" outlineLevel="1" x14ac:dyDescent="0.25">
      <c r="B30" s="19" t="s">
        <v>21</v>
      </c>
      <c r="C30" s="20"/>
      <c r="D30" s="21"/>
    </row>
    <row r="31" spans="2:8" ht="15" hidden="1" customHeight="1" outlineLevel="1" x14ac:dyDescent="0.25">
      <c r="B31" s="1" t="s">
        <v>22</v>
      </c>
      <c r="C31" s="8" t="str">
        <f>_xll.VIEW((db_name&amp;":sys_application"),"!","!")</f>
        <v>finance_geus:sys_application:12642171962048071764</v>
      </c>
      <c r="D31" s="8"/>
    </row>
    <row r="32" spans="2:8" ht="15" hidden="1" customHeight="1" outlineLevel="1" x14ac:dyDescent="0.25">
      <c r="B32" s="13" t="s">
        <v>23</v>
      </c>
      <c r="C32" s="14" t="s">
        <v>24</v>
      </c>
      <c r="D32" s="14" t="s">
        <v>25</v>
      </c>
      <c r="E32" s="14" t="s">
        <v>26</v>
      </c>
      <c r="F32" s="14" t="s">
        <v>27</v>
      </c>
      <c r="G32" s="14" t="s">
        <v>28</v>
      </c>
      <c r="H32" s="14" t="s">
        <v>29</v>
      </c>
    </row>
    <row r="33" spans="2:13" ht="15" hidden="1" customHeight="1" outlineLevel="1" x14ac:dyDescent="0.25">
      <c r="B33" s="1" t="s">
        <v>30</v>
      </c>
      <c r="C33" s="1" t="str">
        <f ca="1">_xll.DBR($C$31,$B33,C$32)</f>
        <v>RECALC_0_83_</v>
      </c>
      <c r="D33" s="1" t="str">
        <f ca="1">_xll.DBR($C$31,$B33,D$32)</f>
        <v>RECALC_0_82_</v>
      </c>
      <c r="E33" s="1" t="str">
        <f ca="1">_xll.DBR($C$31,$B33,E$32)</f>
        <v>RECALC_0_81_</v>
      </c>
      <c r="F33" s="1" t="str">
        <f ca="1">_xll.DBR($C$31,$B33,F$32)</f>
        <v>RECALC_0_80_</v>
      </c>
      <c r="G33" s="1" t="str">
        <f ca="1">_xll.DBR($C$31,$B33,G$32)</f>
        <v>RECALC_0_79_</v>
      </c>
      <c r="H33" s="1" t="str">
        <f ca="1">_xll.DBR($C$31,$B33,H$32)</f>
        <v>RECALC_0_78_</v>
      </c>
      <c r="M33" t="s">
        <v>25</v>
      </c>
    </row>
    <row r="34" spans="2:13" ht="15" hidden="1" customHeight="1" outlineLevel="1" x14ac:dyDescent="0.25">
      <c r="B34" s="1" t="s">
        <v>31</v>
      </c>
      <c r="C34" s="1" t="str">
        <f ca="1">_xll.DBR($C$31,$B34,C$32)</f>
        <v>RECALC_0_77_</v>
      </c>
      <c r="D34" s="1" t="str">
        <f ca="1">_xll.DBR($C$31,$B34,D$32)</f>
        <v>RECALC_0_76_</v>
      </c>
      <c r="E34" s="1" t="str">
        <f ca="1">_xll.DBR($C$31,$B34,E$32)</f>
        <v>RECALC_0_75_</v>
      </c>
      <c r="F34" s="1" t="str">
        <f ca="1">_xll.DBR($C$31,$B34,F$32)</f>
        <v>RECALC_0_74_</v>
      </c>
      <c r="G34" s="1" t="str">
        <f ca="1">_xll.DBR($C$31,$B34,G$32)</f>
        <v>RECALC_0_73_</v>
      </c>
      <c r="H34" s="1" t="str">
        <f ca="1">_xll.DBR($C$31,$B34,H$32)</f>
        <v>RECALC_0_72_</v>
      </c>
      <c r="M34" t="s">
        <v>26</v>
      </c>
    </row>
    <row r="35" spans="2:13" ht="15" hidden="1" customHeight="1" outlineLevel="1" x14ac:dyDescent="0.25">
      <c r="B35" s="1" t="s">
        <v>32</v>
      </c>
      <c r="C35" s="1" t="str">
        <f ca="1">_xll.DBR($C$31,$B35,C$32)</f>
        <v>RECALC_0_225_</v>
      </c>
      <c r="D35" s="1" t="str">
        <f ca="1">_xll.DBR($C$31,$B35,D$32)</f>
        <v>RECALC_0_224_</v>
      </c>
      <c r="E35" s="1" t="str">
        <f ca="1">_xll.DBR($C$31,$B35,E$32)</f>
        <v>RECALC_0_223_</v>
      </c>
      <c r="F35" s="1" t="str">
        <f ca="1">_xll.DBR($C$31,$B35,F$32)</f>
        <v>RECALC_0_222_</v>
      </c>
      <c r="G35" s="1" t="str">
        <f ca="1">_xll.DBR($C$31,$B35,G$32)</f>
        <v>RECALC_0_221_</v>
      </c>
      <c r="H35" s="1" t="str">
        <f ca="1">_xll.DBR($C$31,$B35,H$32)</f>
        <v>RECALC_0_220_</v>
      </c>
      <c r="M35" t="s">
        <v>27</v>
      </c>
    </row>
    <row r="36" spans="2:13" ht="15" hidden="1" customHeight="1" outlineLevel="1" x14ac:dyDescent="0.25">
      <c r="B36" s="1" t="s">
        <v>33</v>
      </c>
      <c r="C36" s="1" t="str">
        <f ca="1">_xll.DBR($C$31,$B36,C$32)</f>
        <v>RECALC_0_959_</v>
      </c>
      <c r="D36" s="1" t="str">
        <f ca="1">_xll.DBR($C$31,$B36,D$32)</f>
        <v>RECALC_0_958_</v>
      </c>
      <c r="E36" s="1" t="str">
        <f ca="1">_xll.DBR($C$31,$B36,E$32)</f>
        <v>RECALC_0_957_</v>
      </c>
      <c r="F36" s="1" t="str">
        <f ca="1">_xll.DBR($C$31,$B36,F$32)</f>
        <v>RECALC_0_956_</v>
      </c>
      <c r="G36" s="1" t="str">
        <f ca="1">_xll.DBR($C$31,$B36,G$32)</f>
        <v>RECALC_0_955_</v>
      </c>
      <c r="H36" s="1" t="str">
        <f ca="1">_xll.DBR($C$31,$B36,H$32)</f>
        <v>RECALC_0_954_</v>
      </c>
      <c r="M36" t="s">
        <v>28</v>
      </c>
    </row>
    <row r="37" spans="2:13" ht="15" hidden="1" customHeight="1" outlineLevel="1" x14ac:dyDescent="0.25">
      <c r="B37" s="1" t="s">
        <v>34</v>
      </c>
      <c r="C37" s="1" t="str">
        <f ca="1">_xll.DBR($C$31,$B37,C$32)</f>
        <v>RECALC_0_1008_</v>
      </c>
      <c r="D37" s="1" t="str">
        <f ca="1">_xll.DBR($C$31,$B37,D$32)</f>
        <v>RECALC_0_1007_</v>
      </c>
      <c r="E37" s="1" t="str">
        <f ca="1">_xll.DBR($C$31,$B37,E$32)</f>
        <v>RECALC_0_1006_</v>
      </c>
      <c r="F37" s="1" t="str">
        <f ca="1">_xll.DBR($C$31,$B37,F$32)</f>
        <v>RECALC_0_1005_</v>
      </c>
      <c r="G37" s="1" t="str">
        <f ca="1">_xll.DBR($C$31,$B37,G$32)</f>
        <v>RECALC_0_1004_</v>
      </c>
      <c r="H37" s="1" t="str">
        <f ca="1">_xll.DBR($C$31,$B37,H$32)</f>
        <v>RECALC_0_1003_</v>
      </c>
      <c r="M37" t="s">
        <v>29</v>
      </c>
    </row>
    <row r="38" spans="2:13" ht="15" hidden="1" customHeight="1" outlineLevel="1" x14ac:dyDescent="0.25">
      <c r="B38" s="1" t="s">
        <v>35</v>
      </c>
      <c r="C38" s="1" t="str">
        <f ca="1">_xll.DBR($C$31,$B38,C$32)</f>
        <v>RECALC_0_875_</v>
      </c>
      <c r="D38" s="1" t="str">
        <f ca="1">_xll.DBR($C$31,$B38,D$32)</f>
        <v>RECALC_0_874_</v>
      </c>
      <c r="E38" s="1" t="str">
        <f ca="1">_xll.DBR($C$31,$B38,E$32)</f>
        <v>RECALC_0_873_</v>
      </c>
      <c r="F38" s="1" t="str">
        <f ca="1">_xll.DBR($C$31,$B38,F$32)</f>
        <v>RECALC_0_872_</v>
      </c>
      <c r="G38" s="1" t="str">
        <f ca="1">_xll.DBR($C$31,$B38,G$32)</f>
        <v>RECALC_0_871_</v>
      </c>
      <c r="H38" s="1" t="str">
        <f ca="1">_xll.DBR($C$31,$B38,H$32)</f>
        <v>RECALC_0_870_</v>
      </c>
      <c r="M38" t="s">
        <v>36</v>
      </c>
    </row>
    <row r="39" spans="2:13" ht="15" hidden="1" customHeight="1" outlineLevel="1" x14ac:dyDescent="0.25">
      <c r="B39" s="1" t="s">
        <v>37</v>
      </c>
      <c r="C39" s="1" t="str">
        <f ca="1">_xll.DBR($C$31,$B39,C$32)</f>
        <v>RECALC_0_71_</v>
      </c>
      <c r="D39" s="1" t="str">
        <f ca="1">_xll.DBR($C$31,$B39,D$32)</f>
        <v>RECALC_0_70_</v>
      </c>
      <c r="E39" s="1" t="str">
        <f ca="1">_xll.DBR($C$31,$B39,E$32)</f>
        <v>RECALC_0_69_</v>
      </c>
      <c r="F39" s="1" t="str">
        <f ca="1">_xll.DBR($C$31,$B39,F$32)</f>
        <v>RECALC_0_68_</v>
      </c>
      <c r="G39" s="1" t="str">
        <f ca="1">_xll.DBR($C$31,$B39,G$32)</f>
        <v>RECALC_0_67_</v>
      </c>
      <c r="H39" s="1" t="str">
        <f ca="1">_xll.DBR($C$31,$B39,H$32)</f>
        <v>RECALC_0_66_</v>
      </c>
    </row>
    <row r="40" spans="2:13" ht="15" hidden="1" customHeight="1" outlineLevel="1" x14ac:dyDescent="0.25">
      <c r="B40" s="1" t="s">
        <v>38</v>
      </c>
      <c r="C40" s="1" t="str">
        <f ca="1">_xll.DBR($C$31,$B40,C$32)</f>
        <v>RECALC_0_65_</v>
      </c>
      <c r="D40" s="1" t="str">
        <f ca="1">_xll.DBR($C$31,$B40,D$32)</f>
        <v>RECALC_0_64_</v>
      </c>
      <c r="E40" s="1" t="str">
        <f ca="1">_xll.DBR($C$31,$B40,E$32)</f>
        <v>RECALC_0_63_</v>
      </c>
      <c r="F40" s="1" t="str">
        <f ca="1">_xll.DBR($C$31,$B40,F$32)</f>
        <v>RECALC_0_62_</v>
      </c>
      <c r="G40" s="1" t="str">
        <f ca="1">_xll.DBR($C$31,$B40,G$32)</f>
        <v>RECALC_0_61_</v>
      </c>
      <c r="H40" s="1" t="str">
        <f ca="1">_xll.DBR($C$31,$B40,H$32)</f>
        <v>RECALC_0_60_</v>
      </c>
    </row>
    <row r="41" spans="2:13" ht="15" hidden="1" customHeight="1" outlineLevel="1" x14ac:dyDescent="0.25">
      <c r="B41" s="1" t="s">
        <v>39</v>
      </c>
      <c r="C41" s="1" t="str">
        <f ca="1">_xll.DBR($C$31,$B41,C$32)</f>
        <v>RECALC_0_540_</v>
      </c>
      <c r="D41" s="1" t="str">
        <f ca="1">_xll.DBR($C$31,$B41,D$32)</f>
        <v>RECALC_0_539_</v>
      </c>
      <c r="E41" s="1" t="str">
        <f ca="1">_xll.DBR($C$31,$B41,E$32)</f>
        <v>RECALC_0_538_</v>
      </c>
      <c r="F41" s="1" t="str">
        <f ca="1">_xll.DBR($C$31,$B41,F$32)</f>
        <v>RECALC_0_537_</v>
      </c>
      <c r="G41" s="1" t="str">
        <f ca="1">_xll.DBR($C$31,$B41,G$32)</f>
        <v>RECALC_0_536_</v>
      </c>
      <c r="H41" s="1" t="str">
        <f ca="1">_xll.DBR($C$31,$B41,H$32)</f>
        <v>RECALC_0_535_</v>
      </c>
    </row>
    <row r="42" spans="2:13" ht="15" hidden="1" customHeight="1" outlineLevel="1" x14ac:dyDescent="0.25">
      <c r="B42" s="1" t="s">
        <v>53</v>
      </c>
      <c r="C42" s="1" t="str">
        <f ca="1">_xll.DBR($C$31,$B42,C$32)</f>
        <v>RECALC_0_3273_</v>
      </c>
      <c r="D42" s="1" t="str">
        <f ca="1">_xll.DBR($C$31,$B42,D$32)</f>
        <v>RECALC_0_3272_</v>
      </c>
      <c r="E42" s="1" t="str">
        <f ca="1">_xll.DBR($C$31,$B42,E$32)</f>
        <v>RECALC_0_3271_</v>
      </c>
      <c r="F42" s="1" t="str">
        <f ca="1">_xll.DBR($C$31,$B42,F$32)</f>
        <v>RECALC_0_3270_</v>
      </c>
      <c r="G42" s="1" t="str">
        <f ca="1">_xll.DBR($C$31,$B42,G$32)</f>
        <v>RECALC_0_3269_</v>
      </c>
      <c r="H42" s="1" t="str">
        <f ca="1">_xll.DBR($C$31,$B42,H$32)</f>
        <v>RECALC_0_3268_</v>
      </c>
    </row>
    <row r="43" spans="2:13" ht="15" hidden="1" customHeight="1" outlineLevel="1" x14ac:dyDescent="0.25"/>
    <row r="44" spans="2:13" ht="15" hidden="1" customHeight="1" outlineLevel="1" x14ac:dyDescent="0.25">
      <c r="B44" s="1" t="s">
        <v>40</v>
      </c>
      <c r="C44" s="1" t="str">
        <f ca="1">_xll.DBR($C$31,$B44,C$32)</f>
        <v>RECALC_0_1944_</v>
      </c>
      <c r="D44" s="1" t="str">
        <f ca="1">_xll.DBR($C$31,$B44,D$32)</f>
        <v>RECALC_0_1948_</v>
      </c>
      <c r="E44" s="1" t="str">
        <f ca="1">_xll.DBR($C$31,$B44,E$32)</f>
        <v>RECALC_0_1946_</v>
      </c>
      <c r="F44" s="1" t="str">
        <f ca="1">_xll.DBR($C$31,$B44,F$32)</f>
        <v>RECALC_0_1945_</v>
      </c>
      <c r="G44" s="1" t="str">
        <f ca="1">_xll.DBR($C$31,$B44,G$32)</f>
        <v>RECALC_0_1943_</v>
      </c>
      <c r="H44" s="1" t="str">
        <f ca="1">_xll.DBR($C$31,$B44,H$32)</f>
        <v>RECALC_0_1947_</v>
      </c>
    </row>
    <row r="45" spans="2:13" ht="15" hidden="1" customHeight="1" outlineLevel="1" x14ac:dyDescent="0.25">
      <c r="B45" s="1" t="s">
        <v>41</v>
      </c>
      <c r="C45" s="1" t="str">
        <f ca="1">_xll.DBR($C$31,$B45,C$32)</f>
        <v>RECALC_0_219_</v>
      </c>
      <c r="D45" s="1" t="str">
        <f ca="1">_xll.DBR($C$31,$B45,D$32)</f>
        <v>RECALC_0_218_</v>
      </c>
      <c r="E45" s="1" t="str">
        <f ca="1">_xll.DBR($C$31,$B45,E$32)</f>
        <v>RECALC_0_217_</v>
      </c>
      <c r="F45" s="1" t="str">
        <f ca="1">_xll.DBR($C$31,$B45,F$32)</f>
        <v>RECALC_0_216_</v>
      </c>
      <c r="G45" s="1" t="str">
        <f ca="1">_xll.DBR($C$31,$B45,G$32)</f>
        <v>RECALC_0_215_</v>
      </c>
      <c r="H45" s="1" t="str">
        <f ca="1">_xll.DBR($C$31,$B45,H$32)</f>
        <v>RECALC_0_214_</v>
      </c>
    </row>
    <row r="46" spans="2:13" ht="15" hidden="1" customHeight="1" outlineLevel="1" x14ac:dyDescent="0.25">
      <c r="B46" s="1" t="s">
        <v>42</v>
      </c>
      <c r="C46" s="1" t="str">
        <f ca="1">_xll.DBR($C$31,$B46,C$32)</f>
        <v>RECALC_0_201_</v>
      </c>
      <c r="D46" s="1" t="str">
        <f ca="1">_xll.DBR($C$31,$B46,D$32)</f>
        <v>RECALC_0_200_</v>
      </c>
      <c r="E46" s="1" t="str">
        <f ca="1">_xll.DBR($C$31,$B46,E$32)</f>
        <v>RECALC_0_199_</v>
      </c>
      <c r="F46" s="1" t="str">
        <f ca="1">_xll.DBR($C$31,$B46,F$32)</f>
        <v>RECALC_0_198_</v>
      </c>
      <c r="G46" s="1" t="str">
        <f ca="1">_xll.DBR($C$31,$B46,G$32)</f>
        <v>RECALC_0_197_</v>
      </c>
      <c r="H46" s="1" t="str">
        <f ca="1">_xll.DBR($C$31,$B46,H$32)</f>
        <v>RECALC_0_196_</v>
      </c>
    </row>
    <row r="47" spans="2:13" ht="15" hidden="1" customHeight="1" outlineLevel="1" x14ac:dyDescent="0.25">
      <c r="B47" s="1" t="s">
        <v>43</v>
      </c>
      <c r="C47" s="1" t="str">
        <f ca="1">_xll.DBR($C$31,$B47,C$32)</f>
        <v>RECALC_0_3279_</v>
      </c>
      <c r="D47" s="1" t="str">
        <f ca="1">_xll.DBR($C$31,$B47,D$32)</f>
        <v>RECALC_0_3278_</v>
      </c>
      <c r="E47" s="1" t="str">
        <f ca="1">_xll.DBR($C$31,$B47,E$32)</f>
        <v>RECALC_0_3277_</v>
      </c>
      <c r="F47" s="1" t="str">
        <f ca="1">_xll.DBR($C$31,$B47,F$32)</f>
        <v>RECALC_0_3276_</v>
      </c>
      <c r="G47" s="1" t="str">
        <f ca="1">_xll.DBR($C$31,$B47,G$32)</f>
        <v>RECALC_0_3275_</v>
      </c>
      <c r="H47" s="1" t="str">
        <f ca="1">_xll.DBR($C$31,$B47,H$32)</f>
        <v>RECALC_0_3274_</v>
      </c>
    </row>
    <row r="48" spans="2:13" ht="15" hidden="1" customHeight="1" outlineLevel="1" x14ac:dyDescent="0.25">
      <c r="B48" s="1" t="s">
        <v>44</v>
      </c>
      <c r="C48" s="1" t="str">
        <f ca="1">_xll.DBR($C$31,$B48,C$32)</f>
        <v>RECALC_0_385_</v>
      </c>
      <c r="D48" s="1" t="str">
        <f ca="1">_xll.DBR($C$31,$B48,D$32)</f>
        <v>RECALC_0_384_</v>
      </c>
      <c r="E48" s="1" t="str">
        <f ca="1">_xll.DBR($C$31,$B48,E$32)</f>
        <v>RECALC_0_383_</v>
      </c>
      <c r="F48" s="1" t="str">
        <f ca="1">_xll.DBR($C$31,$B48,F$32)</f>
        <v>RECALC_0_382_</v>
      </c>
      <c r="G48" s="1" t="str">
        <f ca="1">_xll.DBR($C$31,$B48,G$32)</f>
        <v>RECALC_0_381_</v>
      </c>
      <c r="H48" s="1" t="str">
        <f ca="1">_xll.DBR($C$31,$B48,H$32)</f>
        <v>RECALC_0_380_</v>
      </c>
    </row>
    <row r="49" spans="2:23" ht="15" hidden="1" customHeight="1" outlineLevel="1" x14ac:dyDescent="0.25">
      <c r="B49" s="1" t="s">
        <v>45</v>
      </c>
      <c r="C49" s="1" t="str">
        <f ca="1">_xll.DBR($C$31,$B49,C$32)</f>
        <v>RECALC_0_373_</v>
      </c>
      <c r="D49" s="1" t="str">
        <f ca="1">_xll.DBR($C$31,$B49,D$32)</f>
        <v>RECALC_0_372_</v>
      </c>
      <c r="E49" s="1" t="str">
        <f ca="1">_xll.DBR($C$31,$B49,E$32)</f>
        <v>RECALC_0_371_</v>
      </c>
      <c r="F49" s="1" t="str">
        <f ca="1">_xll.DBR($C$31,$B49,F$32)</f>
        <v>RECALC_0_370_</v>
      </c>
      <c r="G49" s="1" t="str">
        <f ca="1">_xll.DBR($C$31,$B49,G$32)</f>
        <v>RECALC_0_369_</v>
      </c>
      <c r="H49" s="1" t="str">
        <f ca="1">_xll.DBR($C$31,$B49,H$32)</f>
        <v>RECALC_0_368_</v>
      </c>
    </row>
    <row r="50" spans="2:23" ht="15" hidden="1" customHeight="1" outlineLevel="1" x14ac:dyDescent="0.25">
      <c r="B50" s="1" t="s">
        <v>46</v>
      </c>
      <c r="C50" s="1" t="str">
        <f ca="1">_xll.DBR($C$31,$B50,C$32)</f>
        <v>RECALC_0_379_</v>
      </c>
      <c r="D50" s="1" t="str">
        <f ca="1">_xll.DBR($C$31,$B50,D$32)</f>
        <v>RECALC_0_378_</v>
      </c>
      <c r="E50" s="1" t="str">
        <f ca="1">_xll.DBR($C$31,$B50,E$32)</f>
        <v>RECALC_0_377_</v>
      </c>
      <c r="F50" s="1" t="str">
        <f ca="1">_xll.DBR($C$31,$B50,F$32)</f>
        <v>RECALC_0_376_</v>
      </c>
      <c r="G50" s="1" t="str">
        <f ca="1">_xll.DBR($C$31,$B50,G$32)</f>
        <v>RECALC_0_375_</v>
      </c>
      <c r="H50" s="1" t="str">
        <f ca="1">_xll.DBR($C$31,$B50,H$32)</f>
        <v>RECALC_0_374_</v>
      </c>
    </row>
    <row r="51" spans="2:23" ht="15" hidden="1" customHeight="1" outlineLevel="1" x14ac:dyDescent="0.25">
      <c r="B51" s="1" t="s">
        <v>47</v>
      </c>
      <c r="C51" s="1" t="str">
        <f ca="1">_xll.DBR($C$31,$B51,C$32)</f>
        <v>RECALC_0_3291_</v>
      </c>
      <c r="D51" s="1" t="str">
        <f ca="1">_xll.DBR($C$31,$B51,D$32)</f>
        <v>RECALC_0_3290_</v>
      </c>
      <c r="E51" s="1" t="str">
        <f ca="1">_xll.DBR($C$31,$B51,E$32)</f>
        <v>RECALC_0_3289_</v>
      </c>
      <c r="F51" s="1" t="str">
        <f ca="1">_xll.DBR($C$31,$B51,F$32)</f>
        <v>RECALC_0_3288_</v>
      </c>
      <c r="G51" s="1" t="str">
        <f ca="1">_xll.DBR($C$31,$B51,G$32)</f>
        <v>RECALC_0_3287_</v>
      </c>
      <c r="H51" s="1" t="str">
        <f ca="1">_xll.DBR($C$31,$B51,H$32)</f>
        <v>RECALC_0_3286_</v>
      </c>
    </row>
    <row r="52" spans="2:23" ht="15" hidden="1" customHeight="1" outlineLevel="1" x14ac:dyDescent="0.25">
      <c r="B52" s="8" t="s">
        <v>48</v>
      </c>
      <c r="C52" s="8" t="str">
        <f ca="1">_xll.DBR($C$31,$B52,C$32)</f>
        <v>RECALC_0_355_</v>
      </c>
      <c r="D52" s="8" t="str">
        <f ca="1">_xll.DBR($C$31,$B52,D$32)</f>
        <v>RECALC_0_354_</v>
      </c>
      <c r="E52" s="8" t="str">
        <f ca="1">_xll.DBR($C$31,$B52,E$32)</f>
        <v>RECALC_0_353_</v>
      </c>
      <c r="F52" s="8" t="str">
        <f ca="1">_xll.DBR($C$31,$B52,F$32)</f>
        <v>RECALC_0_352_</v>
      </c>
      <c r="G52" s="8" t="str">
        <f ca="1">_xll.DBR($C$31,$B52,G$32)</f>
        <v>RECALC_0_351_</v>
      </c>
      <c r="H52" s="8" t="str">
        <f ca="1">_xll.DBR($C$31,$B52,H$32)</f>
        <v>RECALC_0_350_</v>
      </c>
    </row>
    <row r="53" spans="2:23" ht="15" hidden="1" customHeight="1" outlineLevel="1" x14ac:dyDescent="0.25"/>
    <row r="54" spans="2:23" ht="15" hidden="1" customHeight="1" outlineLevel="1" x14ac:dyDescent="0.25"/>
    <row r="55" spans="2:23" ht="15" hidden="1" customHeight="1" outlineLevel="1" x14ac:dyDescent="0.25"/>
    <row r="56" spans="2:23" ht="39.75" customHeight="1" collapsed="1" x14ac:dyDescent="0.25"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5" t="str">
        <f ca="1">("Welcome "&amp;psUser)</f>
        <v>Welcome RECALC_0_100_</v>
      </c>
    </row>
    <row r="57" spans="2:23" ht="4.5" customHeight="1" x14ac:dyDescent="0.25"/>
    <row r="58" spans="2:23" ht="30" customHeight="1" x14ac:dyDescent="0.25">
      <c r="J58" s="4"/>
      <c r="K58" s="22" t="str">
        <f ca="1">$C$15</f>
        <v>The current scenario is "RECALC_0_230_" for the "RECALC_0_231_" Headline Year. Archive was done for "RECALC_0_484_" on scenario "RECALC_0_483_".</v>
      </c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4"/>
      <c r="W58" s="4"/>
    </row>
    <row r="59" spans="2:23" ht="4.5" customHeight="1" x14ac:dyDescent="0.25"/>
    <row r="63" spans="2:23" ht="24.75" customHeight="1" x14ac:dyDescent="0.25">
      <c r="J63" s="5"/>
      <c r="K63" s="5"/>
      <c r="L63" s="17" t="s">
        <v>49</v>
      </c>
      <c r="M63" s="17"/>
      <c r="N63" s="17"/>
      <c r="O63" s="17"/>
      <c r="P63" s="3"/>
      <c r="R63" s="6"/>
      <c r="S63" s="18" t="s">
        <v>50</v>
      </c>
      <c r="T63" s="18"/>
      <c r="U63" s="18"/>
      <c r="V63" s="18"/>
      <c r="W63" s="6"/>
    </row>
    <row r="64" spans="2:23" ht="4.5" customHeight="1" x14ac:dyDescent="0.25">
      <c r="J64" s="7"/>
      <c r="K64" s="7"/>
      <c r="L64" s="7"/>
      <c r="M64" s="7"/>
      <c r="N64" s="7"/>
      <c r="O64" s="7"/>
      <c r="P64" s="7"/>
      <c r="R64" s="7"/>
      <c r="S64" s="7"/>
      <c r="T64" s="7"/>
      <c r="U64" s="7"/>
      <c r="V64" s="7"/>
      <c r="W64" s="7"/>
    </row>
    <row r="65" spans="10:31" ht="19.5" customHeight="1" x14ac:dyDescent="0.25">
      <c r="J65" s="7"/>
      <c r="K65" s="7"/>
      <c r="L65" s="7"/>
      <c r="M65" s="7"/>
      <c r="N65" s="7"/>
      <c r="O65" s="7"/>
      <c r="P65" s="7"/>
      <c r="R65" s="7"/>
      <c r="S65" s="7"/>
      <c r="T65" s="7"/>
      <c r="U65" s="7"/>
      <c r="V65" s="7"/>
      <c r="W65" s="7"/>
    </row>
    <row r="66" spans="10:31" ht="4.5" customHeight="1" x14ac:dyDescent="0.25">
      <c r="J66" s="7"/>
      <c r="K66" s="7"/>
      <c r="L66" s="7"/>
      <c r="M66" s="7"/>
      <c r="N66" s="7"/>
      <c r="O66" s="7"/>
      <c r="P66" s="7"/>
      <c r="R66" s="7"/>
      <c r="S66" s="7"/>
      <c r="T66" s="7"/>
      <c r="U66" s="7"/>
      <c r="V66" s="7"/>
      <c r="W66" s="7"/>
    </row>
    <row r="67" spans="10:31" ht="19.5" customHeight="1" x14ac:dyDescent="0.25">
      <c r="J67" s="7"/>
      <c r="K67" s="7"/>
      <c r="L67" s="7"/>
      <c r="M67" s="7"/>
      <c r="N67" s="7"/>
      <c r="O67" s="7"/>
      <c r="P67" s="7"/>
      <c r="R67" s="7"/>
      <c r="S67" s="7"/>
      <c r="T67" s="7"/>
      <c r="U67" s="7"/>
      <c r="V67" s="7"/>
      <c r="W67" s="7"/>
      <c r="AE67" s="9"/>
    </row>
    <row r="68" spans="10:31" ht="4.5" customHeight="1" x14ac:dyDescent="0.25">
      <c r="J68" s="7"/>
      <c r="K68" s="7"/>
      <c r="L68" s="7"/>
      <c r="M68" s="7"/>
      <c r="N68" s="7"/>
      <c r="O68" s="7"/>
      <c r="P68" s="7"/>
      <c r="R68" s="7"/>
      <c r="S68" s="7"/>
      <c r="T68" s="7"/>
      <c r="U68" s="7"/>
      <c r="V68" s="7"/>
      <c r="W68" s="7"/>
    </row>
    <row r="69" spans="10:31" ht="19.5" customHeight="1" x14ac:dyDescent="0.25">
      <c r="J69" s="7"/>
      <c r="K69" s="7"/>
      <c r="L69" s="7"/>
      <c r="M69" s="7"/>
      <c r="N69" s="7"/>
      <c r="O69" s="7"/>
      <c r="P69" s="7"/>
      <c r="R69" s="7"/>
      <c r="S69" s="7"/>
      <c r="T69" s="7"/>
      <c r="U69" s="7"/>
      <c r="V69" s="7"/>
      <c r="W69" s="7"/>
      <c r="AE69" s="9"/>
    </row>
    <row r="70" spans="10:31" ht="4.5" customHeight="1" x14ac:dyDescent="0.25">
      <c r="J70" s="7"/>
      <c r="K70" s="7"/>
      <c r="L70" s="7"/>
      <c r="M70" s="7"/>
      <c r="N70" s="7"/>
      <c r="O70" s="7"/>
      <c r="P70" s="7"/>
      <c r="R70" s="7"/>
      <c r="S70" s="7"/>
      <c r="T70" s="7"/>
      <c r="U70" s="7"/>
      <c r="V70" s="7"/>
      <c r="W70" s="7"/>
    </row>
    <row r="71" spans="10:31" ht="19.5" customHeight="1" x14ac:dyDescent="0.25">
      <c r="J71" s="7"/>
      <c r="K71" s="7"/>
      <c r="L71" s="7"/>
      <c r="M71" s="7"/>
      <c r="N71" s="7"/>
      <c r="O71" s="7"/>
      <c r="P71" s="7"/>
      <c r="R71" s="7"/>
      <c r="S71" s="7"/>
      <c r="T71" s="7"/>
      <c r="U71" s="7"/>
      <c r="V71" s="7"/>
      <c r="W71" s="7"/>
      <c r="AE71" s="9"/>
    </row>
    <row r="72" spans="10:31" ht="15" customHeight="1" x14ac:dyDescent="0.25">
      <c r="J72" s="7"/>
      <c r="K72" s="7"/>
      <c r="L72" s="7"/>
      <c r="M72" s="7"/>
      <c r="N72" s="7"/>
      <c r="O72" s="7"/>
      <c r="P72" s="7"/>
      <c r="R72" s="7"/>
      <c r="S72" s="7"/>
      <c r="T72" s="7"/>
      <c r="U72" s="7"/>
      <c r="V72" s="7"/>
      <c r="W72" s="7"/>
    </row>
    <row r="73" spans="10:31" ht="15" customHeight="1" x14ac:dyDescent="0.25">
      <c r="J73" s="7"/>
      <c r="K73" s="7"/>
      <c r="L73" s="7"/>
      <c r="M73" s="7"/>
      <c r="N73" s="7"/>
      <c r="O73" s="7"/>
      <c r="P73" s="7"/>
      <c r="R73" s="7"/>
      <c r="S73" s="7"/>
      <c r="T73" s="7"/>
      <c r="U73" s="7"/>
      <c r="V73" s="7"/>
      <c r="W73" s="7"/>
    </row>
    <row r="74" spans="10:31" ht="4.5" customHeight="1" x14ac:dyDescent="0.25">
      <c r="J74" s="7"/>
      <c r="K74" s="7"/>
      <c r="L74" s="7"/>
      <c r="M74" s="7"/>
      <c r="N74" s="7"/>
      <c r="O74" s="7"/>
      <c r="P74" s="7"/>
      <c r="R74" s="7"/>
      <c r="S74" s="7"/>
      <c r="T74" s="7"/>
      <c r="U74" s="7"/>
      <c r="V74" s="7"/>
      <c r="W74" s="7"/>
    </row>
    <row r="75" spans="10:31" ht="15" customHeight="1" x14ac:dyDescent="0.25">
      <c r="J75" s="7"/>
      <c r="K75" s="7"/>
      <c r="L75" s="7"/>
      <c r="M75" s="7"/>
      <c r="N75" s="7"/>
      <c r="O75" s="7"/>
      <c r="P75" s="7"/>
      <c r="R75" s="7"/>
      <c r="S75" s="7"/>
      <c r="T75" s="7"/>
      <c r="U75" s="7"/>
      <c r="V75" s="7"/>
      <c r="W75" s="7"/>
    </row>
    <row r="76" spans="10:31" ht="4.5" customHeight="1" x14ac:dyDescent="0.25">
      <c r="J76" s="7"/>
      <c r="K76" s="7"/>
      <c r="L76" s="7"/>
      <c r="M76" s="7"/>
      <c r="N76" s="7"/>
      <c r="O76" s="7"/>
      <c r="P76" s="7"/>
      <c r="R76" s="7"/>
      <c r="S76" s="7"/>
      <c r="T76" s="7"/>
      <c r="U76" s="7"/>
      <c r="V76" s="7"/>
      <c r="W76" s="7"/>
    </row>
    <row r="77" spans="10:31" ht="15" customHeight="1" x14ac:dyDescent="0.25">
      <c r="J77" s="7"/>
      <c r="K77" s="7"/>
      <c r="L77" s="7"/>
      <c r="M77" s="7"/>
      <c r="N77" s="7"/>
      <c r="O77" s="7"/>
      <c r="P77" s="7"/>
      <c r="R77" s="7"/>
      <c r="S77" s="7"/>
      <c r="T77" s="7"/>
      <c r="U77" s="7"/>
      <c r="V77" s="7"/>
      <c r="W77" s="7"/>
    </row>
    <row r="78" spans="10:31" ht="4.5" customHeight="1" x14ac:dyDescent="0.25">
      <c r="J78" s="7"/>
      <c r="K78" s="7"/>
      <c r="L78" s="7"/>
      <c r="M78" s="7"/>
      <c r="N78" s="7"/>
      <c r="O78" s="7"/>
      <c r="P78" s="7"/>
      <c r="R78" s="7"/>
      <c r="S78" s="7"/>
      <c r="T78" s="7"/>
      <c r="U78" s="7"/>
      <c r="V78" s="7"/>
      <c r="W78" s="7"/>
    </row>
    <row r="79" spans="10:31" ht="15" customHeight="1" x14ac:dyDescent="0.25">
      <c r="J79" s="7"/>
      <c r="K79" s="7"/>
      <c r="L79" s="7"/>
      <c r="M79" s="7"/>
      <c r="N79" s="7"/>
      <c r="O79" s="7"/>
      <c r="P79" s="7"/>
      <c r="R79" s="7"/>
      <c r="S79" s="7"/>
      <c r="T79" s="7"/>
      <c r="U79" s="7"/>
      <c r="V79" s="7"/>
      <c r="W79" s="7"/>
    </row>
    <row r="80" spans="10:31" ht="4.5" customHeight="1" x14ac:dyDescent="0.25">
      <c r="J80" s="7"/>
      <c r="K80" s="7"/>
      <c r="L80" s="7"/>
      <c r="M80" s="7"/>
      <c r="N80" s="7"/>
      <c r="O80" s="7"/>
      <c r="P80" s="7"/>
      <c r="R80" s="7"/>
      <c r="S80" s="7"/>
      <c r="T80" s="7"/>
      <c r="U80" s="7"/>
      <c r="V80" s="7"/>
      <c r="W80" s="7"/>
    </row>
    <row r="81" spans="10:23" ht="15" customHeight="1" x14ac:dyDescent="0.25">
      <c r="J81" s="7"/>
      <c r="K81" s="7"/>
      <c r="L81" s="7"/>
      <c r="M81" s="7"/>
      <c r="N81" s="7"/>
      <c r="O81" s="7"/>
      <c r="P81" s="7"/>
      <c r="R81" s="7"/>
      <c r="S81" s="7"/>
      <c r="T81" s="7"/>
      <c r="U81" s="7"/>
      <c r="V81" s="7"/>
      <c r="W81" s="7"/>
    </row>
    <row r="82" spans="10:23" ht="4.5" customHeight="1" x14ac:dyDescent="0.25">
      <c r="J82" s="7"/>
      <c r="K82" s="7"/>
      <c r="L82" s="7"/>
      <c r="M82" s="7"/>
      <c r="N82" s="7"/>
      <c r="O82" s="7"/>
      <c r="P82" s="7"/>
      <c r="R82" s="7"/>
      <c r="S82" s="7"/>
      <c r="T82" s="7"/>
      <c r="U82" s="7"/>
      <c r="V82" s="7"/>
      <c r="W82" s="7"/>
    </row>
    <row r="83" spans="10:23" ht="15" customHeight="1" x14ac:dyDescent="0.25">
      <c r="J83" s="7"/>
      <c r="K83" s="7"/>
      <c r="L83" s="7"/>
      <c r="M83" s="7"/>
      <c r="N83" s="7"/>
      <c r="O83" s="7"/>
      <c r="P83" s="7"/>
      <c r="R83" s="7"/>
      <c r="S83" s="7"/>
      <c r="T83" s="7"/>
      <c r="U83" s="7"/>
      <c r="V83" s="7"/>
      <c r="W83" s="7"/>
    </row>
    <row r="84" spans="10:23" ht="4.5" customHeight="1" x14ac:dyDescent="0.25">
      <c r="J84" s="7"/>
      <c r="K84" s="7"/>
      <c r="L84" s="7"/>
      <c r="M84" s="7"/>
      <c r="N84" s="7"/>
      <c r="O84" s="7"/>
      <c r="P84" s="7"/>
      <c r="R84" s="7"/>
      <c r="S84" s="7"/>
      <c r="T84" s="7"/>
      <c r="U84" s="7"/>
      <c r="V84" s="7"/>
      <c r="W84" s="7"/>
    </row>
    <row r="85" spans="10:23" ht="15" customHeight="1" x14ac:dyDescent="0.25">
      <c r="J85" s="7"/>
      <c r="K85" s="7"/>
      <c r="L85" s="7"/>
      <c r="M85" s="7"/>
      <c r="N85" s="7"/>
      <c r="O85" s="7"/>
      <c r="P85" s="7"/>
      <c r="R85" s="7"/>
      <c r="S85" s="7"/>
      <c r="T85" s="7"/>
      <c r="U85" s="7"/>
      <c r="V85" s="7"/>
      <c r="W85" s="7"/>
    </row>
    <row r="86" spans="10:23" ht="4.5" customHeight="1" x14ac:dyDescent="0.25">
      <c r="J86" s="7"/>
      <c r="K86" s="7"/>
      <c r="L86" s="7"/>
      <c r="M86" s="7"/>
      <c r="N86" s="7"/>
      <c r="O86" s="7"/>
      <c r="P86" s="7"/>
      <c r="R86" s="7"/>
      <c r="S86" s="7"/>
      <c r="T86" s="7"/>
      <c r="U86" s="7"/>
      <c r="V86" s="7"/>
      <c r="W86" s="7"/>
    </row>
    <row r="87" spans="10:23" ht="15" customHeight="1" x14ac:dyDescent="0.25">
      <c r="J87" s="7"/>
      <c r="K87" s="7"/>
      <c r="L87" s="7"/>
      <c r="M87" s="7"/>
      <c r="N87" s="7"/>
      <c r="O87" s="7"/>
      <c r="P87" s="7"/>
      <c r="R87" s="7"/>
      <c r="S87" s="7"/>
      <c r="T87" s="7"/>
      <c r="U87" s="7"/>
      <c r="V87" s="7"/>
      <c r="W87" s="7"/>
    </row>
    <row r="88" spans="10:23" ht="4.5" customHeight="1" x14ac:dyDescent="0.25">
      <c r="J88" s="7"/>
      <c r="K88" s="7"/>
      <c r="L88" s="7"/>
      <c r="M88" s="7"/>
      <c r="N88" s="7"/>
      <c r="O88" s="7"/>
      <c r="P88" s="7"/>
      <c r="R88" s="7"/>
      <c r="S88" s="7"/>
      <c r="T88" s="7"/>
      <c r="U88" s="7"/>
      <c r="V88" s="7"/>
      <c r="W88" s="7"/>
    </row>
    <row r="89" spans="10:23" ht="15" customHeight="1" x14ac:dyDescent="0.25">
      <c r="J89" s="7"/>
      <c r="K89" s="7"/>
      <c r="L89" s="7"/>
      <c r="M89" s="7"/>
      <c r="N89" s="7"/>
      <c r="O89" s="7"/>
      <c r="P89" s="7"/>
      <c r="R89" s="7"/>
      <c r="S89" s="7"/>
      <c r="T89" s="7"/>
      <c r="U89" s="7"/>
      <c r="V89" s="7"/>
      <c r="W89" s="7"/>
    </row>
    <row r="90" spans="10:23" ht="4.5" customHeight="1" x14ac:dyDescent="0.25">
      <c r="J90" s="7"/>
      <c r="K90" s="7"/>
      <c r="L90" s="7"/>
      <c r="M90" s="7"/>
      <c r="N90" s="7"/>
      <c r="O90" s="7"/>
      <c r="P90" s="7"/>
      <c r="R90" s="7"/>
      <c r="S90" s="7"/>
      <c r="T90" s="7"/>
      <c r="U90" s="7"/>
      <c r="V90" s="7"/>
      <c r="W90" s="7"/>
    </row>
    <row r="91" spans="10:23" ht="15" customHeight="1" x14ac:dyDescent="0.25">
      <c r="J91" s="7"/>
      <c r="K91" s="7"/>
      <c r="L91" s="7"/>
      <c r="M91" s="7"/>
      <c r="N91" s="7"/>
      <c r="O91" s="7"/>
      <c r="P91" s="7"/>
      <c r="R91" s="7"/>
      <c r="S91" s="7"/>
      <c r="T91" s="7"/>
      <c r="U91" s="7"/>
      <c r="V91" s="7"/>
      <c r="W91" s="7"/>
    </row>
    <row r="92" spans="10:23" ht="15" customHeight="1" x14ac:dyDescent="0.25">
      <c r="K92" s="16" t="str">
        <f ca="1">("© Excelerated Consulting Pty Ltd 2001-"&amp;YEAR(NOW()))</f>
        <v>© Excelerated Consulting Pty Ltd 2001-2025</v>
      </c>
    </row>
  </sheetData>
  <sheetProtection sheet="1" objects="1" scenarios="1"/>
  <mergeCells count="8">
    <mergeCell ref="L63:O63"/>
    <mergeCell ref="S63:V63"/>
    <mergeCell ref="B1:D1"/>
    <mergeCell ref="B9:D9"/>
    <mergeCell ref="B17:D17"/>
    <mergeCell ref="B30:D30"/>
    <mergeCell ref="K58:U58"/>
    <mergeCell ref="B25:D25"/>
  </mergeCells>
  <conditionalFormatting sqref="R63:W63">
    <cfRule type="expression" dxfId="0" priority="1">
      <formula>$C$30="gbms-reporting"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5" customHeight="1" x14ac:dyDescent="0.25"/>
  <sheetData>
    <row r="1" spans="1:1" ht="15" customHeight="1" x14ac:dyDescent="0.25">
      <c r="A1" t="s">
        <v>51</v>
      </c>
    </row>
    <row r="2" spans="1:1" ht="15" customHeight="1" x14ac:dyDescent="0.25">
      <c r="A2" t="s">
        <v>40</v>
      </c>
    </row>
    <row r="3" spans="1:1" ht="15" customHeight="1" x14ac:dyDescent="0.25">
      <c r="A3" t="s">
        <v>52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Menu</vt:lpstr>
      <vt:lpstr>{PL}PickLst</vt:lpstr>
      <vt:lpstr>db_name</vt:lpstr>
      <vt:lpstr>home</vt:lpstr>
      <vt:lpstr>Menu</vt:lpstr>
      <vt:lpstr>psHLYear</vt:lpstr>
      <vt:lpstr>psScenario</vt:lpstr>
      <vt:lpstr>psUser</vt:lpstr>
      <vt:lpstr>TM1AdjIDListCAP</vt:lpstr>
      <vt:lpstr>TM1AdjIDListWB</vt:lpstr>
      <vt:lpstr>TM1BulkProcessCAP</vt:lpstr>
      <vt:lpstr>TM1BulkProcessWB</vt:lpstr>
      <vt:lpstr>TM1BulkProcessWS</vt:lpstr>
      <vt:lpstr>TM1EDCAP</vt:lpstr>
      <vt:lpstr>TM1EDWB</vt:lpstr>
      <vt:lpstr>TM1EDWS</vt:lpstr>
      <vt:lpstr>TM1FailMsg</vt:lpstr>
      <vt:lpstr>TM1FE3CAP</vt:lpstr>
      <vt:lpstr>TM1FE3WB</vt:lpstr>
      <vt:lpstr>TM1FE3WS</vt:lpstr>
      <vt:lpstr>TM1HomeAdminCAP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TM1HomeAECDMCAP</vt:lpstr>
      <vt:lpstr>TM1HomeAECDMWB</vt:lpstr>
      <vt:lpstr>TM1HomeAECDMWS</vt:lpstr>
      <vt:lpstr>TM1HomeAEDataEntryCAP</vt:lpstr>
      <vt:lpstr>TM1HomeAEDataEntryWB</vt:lpstr>
      <vt:lpstr>TM1HomeAEDataEntryWS</vt:lpstr>
      <vt:lpstr>TM1HomeAEFFCAP</vt:lpstr>
      <vt:lpstr>TM1HomeAEFFWB</vt:lpstr>
      <vt:lpstr>TM1HomeAEFFWS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TM1IndexWB</vt:lpstr>
      <vt:lpstr>TM1IndexWS</vt:lpstr>
      <vt:lpstr>TM1NewAdj01HeaderCAP</vt:lpstr>
      <vt:lpstr>TM1NewAdj01HeaderWB</vt:lpstr>
      <vt:lpstr>TM1NewAdj01HeaderWS</vt:lpstr>
      <vt:lpstr>TM1NewAdj97UploadCAP</vt:lpstr>
      <vt:lpstr>TM1NewAdj97UploadWB</vt:lpstr>
      <vt:lpstr>TM1NewAdj97UploadWS</vt:lpstr>
      <vt:lpstr>TM1OkMsg</vt:lpstr>
      <vt:lpstr>TM1ProgTransferCAP</vt:lpstr>
      <vt:lpstr>TM1ProgTransferWB</vt:lpstr>
      <vt:lpstr>TM1ProgTransferWS</vt:lpstr>
      <vt:lpstr>TM1PromptMsg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2023-04-03T03:52:46Z</dcterms:created>
  <dcterms:modified xsi:type="dcterms:W3CDTF">2025-08-11T02:59:40Z</dcterms:modified>
  <cp:category/>
  <cp:contentStatus/>
</cp:coreProperties>
</file>