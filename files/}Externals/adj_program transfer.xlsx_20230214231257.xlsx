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4.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autoCompressPictures="0" defaultThemeVersion="166925"/>
  <mc:AlternateContent xmlns:mc="http://schemas.openxmlformats.org/markup-compatibility/2006">
    <mc:Choice Requires="x15">
      <x15ac:absPath xmlns:x15ac="http://schemas.microsoft.com/office/spreadsheetml/2010/11/ac" url="C:\Users\khe\Test_Repository\files\}Externals\"/>
    </mc:Choice>
  </mc:AlternateContent>
  <xr:revisionPtr revIDLastSave="0" documentId="8_{9A83286F-A0CF-4DC7-9CF2-BCDF8C9C8136}" xr6:coauthVersionLast="47" xr6:coauthVersionMax="47" xr10:uidLastSave="{00000000-0000-0000-0000-000000000000}"/>
  <bookViews>
    <workbookView xWindow="29580" yWindow="780" windowWidth="21600" windowHeight="11385" xr2:uid="{00000000-000D-0000-FFFF-FFFF00000000}"/>
  </bookViews>
  <sheets>
    <sheet name="transfer" sheetId="1" r:id="rId1"/>
    <sheet name="{PL}PickLst" sheetId="2" state="hidden" r:id="rId2"/>
  </sheets>
  <definedNames>
    <definedName name="curHLYr">transfer!$B$18</definedName>
    <definedName name="curScenario">transfer!$B$19</definedName>
    <definedName name="db_name">transfer!$B$9</definedName>
    <definedName name="Freeze_here">transfer!$A$126</definedName>
    <definedName name="psApp">transfer!$B$57</definedName>
    <definedName name="psCreateAdjByMeasures">transfer!$O$114</definedName>
    <definedName name="psFFType">transfer!$B$80</definedName>
    <definedName name="psHLyear">transfer!$I$114</definedName>
    <definedName name="psScenario">transfer!$K$114</definedName>
    <definedName name="psSrcProg">transfer!$I$115</definedName>
    <definedName name="psStartYr">transfer!$I$117</definedName>
    <definedName name="psTrgAccDepnMA">transfer!$I$120</definedName>
    <definedName name="psTrgAccDepnROUMA">transfer!$I$122</definedName>
    <definedName name="psTrgEQTMA">transfer!$I$118</definedName>
    <definedName name="psTrgGrossValMA">transfer!$I$119</definedName>
    <definedName name="psTrgGrossValROUMA">transfer!$I$121</definedName>
    <definedName name="psTrgProg">transfer!$I$116</definedName>
    <definedName name="psUser">transfer!$B$11</definedName>
    <definedName name="TM1AdjIDListCAP">transfer!$C$62</definedName>
    <definedName name="TM1AdjIDListWB">transfer!$E$62</definedName>
    <definedName name="TM1AdjIDListWS">transfer!$G$62</definedName>
    <definedName name="TM1CLEARAB_Confirm">transfer!$B$78</definedName>
    <definedName name="TM1CLEARAB_Success">transfer!$B$79</definedName>
    <definedName name="TM1HomeAECAP">transfer!$C$60</definedName>
    <definedName name="TM1HomeAEDataEntryCAP">transfer!$C$61</definedName>
    <definedName name="TM1HomeAEDataEntryWB">transfer!$E$61</definedName>
    <definedName name="TM1HomeAEDataEntryWS">transfer!$G$61</definedName>
    <definedName name="TM1HomeAEWB">transfer!$E$60</definedName>
    <definedName name="TM1HomeAEWS">transfer!$G$60</definedName>
    <definedName name="TM1HomeCAP">transfer!$C$59</definedName>
    <definedName name="TM1HomeWB">transfer!$E$59</definedName>
    <definedName name="TM1HomeWS">transfer!$G$59</definedName>
    <definedName name="TM1REBUILDOPTION">0</definedName>
    <definedName name="TM1RPTDATARNG1" localSheetId="0">transfer!$130:$130</definedName>
    <definedName name="TM1RPTDATARNGARPT1" localSheetId="0">transfer!$137:$137</definedName>
    <definedName name="TM1RPTFMTIDCOL" localSheetId="0">transfer!$A$1:$A$8</definedName>
    <definedName name="TM1RPTFMTRNG" localSheetId="0">transfer!$H$1:$O$8</definedName>
    <definedName name="TM1UploadAB_Confirm">transfer!$B$77</definedName>
    <definedName name="TM1UploadAB_Fail">transfer!$B$76</definedName>
    <definedName name="TM1UploadAB_Success">transfer!$B$75</definedName>
    <definedName name="TM1UploadTempCAP">transfer!$C$63</definedName>
    <definedName name="TM1UploadTempWB">transfer!$E$63</definedName>
    <definedName name="TM1UploadTempWS">transfer!$G$63</definedName>
  </definedNames>
  <calcPr calcId="181029" calcMode="manual" calcCompleted="0" calcOnSave="0"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15" i="1" l="1"/>
  <c r="B50" i="1"/>
  <c r="B51" i="1"/>
  <c r="I116" i="1"/>
  <c r="C50" i="1"/>
  <c r="C51" i="1"/>
  <c r="M115" i="1"/>
  <c r="A82" i="1"/>
  <c r="B17" i="1"/>
  <c r="B18" i="1"/>
  <c r="B83" i="1"/>
  <c r="B19" i="1"/>
  <c r="B84" i="1"/>
  <c r="B85" i="1"/>
  <c r="B86" i="1"/>
  <c r="B93" i="1"/>
  <c r="B87" i="1"/>
  <c r="B88" i="1"/>
  <c r="B95" i="1"/>
  <c r="B89" i="1"/>
  <c r="B90" i="1"/>
  <c r="B91" i="1"/>
  <c r="I126" i="1"/>
  <c r="B94" i="1"/>
  <c r="B28" i="1"/>
  <c r="A100" i="1"/>
  <c r="A103" i="1"/>
  <c r="O128" i="1"/>
  <c r="A102" i="1"/>
  <c r="N128" i="1"/>
  <c r="A101" i="1"/>
  <c r="M128" i="1"/>
  <c r="L128" i="1"/>
  <c r="A99" i="1"/>
  <c r="K128" i="1"/>
  <c r="B82" i="1"/>
  <c r="I133" i="1"/>
  <c r="B48" i="1"/>
  <c r="B52" i="1"/>
  <c r="M126" i="1"/>
  <c r="B53" i="1"/>
  <c r="M133" i="1"/>
  <c r="B31" i="1"/>
  <c r="B11" i="1"/>
  <c r="B33" i="1"/>
  <c r="C33" i="1"/>
  <c r="D33" i="1"/>
  <c r="C37" i="1"/>
  <c r="B32" i="1"/>
  <c r="C32" i="1"/>
  <c r="D32" i="1"/>
  <c r="B37" i="1"/>
  <c r="B36" i="1"/>
  <c r="J137" i="1"/>
  <c r="H137" i="1"/>
  <c r="I137" i="1"/>
  <c r="O137" i="1"/>
  <c r="N137" i="1"/>
  <c r="M137" i="1"/>
  <c r="L137" i="1"/>
  <c r="K137" i="1"/>
  <c r="A137" i="1"/>
  <c r="O135" i="1"/>
  <c r="N135" i="1"/>
  <c r="M135" i="1"/>
  <c r="L135" i="1"/>
  <c r="K135" i="1"/>
  <c r="J130" i="1"/>
  <c r="H130" i="1"/>
  <c r="I130" i="1"/>
  <c r="O130" i="1"/>
  <c r="N130" i="1"/>
  <c r="M130" i="1"/>
  <c r="L130" i="1"/>
  <c r="K130" i="1"/>
  <c r="A130" i="1"/>
  <c r="B27" i="1"/>
  <c r="I122" i="1"/>
  <c r="B25" i="1"/>
  <c r="I120" i="1"/>
  <c r="B26" i="1"/>
  <c r="I121" i="1"/>
  <c r="B24" i="1"/>
  <c r="I119" i="1"/>
  <c r="B23" i="1"/>
  <c r="I118" i="1"/>
  <c r="I117" i="1"/>
  <c r="O114" i="1"/>
  <c r="K114" i="1"/>
  <c r="I114" i="1"/>
  <c r="B92" i="1"/>
  <c r="B66" i="1"/>
  <c r="C72" i="1"/>
  <c r="B72" i="1"/>
  <c r="C71" i="1"/>
  <c r="B71" i="1"/>
  <c r="C70" i="1"/>
  <c r="B70" i="1"/>
  <c r="C69" i="1"/>
  <c r="B69" i="1"/>
  <c r="B68" i="1"/>
  <c r="B56" i="1"/>
  <c r="G63" i="1"/>
  <c r="F63" i="1"/>
  <c r="E63" i="1"/>
  <c r="D63" i="1"/>
  <c r="C63" i="1"/>
  <c r="B63" i="1"/>
  <c r="G62" i="1"/>
  <c r="F62" i="1"/>
  <c r="E62" i="1"/>
  <c r="D62" i="1"/>
  <c r="C62" i="1"/>
  <c r="B62" i="1"/>
  <c r="G61" i="1"/>
  <c r="F61" i="1"/>
  <c r="E61" i="1"/>
  <c r="D61" i="1"/>
  <c r="C61" i="1"/>
  <c r="B61" i="1"/>
  <c r="G60" i="1"/>
  <c r="F60" i="1"/>
  <c r="E60" i="1"/>
  <c r="D60" i="1"/>
  <c r="C60" i="1"/>
  <c r="B60" i="1"/>
  <c r="G59" i="1"/>
  <c r="F59" i="1"/>
  <c r="E59" i="1"/>
  <c r="D59" i="1"/>
  <c r="C59" i="1"/>
  <c r="B59" i="1"/>
  <c r="B44" i="1"/>
  <c r="B43" i="1"/>
  <c r="B42" i="1"/>
  <c r="C36" i="1"/>
  <c r="B22" i="1"/>
  <c r="B21" i="1"/>
  <c r="B20" i="1"/>
  <c r="B10" i="1"/>
  <c r="B12" i="1"/>
  <c r="B14" i="1"/>
  <c r="B13" i="1"/>
  <c r="A5" i="1"/>
  <c r="A4" i="1"/>
  <c r="A3" i="1"/>
  <c r="A2" i="1"/>
</calcChain>
</file>

<file path=xl/sharedStrings.xml><?xml version="1.0" encoding="utf-8"?>
<sst xmlns="http://schemas.openxmlformats.org/spreadsheetml/2006/main" count="143" uniqueCount="133">
  <si>
    <t xml:space="preserve">New Adjustment ID : </t>
  </si>
  <si>
    <t xml:space="preserve">ESTIMATES CLEARING SUMMARY (Source Program) : </t>
  </si>
  <si>
    <t xml:space="preserve">Target Acculated Depreciation ROU Movement Account : </t>
  </si>
  <si>
    <t xml:space="preserve">Target Acculated Depreciation Movement  Account : </t>
  </si>
  <si>
    <t xml:space="preserve">Target Gross Value ROU Movement Account : </t>
  </si>
  <si>
    <t>Note : Pleasae leave the movement account as default if not applicable.</t>
  </si>
  <si>
    <t xml:space="preserve">Target Gross Value Movement  Account  : </t>
  </si>
  <si>
    <t xml:space="preserve">Target Equity Movement Account : </t>
  </si>
  <si>
    <t xml:space="preserve">First Year to Transfer : </t>
  </si>
  <si>
    <t xml:space="preserve">TRANSFER TO                                           (Target Program) : </t>
  </si>
  <si>
    <t xml:space="preserve">TRANSFER FROM                                   (Source Program) : </t>
  </si>
  <si>
    <t>Homepage - Annual Estimates - Data Entry</t>
  </si>
  <si>
    <t>sys_shared directory</t>
  </si>
  <si>
    <t xml:space="preserve">Create Adj By Measures? : </t>
  </si>
  <si>
    <t xml:space="preserve">Scenario : </t>
  </si>
  <si>
    <t xml:space="preserve">Headline Year : </t>
  </si>
  <si>
    <t>ADJ PARAMETERS</t>
  </si>
  <si>
    <t>TRANSFER PARAMETERS</t>
  </si>
  <si>
    <t>Procedure:</t>
  </si>
  <si>
    <t>Program Transfer</t>
  </si>
  <si>
    <t>Period Variables</t>
  </si>
  <si>
    <t>spp</t>
  </si>
  <si>
    <t>jurisdiction</t>
  </si>
  <si>
    <t>related entity</t>
  </si>
  <si>
    <t>id</t>
  </si>
  <si>
    <t>appropriation item</t>
  </si>
  <si>
    <t>appropriation type</t>
  </si>
  <si>
    <t>measure code</t>
  </si>
  <si>
    <t>reason</t>
  </si>
  <si>
    <t>function</t>
  </si>
  <si>
    <t>outcome</t>
  </si>
  <si>
    <t>status</t>
  </si>
  <si>
    <t>scenario</t>
  </si>
  <si>
    <t>Standard CBMS</t>
  </si>
  <si>
    <t>psFFType</t>
  </si>
  <si>
    <t xml:space="preserve">Are you sure you want to transfer programme estimates from Source to Target? </t>
  </si>
  <si>
    <t>Process FAILED. Please review error logs.</t>
  </si>
  <si>
    <t>Failure</t>
  </si>
  <si>
    <t>Programme transfer was successfully processed. Please go to AE listing to review adjustments.</t>
  </si>
  <si>
    <t>Action Button Messages and Parameters</t>
  </si>
  <si>
    <t>sys_ImpFileValidation</t>
  </si>
  <si>
    <t>geus adj</t>
  </si>
  <si>
    <t>geus scenario</t>
  </si>
  <si>
    <t>geus hl year</t>
  </si>
  <si>
    <t>sys_client preference measure</t>
  </si>
  <si>
    <t>validate</t>
  </si>
  <si>
    <t>value</t>
  </si>
  <si>
    <t>Client Preference</t>
  </si>
  <si>
    <t>Data Entry - Upload Template</t>
  </si>
  <si>
    <t>Adjustment - ID List</t>
  </si>
  <si>
    <t>Homepage - Annual Estimates</t>
  </si>
  <si>
    <t>Homepage - Home</t>
  </si>
  <si>
    <t>Worksheet</t>
  </si>
  <si>
    <t>Worksheet Name</t>
  </si>
  <si>
    <t>Workbook</t>
  </si>
  <si>
    <t>Workbook Name</t>
  </si>
  <si>
    <t>Caption</t>
  </si>
  <si>
    <t>Caption Name</t>
  </si>
  <si>
    <t>Application</t>
  </si>
  <si>
    <t>Current Workbook</t>
  </si>
  <si>
    <t>Slice View (sys_application)</t>
  </si>
  <si>
    <t>sys_application MDX</t>
  </si>
  <si>
    <t>Hyperlink File Path</t>
  </si>
  <si>
    <t>sys_Web URL Linked Folder</t>
  </si>
  <si>
    <t>sys_Web URL</t>
  </si>
  <si>
    <t>{[movement account].[Total movement]}</t>
  </si>
  <si>
    <t>MDX - Movement Account</t>
  </si>
  <si>
    <t>MDX - After</t>
  </si>
  <si>
    <t>MDX - Adjustment</t>
  </si>
  <si>
    <t>MDX - Before</t>
  </si>
  <si>
    <t>TarProg</t>
  </si>
  <si>
    <t>Src Prog</t>
  </si>
  <si>
    <t>progtrf_TarProgID</t>
  </si>
  <si>
    <t>progtrf_SrcProgID</t>
  </si>
  <si>
    <t>Default Start Year</t>
  </si>
  <si>
    <t>progtrf_Acc Depn ROU Movement Account</t>
  </si>
  <si>
    <t>progtrf_Gross Value ROU Movement Account</t>
  </si>
  <si>
    <t>progtrf_Acc Depn Movement Account</t>
  </si>
  <si>
    <t>progtrf_Gross Value Movement Account</t>
  </si>
  <si>
    <t>progtrf_Equity Movement Account</t>
  </si>
  <si>
    <t>sys_upload directory</t>
  </si>
  <si>
    <t>save location</t>
  </si>
  <si>
    <t>current budget round</t>
  </si>
  <si>
    <t>headline scenario</t>
  </si>
  <si>
    <t>headline year</t>
  </si>
  <si>
    <t>View</t>
  </si>
  <si>
    <t>System Variables</t>
  </si>
  <si>
    <t>Current User</t>
  </si>
  <si>
    <t>GEUS User Name</t>
  </si>
  <si>
    <t>}TM1_DefaultDisplayValue</t>
  </si>
  <si>
    <t>TM1 User</t>
  </si>
  <si>
    <t>}Clients</t>
  </si>
  <si>
    <t>Database Name</t>
  </si>
  <si>
    <t>[End Format Range]</t>
  </si>
  <si>
    <t>N</t>
  </si>
  <si>
    <t>D</t>
  </si>
  <si>
    <t>[Begin Format Range]</t>
  </si>
  <si>
    <t>Primary Financial Statement</t>
  </si>
  <si>
    <t>ID</t>
  </si>
  <si>
    <t>Movement Account</t>
  </si>
  <si>
    <t>RB     $'000</t>
  </si>
  <si>
    <t>NB    $'000</t>
  </si>
  <si>
    <t>FE1   $'000</t>
  </si>
  <si>
    <t>FE2   $'000</t>
  </si>
  <si>
    <t>FE3   $'000</t>
  </si>
  <si>
    <t xml:space="preserve">ESTIMATES TRANSFER SUMMARY  (Target Program) : </t>
  </si>
  <si>
    <t>New Adjustment ID :</t>
  </si>
  <si>
    <t>Adjustment - Programme Transfers</t>
  </si>
  <si>
    <t>Select Transfer and Adjustment parameters. Press Refresh to view Source and Target Program summary. After Transfer, review Target program summary. If OK, Clear Source</t>
  </si>
  <si>
    <t>Program Details</t>
  </si>
  <si>
    <t>Slice View</t>
  </si>
  <si>
    <t>Clearing Adjustments</t>
  </si>
  <si>
    <t>Transfer Adjustments</t>
  </si>
  <si>
    <t>PEFO</t>
  </si>
  <si>
    <t>MYEFO</t>
  </si>
  <si>
    <t>Additional Estimates</t>
  </si>
  <si>
    <t>Pre-ERC</t>
  </si>
  <si>
    <t>Budget</t>
  </si>
  <si>
    <t>Appropriation Bills</t>
  </si>
  <si>
    <t>Economic Update</t>
  </si>
  <si>
    <t>current</t>
  </si>
  <si>
    <t>Transfer Confirmation</t>
  </si>
  <si>
    <t>Clear Source Confirmation</t>
  </si>
  <si>
    <t xml:space="preserve">Are you sure you want to clear estimates from the Source Program? </t>
  </si>
  <si>
    <t>Transfer Success</t>
  </si>
  <si>
    <t>Clear Source Success</t>
  </si>
  <si>
    <t>Source Program estimates were successfully cleared. Please go to AE listing to review adjustments.</t>
  </si>
  <si>
    <t>Source</t>
  </si>
  <si>
    <t>Target</t>
  </si>
  <si>
    <t>Programme</t>
  </si>
  <si>
    <t>Element Level</t>
  </si>
  <si>
    <t>First year default is the next Budget year. Change if required.</t>
  </si>
  <si>
    <t>finance_geus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</si>
</sst>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_-* #,##0_-;[Red]* \(#,##0\)_-;_-* &quot;-&quot;??_-;_-@_-"/>
    <numFmt numFmtId="169" formatCode="&quot;- &quot;@"/>
    <numFmt numFmtId="170" formatCode="&quot;+ &quot;@"/>
  </numFmts>
  <fonts count="15" x14ac:knownFonts="1">
    <font>
      <sz val="11"/>
      <color theme="1"/>
      <name val="Calibri"/>
      <family val="2"/>
      <scheme val="minor"/>
    </font>
    <font>
      <sz val="10"/>
      <color theme="1"/>
      <name val="Arial"/>
      <family val="2"/>
    </font>
    <font>
      <b/>
      <sz val="11"/>
      <color theme="1"/>
      <name val="Calibri"/>
      <family val="2"/>
      <scheme val="minor"/>
    </font>
    <font>
      <b/>
      <sz val="11"/>
      <color rgb="FFFFFFFF"/>
      <name val="Calibri"/>
      <family val="2"/>
      <scheme val="minor"/>
    </font>
    <font>
      <sz val="9"/>
      <color theme="1"/>
      <name val="Calibri"/>
      <family val="2"/>
      <scheme val="minor"/>
    </font>
    <font>
      <b/>
      <sz val="28"/>
      <color theme="0"/>
      <name val="Calibri"/>
      <family val="2"/>
      <scheme val="minor"/>
    </font>
    <font>
      <sz val="11"/>
      <name val="Calibri"/>
      <family val="2"/>
      <scheme val="minor"/>
    </font>
    <font>
      <b/>
      <sz val="11"/>
      <color rgb="FF0070C0"/>
      <name val="Calibri"/>
      <family val="2"/>
      <scheme val="minor"/>
    </font>
    <font>
      <i/>
      <sz val="11"/>
      <color rgb="FFFF0000"/>
      <name val="Calibri"/>
      <family val="2"/>
      <scheme val="minor"/>
    </font>
    <font>
      <b/>
      <sz val="11"/>
      <color theme="0"/>
      <name val="Calibri"/>
      <family val="2"/>
      <scheme val="minor"/>
    </font>
    <font>
      <b/>
      <sz val="11"/>
      <name val="Calibri"/>
      <family val="2"/>
      <scheme val="minor"/>
    </font>
    <font>
      <sz val="10"/>
      <color rgb="FFFF0000"/>
      <name val="Calibri"/>
      <family val="2"/>
      <scheme val="minor"/>
    </font>
    <font>
      <b/>
      <i/>
      <sz val="10"/>
      <color rgb="FFFF0000"/>
      <name val="Calibri"/>
      <family val="2"/>
      <scheme val="minor"/>
    </font>
    <font>
      <sz val="10"/>
      <color rgb="FFFF0000"/>
      <name val="Calibri"/>
      <family val="2"/>
    </font>
    <font>
      <sz val="11"/>
      <color theme="1"/>
      <name val="Calibri"/>
      <family val="2"/>
      <scheme val="minor"/>
    </font>
  </fonts>
  <fills count="10">
    <fill>
      <patternFill patternType="none"/>
    </fill>
    <fill>
      <patternFill patternType="gray125"/>
    </fill>
    <fill>
      <patternFill patternType="solid">
        <fgColor rgb="FFBDD6E7"/>
        <bgColor indexed="64"/>
      </patternFill>
    </fill>
    <fill>
      <patternFill patternType="solid">
        <fgColor rgb="FFFFFFCC"/>
        <bgColor indexed="64"/>
      </patternFill>
    </fill>
    <fill>
      <patternFill patternType="solid">
        <fgColor theme="0" tint="-0.1498764000366222"/>
        <bgColor indexed="64"/>
      </patternFill>
    </fill>
    <fill>
      <patternFill patternType="solid">
        <fgColor rgb="FF00426A"/>
        <bgColor indexed="64"/>
      </patternFill>
    </fill>
    <fill>
      <patternFill patternType="solid">
        <fgColor theme="0" tint="-0.14990691854609822"/>
        <bgColor indexed="64"/>
      </patternFill>
    </fill>
    <fill>
      <patternFill patternType="solid">
        <fgColor theme="0" tint="-0.24988555558946501"/>
        <bgColor indexed="64"/>
      </patternFill>
    </fill>
    <fill>
      <patternFill patternType="solid">
        <fgColor rgb="FF333F48"/>
        <bgColor indexed="64"/>
      </patternFill>
    </fill>
    <fill>
      <patternFill patternType="solid">
        <fgColor theme="9" tint="0.59999389629810485"/>
        <bgColor indexed="64"/>
      </patternFill>
    </fill>
  </fills>
  <borders count="12">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right/>
      <top style="thin">
        <color auto="1"/>
      </top>
      <bottom/>
      <diagonal/>
    </border>
    <border>
      <left/>
      <right/>
      <top/>
      <bottom style="thin">
        <color auto="1"/>
      </bottom>
      <diagonal/>
    </border>
    <border>
      <left style="thin">
        <color auto="1"/>
      </left>
      <right/>
      <top style="thin">
        <color auto="1"/>
      </top>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167" fontId="14" fillId="0" borderId="0" applyFont="0" applyFill="0" applyBorder="0" applyAlignment="0" applyProtection="0"/>
  </cellStyleXfs>
  <cellXfs count="74">
    <xf numFmtId="0" fontId="0" fillId="0" borderId="0" xfId="0"/>
    <xf numFmtId="0" fontId="0" fillId="2" borderId="1" xfId="0" applyFill="1" applyBorder="1"/>
    <xf numFmtId="0" fontId="0" fillId="3" borderId="0" xfId="0" applyFill="1"/>
    <xf numFmtId="0" fontId="4" fillId="3" borderId="0" xfId="0" applyFont="1" applyFill="1"/>
    <xf numFmtId="0" fontId="2" fillId="0" borderId="2" xfId="0" applyFont="1" applyBorder="1"/>
    <xf numFmtId="0" fontId="0" fillId="0" borderId="2" xfId="0" applyBorder="1" applyAlignment="1">
      <alignment horizontal="center"/>
    </xf>
    <xf numFmtId="0" fontId="0" fillId="0" borderId="3" xfId="0" applyBorder="1"/>
    <xf numFmtId="0" fontId="0" fillId="0" borderId="2" xfId="0" applyBorder="1" applyAlignment="1">
      <alignment horizontal="left"/>
    </xf>
    <xf numFmtId="0" fontId="0" fillId="0" borderId="2" xfId="0" applyBorder="1"/>
    <xf numFmtId="0" fontId="2" fillId="4" borderId="4" xfId="0" applyFont="1" applyFill="1" applyBorder="1"/>
    <xf numFmtId="0" fontId="2" fillId="4" borderId="5" xfId="0" applyFont="1" applyFill="1" applyBorder="1"/>
    <xf numFmtId="0" fontId="2" fillId="4" borderId="3" xfId="0" applyFont="1" applyFill="1" applyBorder="1"/>
    <xf numFmtId="0" fontId="2" fillId="4" borderId="1" xfId="0" applyFont="1" applyFill="1" applyBorder="1"/>
    <xf numFmtId="0" fontId="2" fillId="4" borderId="6" xfId="0" applyFont="1" applyFill="1" applyBorder="1"/>
    <xf numFmtId="0" fontId="2" fillId="0" borderId="2" xfId="0" applyFont="1" applyBorder="1" applyAlignment="1">
      <alignment horizontal="center"/>
    </xf>
    <xf numFmtId="0" fontId="0" fillId="2" borderId="0" xfId="0" applyFill="1"/>
    <xf numFmtId="0" fontId="5" fillId="5" borderId="0" xfId="0" applyFont="1" applyFill="1" applyAlignment="1">
      <alignment horizontal="right" vertical="center"/>
    </xf>
    <xf numFmtId="0" fontId="2" fillId="0" borderId="0" xfId="0" applyFont="1" applyAlignment="1">
      <alignment horizontal="right" indent="1"/>
    </xf>
    <xf numFmtId="0" fontId="6" fillId="0" borderId="0" xfId="0" applyFont="1" applyAlignment="1">
      <alignment horizontal="left" indent="1"/>
    </xf>
    <xf numFmtId="0" fontId="7" fillId="0" borderId="0" xfId="0" applyFont="1" applyAlignment="1">
      <alignment horizontal="right" vertical="top" wrapText="1"/>
    </xf>
    <xf numFmtId="0" fontId="2" fillId="0" borderId="0" xfId="0" applyFont="1" applyAlignment="1">
      <alignment horizontal="right" vertical="top" wrapText="1"/>
    </xf>
    <xf numFmtId="168" fontId="4" fillId="0" borderId="7" xfId="6" applyNumberFormat="1" applyFont="1" applyBorder="1"/>
    <xf numFmtId="168" fontId="4" fillId="0" borderId="0" xfId="6" applyNumberFormat="1" applyFont="1"/>
    <xf numFmtId="168" fontId="4" fillId="0" borderId="8" xfId="6" applyNumberFormat="1" applyFont="1" applyBorder="1"/>
    <xf numFmtId="0" fontId="4" fillId="0" borderId="1" xfId="0" applyFont="1" applyBorder="1"/>
    <xf numFmtId="0" fontId="3" fillId="5" borderId="0" xfId="0" applyFont="1" applyFill="1" applyAlignment="1">
      <alignment horizontal="center"/>
    </xf>
    <xf numFmtId="0" fontId="4" fillId="0" borderId="0" xfId="0" applyFont="1"/>
    <xf numFmtId="0" fontId="3" fillId="5" borderId="0" xfId="0" applyFont="1" applyFill="1" applyAlignment="1">
      <alignment horizontal="center" wrapText="1"/>
    </xf>
    <xf numFmtId="0" fontId="6" fillId="0" borderId="0" xfId="0" applyFont="1" applyAlignment="1">
      <alignment horizontal="left" vertical="top" wrapText="1"/>
    </xf>
    <xf numFmtId="0" fontId="0" fillId="0" borderId="9" xfId="0" applyBorder="1"/>
    <xf numFmtId="0" fontId="2" fillId="0" borderId="0" xfId="0" applyFont="1" applyAlignment="1">
      <alignment horizontal="right" vertical="top"/>
    </xf>
    <xf numFmtId="0" fontId="9" fillId="5" borderId="0" xfId="0" applyFont="1" applyFill="1" applyAlignment="1">
      <alignment horizontal="center"/>
    </xf>
    <xf numFmtId="0" fontId="2" fillId="6" borderId="2" xfId="0" applyFont="1" applyFill="1" applyBorder="1"/>
    <xf numFmtId="0" fontId="2" fillId="7" borderId="2" xfId="0" applyFont="1" applyFill="1" applyBorder="1"/>
    <xf numFmtId="0" fontId="0" fillId="7" borderId="2" xfId="0" applyFill="1" applyBorder="1"/>
    <xf numFmtId="0" fontId="2" fillId="0" borderId="0" xfId="0" applyFont="1" applyAlignment="1">
      <alignment horizontal="right"/>
    </xf>
    <xf numFmtId="0" fontId="2" fillId="0" borderId="0" xfId="0" applyFont="1" applyAlignment="1">
      <alignment horizontal="left" vertical="top" indent="4"/>
    </xf>
    <xf numFmtId="0" fontId="10" fillId="6" borderId="2" xfId="0" applyFont="1" applyFill="1" applyBorder="1"/>
    <xf numFmtId="0" fontId="2" fillId="0" borderId="0" xfId="0" applyFont="1" applyAlignment="1">
      <alignment horizontal="right" vertical="center"/>
    </xf>
    <xf numFmtId="0" fontId="12" fillId="0" borderId="0" xfId="0" applyFont="1" applyAlignment="1">
      <alignment horizontal="right" vertical="top"/>
    </xf>
    <xf numFmtId="0" fontId="11" fillId="0" borderId="0" xfId="0" applyFont="1" applyAlignment="1">
      <alignment vertical="top" wrapText="1"/>
    </xf>
    <xf numFmtId="0" fontId="2" fillId="0" borderId="9" xfId="0" applyFont="1" applyBorder="1" applyAlignment="1">
      <alignment horizontal="left" vertical="top" indent="4"/>
    </xf>
    <xf numFmtId="0" fontId="2" fillId="0" borderId="9" xfId="0" applyFont="1" applyBorder="1" applyAlignment="1">
      <alignment horizontal="right" vertical="top" wrapText="1"/>
    </xf>
    <xf numFmtId="169" fontId="4" fillId="0" borderId="1" xfId="0" applyNumberFormat="1" applyFont="1" applyBorder="1"/>
    <xf numFmtId="170" fontId="4" fillId="0" borderId="1" xfId="0" applyNumberFormat="1" applyFont="1" applyBorder="1"/>
    <xf numFmtId="170" fontId="4" fillId="0" borderId="0" xfId="0" applyNumberFormat="1" applyFont="1"/>
    <xf numFmtId="0" fontId="0" fillId="0" borderId="6" xfId="0" applyBorder="1" applyAlignment="1" applyProtection="1">
      <alignment horizontal="center" vertical="center"/>
      <protection locked="0"/>
    </xf>
    <xf numFmtId="0" fontId="6" fillId="6" borderId="4" xfId="0" applyFont="1" applyFill="1" applyBorder="1" applyAlignment="1">
      <alignment horizontal="left" vertical="top" wrapText="1"/>
    </xf>
    <xf numFmtId="0" fontId="6" fillId="6" borderId="3" xfId="0" applyFont="1" applyFill="1" applyBorder="1" applyAlignment="1">
      <alignment horizontal="left" vertical="top" wrapText="1"/>
    </xf>
    <xf numFmtId="2" fontId="6" fillId="6" borderId="2" xfId="0" applyNumberFormat="1" applyFont="1" applyFill="1" applyBorder="1" applyAlignment="1">
      <alignment horizontal="left" vertical="top" wrapText="1" indent="1"/>
    </xf>
    <xf numFmtId="0" fontId="6" fillId="6" borderId="4" xfId="0" applyFont="1" applyFill="1" applyBorder="1" applyAlignment="1">
      <alignment horizontal="left" vertical="top" wrapText="1" indent="1"/>
    </xf>
    <xf numFmtId="0" fontId="6" fillId="6" borderId="5" xfId="0" applyFont="1" applyFill="1" applyBorder="1" applyAlignment="1">
      <alignment horizontal="left" vertical="top" wrapText="1" indent="1"/>
    </xf>
    <xf numFmtId="0" fontId="6" fillId="6" borderId="3" xfId="0" applyFont="1" applyFill="1" applyBorder="1" applyAlignment="1">
      <alignment horizontal="left" vertical="top" wrapText="1" indent="1"/>
    </xf>
    <xf numFmtId="0" fontId="6" fillId="0" borderId="4" xfId="0" applyFont="1" applyBorder="1" applyAlignment="1" applyProtection="1">
      <alignment horizontal="left" indent="1"/>
      <protection locked="0"/>
    </xf>
    <xf numFmtId="0" fontId="6" fillId="0" borderId="5" xfId="0" applyFont="1" applyBorder="1" applyAlignment="1" applyProtection="1">
      <alignment horizontal="left" indent="1"/>
      <protection locked="0"/>
    </xf>
    <xf numFmtId="0" fontId="6" fillId="0" borderId="3" xfId="0" applyFont="1" applyBorder="1" applyAlignment="1" applyProtection="1">
      <alignment horizontal="left" indent="1"/>
      <protection locked="0"/>
    </xf>
    <xf numFmtId="0" fontId="6" fillId="6" borderId="2" xfId="0" applyFont="1" applyFill="1" applyBorder="1" applyAlignment="1">
      <alignment horizontal="left" vertical="top" wrapText="1"/>
    </xf>
    <xf numFmtId="0" fontId="6" fillId="0" borderId="2" xfId="0" applyFont="1" applyBorder="1" applyAlignment="1" applyProtection="1">
      <alignment horizontal="left" vertical="top" indent="1"/>
      <protection locked="0"/>
    </xf>
    <xf numFmtId="0" fontId="13" fillId="0" borderId="0" xfId="0" applyFont="1" applyAlignment="1">
      <alignment horizontal="left" vertical="top" wrapText="1" indent="1"/>
    </xf>
    <xf numFmtId="0" fontId="6" fillId="0" borderId="4" xfId="0" applyFont="1" applyBorder="1" applyAlignment="1" applyProtection="1">
      <alignment horizontal="left" vertical="center" indent="1"/>
      <protection locked="0"/>
    </xf>
    <xf numFmtId="0" fontId="6" fillId="0" borderId="5" xfId="0" applyFont="1" applyBorder="1" applyAlignment="1" applyProtection="1">
      <alignment horizontal="left" vertical="center" indent="1"/>
      <protection locked="0"/>
    </xf>
    <xf numFmtId="0" fontId="6" fillId="0" borderId="3" xfId="0" applyFont="1" applyBorder="1" applyAlignment="1" applyProtection="1">
      <alignment horizontal="left" vertical="center" indent="1"/>
      <protection locked="0"/>
    </xf>
    <xf numFmtId="0" fontId="8" fillId="0" borderId="7" xfId="0" applyFont="1" applyBorder="1" applyAlignment="1">
      <alignment horizontal="left" vertical="top" wrapText="1" indent="1"/>
    </xf>
    <xf numFmtId="0" fontId="8" fillId="9" borderId="2" xfId="0" applyFont="1" applyFill="1" applyBorder="1" applyAlignment="1">
      <alignment horizontal="left" vertical="center" wrapText="1" indent="1"/>
    </xf>
    <xf numFmtId="0" fontId="10" fillId="6" borderId="2" xfId="0" applyFont="1" applyFill="1" applyBorder="1" applyAlignment="1">
      <alignment horizontal="left" indent="1"/>
    </xf>
    <xf numFmtId="0" fontId="8" fillId="0" borderId="11" xfId="0" applyFont="1" applyBorder="1" applyAlignment="1">
      <alignment horizontal="left" indent="1"/>
    </xf>
    <xf numFmtId="0" fontId="8" fillId="0" borderId="9" xfId="0" applyFont="1" applyBorder="1" applyAlignment="1">
      <alignment horizontal="left" indent="1"/>
    </xf>
    <xf numFmtId="0" fontId="2" fillId="4" borderId="4" xfId="0" applyFont="1" applyFill="1" applyBorder="1" applyAlignment="1">
      <alignment horizontal="center"/>
    </xf>
    <xf numFmtId="0" fontId="2" fillId="4" borderId="5" xfId="0" applyFont="1" applyFill="1" applyBorder="1" applyAlignment="1">
      <alignment horizontal="center"/>
    </xf>
    <xf numFmtId="0" fontId="2" fillId="4" borderId="3" xfId="0" applyFont="1" applyFill="1" applyBorder="1" applyAlignment="1">
      <alignment horizontal="center"/>
    </xf>
    <xf numFmtId="0" fontId="9" fillId="8" borderId="7" xfId="0" applyFont="1" applyFill="1" applyBorder="1" applyAlignment="1">
      <alignment horizontal="center"/>
    </xf>
    <xf numFmtId="0" fontId="9" fillId="8" borderId="10" xfId="0" applyFont="1" applyFill="1" applyBorder="1" applyAlignment="1">
      <alignment horizontal="center"/>
    </xf>
    <xf numFmtId="0" fontId="9" fillId="8" borderId="7" xfId="0" applyFont="1" applyFill="1" applyBorder="1" applyAlignment="1">
      <alignment horizontal="left" indent="1"/>
    </xf>
    <xf numFmtId="0" fontId="9" fillId="8" borderId="0" xfId="0" applyFont="1" applyFill="1" applyAlignment="1">
      <alignment horizontal="left" indent="1"/>
    </xf>
  </cellXfs>
  <cellStyles count="7">
    <cellStyle name="Comma" xfId="4" xr:uid="{00000000-0005-0000-0000-000004000000}"/>
    <cellStyle name="Comma [0]" xfId="5" xr:uid="{00000000-0005-0000-0000-000005000000}"/>
    <cellStyle name="Comma 4" xfId="6" xr:uid="{00000000-0005-0000-0000-000006000000}"/>
    <cellStyle name="Currency" xfId="2" xr:uid="{00000000-0005-0000-0000-000002000000}"/>
    <cellStyle name="Currency [0]" xfId="3" xr:uid="{00000000-0005-0000-0000-000003000000}"/>
    <cellStyle name="Normal" xfId="0" builtinId="0"/>
    <cellStyle name="Percent" xfId="1" xr:uid="{00000000-0005-0000-0000-000001000000}"/>
  </cellStyles>
  <dxfs count="9">
    <dxf>
      <font>
        <b/>
        <i val="0"/>
        <color rgb="FFFF0000"/>
      </font>
      <fill>
        <patternFill>
          <bgColor rgb="FFFFFF00"/>
        </patternFill>
      </fill>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BDD6E7"/>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7.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CF3B4A6E-56A4-403F-8D4F-F4B0F022BF01}" ax:persistence="persistStreamInit" r:id="rId1"/>
</file>

<file path=xl/activeX/activeX2.xml><?xml version="1.0" encoding="utf-8"?>
<ax:ocx xmlns:ax="http://schemas.microsoft.com/office/2006/activeX" xmlns:r="http://schemas.openxmlformats.org/officeDocument/2006/relationships" ax:classid="{CF3B4A6E-56A4-403F-8D4F-F4B0F022BF01}" ax:persistence="persistStreamInit" r:id="rId1"/>
</file>

<file path=xl/activeX/activeX3.xml><?xml version="1.0" encoding="utf-8"?>
<ax:ocx xmlns:ax="http://schemas.microsoft.com/office/2006/activeX" xmlns:r="http://schemas.openxmlformats.org/officeDocument/2006/relationships" ax:classid="{CF3B4A6E-56A4-403F-8D4F-F4B0F022BF01}" ax:persistence="persistStreamInit" r:id="rId1"/>
</file>

<file path=xl/activeX/activeX4.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005"/>
  <ax:ocxPr ax:name="_ExtentY" ax:value="397"/>
  <ax:ocxPr ax:name="_StockProps" ax:value="0"/>
  <ax:ocxPr ax:name="ServerName" ax:value="=db_name"/>
  <ax:ocxPr ax:name="ProcessName" ax:value="AE_Transfer Prog Baseline 05"/>
  <ax:ocxPr ax:name="Name" ax:value="psUser"/>
  <ax:ocxPr ax:name="Type" ax:value="0"/>
  <ax:ocxPr ax:name="Value" ax:value="=psUser"/>
  <ax:ocxPr ax:name="Prompt" ax:value=""/>
  <ax:ocxPr ax:name="BackColor" ax:value="6963712"/>
  <ax:ocxPr ax:name="ForeColor" ax:value="16777215"/>
  <ax:ocxPr ax:name="Font">
    <ax:font ax:persistence="persistPropertyBag">
      <ax:ocxPr ax:name="Name" ax:value="Calibri"/>
      <ax:ocxPr ax:name="Size" ax:value="9.75"/>
      <ax:ocxPr ax:name="Charset" ax:value="0"/>
      <ax:ocxPr ax:name="Weight" ax:value="700"/>
      <ax:ocxPr ax:name="Underline" ax:value="0"/>
      <ax:ocxPr ax:name="Italic" ax:value="0"/>
      <ax:ocxPr ax:name="Strikethrough" ax:value="0"/>
    </ax:font>
  </ax:ocxPr>
  <ax:ocxPr ax:name="Caption" ax:value="*KEY_ERR"/>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0"/>
  <ax:ocxPr ax:name="ShowFailureMessage" ax:value="0"/>
  <ax:ocxPr ax:name="TargetWorkbookName" ax:value="=TM1AdjIDListWB"/>
  <ax:ocxPr ax:name="TargetWorksheetName" ax:value="=TM1AdjIDListWS"/>
  <ax:ocxPr ax:name="AutoTitles" ax:value="0"/>
  <ax:ocxPr ax:name="ReplaceWindow" ax:value="-1"/>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0"/>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1"/>
  <ax:ocxPr ax:name="CaptionNotEval" ax:value="=TM1AdjIDListCAP"/>
  <ax:ocxPr ax:name="ResizeButtonToCaption" ax:value="0"/>
</ax:ocx>
</file>

<file path=xl/activeX/activeX5.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2275"/>
  <ax:ocxPr ax:name="_ExtentY" ax:value="397"/>
  <ax:ocxPr ax:name="_StockProps" ax:value="0"/>
  <ax:ocxPr ax:name="ServerName" ax:value="=db_name"/>
  <ax:ocxPr ax:name="ProcessName" ax:value="AE_Transfer Prog Baseline 05"/>
  <ax:ocxPr ax:name="Name" ax:value="psUser"/>
  <ax:ocxPr ax:name="Type" ax:value="0"/>
  <ax:ocxPr ax:name="Value" ax:value="=psUser"/>
  <ax:ocxPr ax:name="Prompt" ax:value=""/>
  <ax:ocxPr ax:name="BackColor" ax:value="6963712"/>
  <ax:ocxPr ax:name="ForeColor" ax:value="16777215"/>
  <ax:ocxPr ax:name="Font">
    <ax:font ax:persistence="persistPropertyBag">
      <ax:ocxPr ax:name="Name" ax:value="Calibri"/>
      <ax:ocxPr ax:name="Size" ax:value="9.75"/>
      <ax:ocxPr ax:name="Charset" ax:value="0"/>
      <ax:ocxPr ax:name="Weight" ax:value="700"/>
      <ax:ocxPr ax:name="Underline" ax:value="0"/>
      <ax:ocxPr ax:name="Italic" ax:value="0"/>
      <ax:ocxPr ax:name="Strikethrough" ax:value="0"/>
    </ax:font>
  </ax:ocxPr>
  <ax:ocxPr ax:name="Caption" ax:value="*KEY_ERR"/>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0"/>
  <ax:ocxPr ax:name="ShowFailureMessage" ax:value="0"/>
  <ax:ocxPr ax:name="TargetWorkbookName" ax:value="=TM1HomeAEDataEntryWB"/>
  <ax:ocxPr ax:name="TargetWorksheetName" ax:value="=TM1HomeAEDataEntryWS"/>
  <ax:ocxPr ax:name="AutoTitles" ax:value="0"/>
  <ax:ocxPr ax:name="ReplaceWindow" ax:value="-1"/>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0"/>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1"/>
  <ax:ocxPr ax:name="CaptionNotEval" ax:value="=TM1HomeAEDataEntryCAP"/>
  <ax:ocxPr ax:name="ResizeButtonToCaption" ax:value="0"/>
</ax:ocx>
</file>

<file path=xl/activeX/activeX6.xml><?xml version="1.0" encoding="utf-8"?>
<ax:ocx xmlns:ax="http://schemas.microsoft.com/office/2006/activeX" xmlns:r="http://schemas.openxmlformats.org/officeDocument/2006/relationships" ax:classid="{CF3B4A6E-56A4-403F-8D4F-F4B0F022BF01}" ax:persistence="persistPropertyBag">
  <ax:ocxPr ax:name="_Version" ax:value="65541"/>
  <ax:ocxPr ax:name="_ExtentX" ax:value="1111"/>
  <ax:ocxPr ax:name="_ExtentY" ax:value="397"/>
  <ax:ocxPr ax:name="_StockProps" ax:value="0"/>
  <ax:ocxPr ax:name="ServerName" ax:value="=db_name"/>
  <ax:ocxPr ax:name="ProcessName" ax:value="AE_Transfer Prog Baseline 05"/>
  <ax:ocxPr ax:name="Name" ax:value="psUser"/>
  <ax:ocxPr ax:name="Type" ax:value="0"/>
  <ax:ocxPr ax:name="Value" ax:value="=psUser"/>
  <ax:ocxPr ax:name="Prompt" ax:value=""/>
  <ax:ocxPr ax:name="BackColor" ax:value="6963712"/>
  <ax:ocxPr ax:name="ForeColor" ax:value="16777215"/>
  <ax:ocxPr ax:name="Font">
    <ax:font ax:persistence="persistPropertyBag">
      <ax:ocxPr ax:name="Name" ax:value="Calibri"/>
      <ax:ocxPr ax:name="Size" ax:value="9.75"/>
      <ax:ocxPr ax:name="Charset" ax:value="0"/>
      <ax:ocxPr ax:name="Weight" ax:value="700"/>
      <ax:ocxPr ax:name="Underline" ax:value="0"/>
      <ax:ocxPr ax:name="Italic" ax:value="0"/>
      <ax:ocxPr ax:name="Strikethrough" ax:value="0"/>
    </ax:font>
  </ax:ocxPr>
  <ax:ocxPr ax:name="Caption" ax:value="*KEY_ERR"/>
  <ax:ocxPr ax:name="UseFormula" ax:value="0"/>
  <ax:ocxPr ax:name="ProcessNameFormula" ax:value=""/>
  <ax:ocxPr ax:name="ProcessParamFormula" ax:value=""/>
  <ax:ocxPr ax:name="UseImage" ax:value="0"/>
  <ax:ocxPr ax:name="ImageName" ax:value=""/>
  <ax:ocxPr ax:name="AutoRacalc" ax:value="-1"/>
  <ax:ocxPr ax:name="ConfirmMessage" ax:value="Are you sure you want to run this Process?"/>
  <ax:ocxPr ax:name="SuccessMessage" ax:value="Process completed successfully."/>
  <ax:ocxPr ax:name="FailureMessage" ax:value="Process failed."/>
  <ax:ocxPr ax:name="ShowConfirmMessage" ax:value="0"/>
  <ax:ocxPr ax:name="ShowSuccessMessage" ax:value="0"/>
  <ax:ocxPr ax:name="ShowFailureMessage" ax:value="0"/>
  <ax:ocxPr ax:name="TargetWorkbookName" ax:value="=TM1HomeWB"/>
  <ax:ocxPr ax:name="TargetWorksheetName" ax:value="=TM1HomeWS"/>
  <ax:ocxPr ax:name="AutoTitles" ax:value="0"/>
  <ax:ocxPr ax:name="ReplaceWindow" ax:value="-1"/>
  <ax:ocxPr ax:name="IsMappingFormula" ax:value="0"/>
  <ax:ocxPr ax:name="TargetTypes" ax:value=""/>
  <ax:ocxPr ax:name="TargetObjects" ax:value=""/>
  <ax:ocxPr ax:name="TargetSubsets" ax:value=""/>
  <ax:ocxPr ax:name="TargetAliases" ax:value=""/>
  <ax:ocxPr ax:name="TargetValues" ax:value=""/>
  <ax:ocxPr ax:name="SourceTypes" ax:value=""/>
  <ax:ocxPr ax:name="SourceObjects" ax:value=""/>
  <ax:ocxPr ax:name="TargetTypesFormula" ax:value=""/>
  <ax:ocxPr ax:name="TargetObjectsFormula" ax:value=""/>
  <ax:ocxPr ax:name="TargetSubsetsFormula" ax:value=""/>
  <ax:ocxPr ax:name="TargetAliasesFormula" ax:value=""/>
  <ax:ocxPr ax:name="TargetValuesFormula" ax:value=""/>
  <ax:ocxPr ax:name="SourceTypesFormula" ax:value=""/>
  <ax:ocxPr ax:name="SourceObjectsFormula" ax:value=""/>
  <ax:ocxPr ax:name="DisplayHyperlink" ax:value="0"/>
  <ax:ocxPr ax:name="DoRunTI" ax:value="0"/>
  <ax:ocxPr ax:name="DoNavigate" ax:value="-1"/>
  <ax:ocxPr ax:name="UseApporg" ax:value="-1"/>
  <ax:ocxPr ax:name="Version" ax:value="6"/>
  <ax:ocxPr ax:name="PreRecalc" ax:value="1"/>
  <ax:ocxPr ax:name="WorkSheetRecalc" ax:value="2"/>
  <ax:ocxPr ax:name="ProcessRecalc" ax:value="1"/>
  <ax:ocxPr ax:name="DoReCalcOnly" ax:value="0"/>
  <ax:ocxPr ax:name="UseReferenceForServerName" ax:value="-1"/>
  <ax:ocxPr ax:name="CaptionNotEval" ax:value="=TM1HomeCAP"/>
  <ax:ocxPr ax:name="ResizeButtonToCaption" ax:value="0"/>
</ax:ocx>
</file>

<file path=xl/activeX/activeX7.xml><?xml version="1.0" encoding="utf-8"?>
<ax:ocx xmlns:ax="http://schemas.microsoft.com/office/2006/activeX" xmlns:r="http://schemas.openxmlformats.org/officeDocument/2006/relationships" ax:classid="{CF3B4A6E-56A4-403F-8D4F-F4B0F022BF01}"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1.emf"/><Relationship Id="rId2" Type="http://schemas.openxmlformats.org/officeDocument/2006/relationships/image" Target="../media/image6.emf"/><Relationship Id="rId1" Type="http://schemas.openxmlformats.org/officeDocument/2006/relationships/image" Target="../media/image7.emf"/><Relationship Id="rId6" Type="http://schemas.openxmlformats.org/officeDocument/2006/relationships/image" Target="../media/image2.emf"/><Relationship Id="rId5" Type="http://schemas.openxmlformats.org/officeDocument/2006/relationships/image" Target="../media/image3.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1057275</xdr:colOff>
          <xdr:row>109</xdr:row>
          <xdr:rowOff>0</xdr:rowOff>
        </xdr:from>
        <xdr:to>
          <xdr:col>9</xdr:col>
          <xdr:colOff>647700</xdr:colOff>
          <xdr:row>109</xdr:row>
          <xdr:rowOff>247650</xdr:rowOff>
        </xdr:to>
        <xdr:sp macro="" textlink="">
          <xdr:nvSpPr>
            <xdr:cNvPr id="1025" name="TIButton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57150</xdr:colOff>
          <xdr:row>109</xdr:row>
          <xdr:rowOff>0</xdr:rowOff>
        </xdr:from>
        <xdr:to>
          <xdr:col>7</xdr:col>
          <xdr:colOff>742950</xdr:colOff>
          <xdr:row>109</xdr:row>
          <xdr:rowOff>247650</xdr:rowOff>
        </xdr:to>
        <xdr:sp macro="" textlink="">
          <xdr:nvSpPr>
            <xdr:cNvPr id="1026" name="TIButton3"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790575</xdr:colOff>
          <xdr:row>109</xdr:row>
          <xdr:rowOff>0</xdr:rowOff>
        </xdr:from>
        <xdr:to>
          <xdr:col>7</xdr:col>
          <xdr:colOff>2209800</xdr:colOff>
          <xdr:row>109</xdr:row>
          <xdr:rowOff>247650</xdr:rowOff>
        </xdr:to>
        <xdr:sp macro="" textlink="">
          <xdr:nvSpPr>
            <xdr:cNvPr id="1027" name="TIButton2"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2257425</xdr:colOff>
          <xdr:row>109</xdr:row>
          <xdr:rowOff>0</xdr:rowOff>
        </xdr:from>
        <xdr:to>
          <xdr:col>7</xdr:col>
          <xdr:colOff>2886075</xdr:colOff>
          <xdr:row>109</xdr:row>
          <xdr:rowOff>247650</xdr:rowOff>
        </xdr:to>
        <xdr:sp macro="" textlink="">
          <xdr:nvSpPr>
            <xdr:cNvPr id="1028" name="TIButton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xdr:twoCellAnchor editAs="oneCell">
    <xdr:from>
      <xdr:col>7</xdr:col>
      <xdr:colOff>0</xdr:colOff>
      <xdr:row>0</xdr:row>
      <xdr:rowOff>0</xdr:rowOff>
    </xdr:from>
    <xdr:to>
      <xdr:col>7</xdr:col>
      <xdr:colOff>1811655</xdr:colOff>
      <xdr:row>108</xdr:row>
      <xdr:rowOff>15240</xdr:rowOff>
    </xdr:to>
    <xdr:pic>
      <xdr:nvPicPr>
        <xdr:cNvPr id="7" name="Picture 3">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tretch>
          <a:fillRect/>
        </a:stretch>
      </xdr:blipFill>
      <xdr:spPr>
        <a:xfrm>
          <a:off x="47625" y="0"/>
          <a:ext cx="1809750" cy="476250"/>
        </a:xfrm>
        <a:prstGeom prst="rect">
          <a:avLst/>
        </a:prstGeom>
      </xdr:spPr>
    </xdr:pic>
    <xdr:clientData/>
  </xdr:twoCellAnchor>
  <mc:AlternateContent xmlns:mc="http://schemas.openxmlformats.org/markup-compatibility/2006">
    <mc:Choice xmlns:a14="http://schemas.microsoft.com/office/drawing/2010/main" Requires="a14">
      <xdr:twoCellAnchor>
        <xdr:from>
          <xdr:col>14</xdr:col>
          <xdr:colOff>1114425</xdr:colOff>
          <xdr:row>108</xdr:row>
          <xdr:rowOff>28575</xdr:rowOff>
        </xdr:from>
        <xdr:to>
          <xdr:col>15</xdr:col>
          <xdr:colOff>9525</xdr:colOff>
          <xdr:row>109</xdr:row>
          <xdr:rowOff>295275</xdr:rowOff>
        </xdr:to>
        <xdr:sp macro="" textlink="">
          <xdr:nvSpPr>
            <xdr:cNvPr id="1030" name="TIButton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2914650</xdr:colOff>
          <xdr:row>109</xdr:row>
          <xdr:rowOff>0</xdr:rowOff>
        </xdr:from>
        <xdr:to>
          <xdr:col>8</xdr:col>
          <xdr:colOff>19050</xdr:colOff>
          <xdr:row>109</xdr:row>
          <xdr:rowOff>247650</xdr:rowOff>
        </xdr:to>
        <xdr:sp macro="" textlink="">
          <xdr:nvSpPr>
            <xdr:cNvPr id="1040" name="TIButton5"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47625</xdr:colOff>
          <xdr:row>109</xdr:row>
          <xdr:rowOff>0</xdr:rowOff>
        </xdr:from>
        <xdr:to>
          <xdr:col>8</xdr:col>
          <xdr:colOff>1028700</xdr:colOff>
          <xdr:row>109</xdr:row>
          <xdr:rowOff>247650</xdr:rowOff>
        </xdr:to>
        <xdr:sp macro="" textlink="">
          <xdr:nvSpPr>
            <xdr:cNvPr id="1041" name="TIButton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41B7-D709-46A7-AC01-BFCB5D542279}">
  <sheetPr codeName="Sheet1">
    <outlinePr showOutlineSymbols="0"/>
  </sheetPr>
  <dimension ref="A1:O138"/>
  <sheetViews>
    <sheetView showGridLines="0" showRowColHeaders="0" tabSelected="1" showOutlineSymbols="0" topLeftCell="A108" zoomScaleNormal="100" workbookViewId="0">
      <pane ySplit="18" topLeftCell="A126" activePane="bottomLeft" state="frozen"/>
      <selection activeCell="G108" sqref="G108"/>
      <selection pane="bottomLeft" activeCell="A126" sqref="A126"/>
    </sheetView>
  </sheetViews>
  <sheetFormatPr defaultRowHeight="14.45" customHeight="1" outlineLevelRow="1" outlineLevelCol="1" x14ac:dyDescent="0.25"/>
  <cols>
    <col min="1" max="1" width="36" hidden="1" customWidth="1" outlineLevel="1"/>
    <col min="2" max="2" width="49.28515625" hidden="1" customWidth="1" outlineLevel="1"/>
    <col min="3" max="3" width="21.28515625" hidden="1" customWidth="1" outlineLevel="1"/>
    <col min="4" max="4" width="23" hidden="1" customWidth="1" outlineLevel="1"/>
    <col min="5" max="5" width="73" hidden="1" customWidth="1" outlineLevel="1"/>
    <col min="6" max="6" width="22.7109375" hidden="1" customWidth="1" outlineLevel="1"/>
    <col min="7" max="7" width="0.7109375" customWidth="1" collapsed="1"/>
    <col min="8" max="8" width="52.5703125" customWidth="1"/>
    <col min="9" max="9" width="16.28515625" customWidth="1"/>
    <col min="10" max="10" width="25.7109375" customWidth="1"/>
    <col min="11" max="11" width="15.42578125" customWidth="1"/>
    <col min="12" max="15" width="20.7109375" customWidth="1"/>
  </cols>
  <sheetData>
    <row r="1" spans="1:15" ht="14.45" hidden="1" customHeight="1" outlineLevel="1" x14ac:dyDescent="0.25">
      <c r="A1" t="s">
        <v>96</v>
      </c>
    </row>
    <row r="2" spans="1:15" ht="14.45" hidden="1" customHeight="1" outlineLevel="1" x14ac:dyDescent="0.25">
      <c r="A2">
        <f>0</f>
        <v>0</v>
      </c>
      <c r="H2" s="24"/>
      <c r="I2" s="24"/>
      <c r="J2" s="26"/>
      <c r="K2" s="21"/>
      <c r="L2" s="22"/>
      <c r="M2" s="22"/>
      <c r="N2" s="22"/>
      <c r="O2" s="23"/>
    </row>
    <row r="3" spans="1:15" ht="14.45" hidden="1" customHeight="1" outlineLevel="1" x14ac:dyDescent="0.25">
      <c r="A3">
        <f>1</f>
        <v>1</v>
      </c>
      <c r="H3" s="1"/>
      <c r="I3" s="15"/>
      <c r="J3" s="2"/>
      <c r="K3" s="3"/>
      <c r="L3" s="3"/>
      <c r="M3" s="3"/>
      <c r="N3" s="3"/>
      <c r="O3" s="3"/>
    </row>
    <row r="4" spans="1:15" ht="14.45" hidden="1" customHeight="1" outlineLevel="1" x14ac:dyDescent="0.25">
      <c r="A4">
        <f>2</f>
        <v>2</v>
      </c>
      <c r="H4" s="1"/>
      <c r="I4" s="15"/>
      <c r="J4" s="2"/>
      <c r="K4" s="3"/>
      <c r="L4" s="3"/>
      <c r="M4" s="3"/>
      <c r="N4" s="3"/>
      <c r="O4" s="3"/>
    </row>
    <row r="5" spans="1:15" ht="14.45" hidden="1" customHeight="1" outlineLevel="1" x14ac:dyDescent="0.25">
      <c r="A5">
        <f>3</f>
        <v>3</v>
      </c>
      <c r="H5" s="1"/>
      <c r="I5" s="15"/>
      <c r="J5" s="2"/>
      <c r="K5" s="3"/>
      <c r="L5" s="3"/>
      <c r="M5" s="3"/>
      <c r="N5" s="3"/>
      <c r="O5" s="3"/>
    </row>
    <row r="6" spans="1:15" ht="14.45" hidden="1" customHeight="1" outlineLevel="1" x14ac:dyDescent="0.25">
      <c r="A6" t="s">
        <v>95</v>
      </c>
      <c r="H6" s="1"/>
      <c r="I6" s="15"/>
      <c r="J6" s="2"/>
      <c r="K6" s="3"/>
      <c r="L6" s="3"/>
      <c r="M6" s="3"/>
      <c r="N6" s="3"/>
      <c r="O6" s="3"/>
    </row>
    <row r="7" spans="1:15" ht="14.45" hidden="1" customHeight="1" outlineLevel="1" x14ac:dyDescent="0.25">
      <c r="A7" t="s">
        <v>94</v>
      </c>
      <c r="H7" s="24"/>
      <c r="I7" s="24"/>
      <c r="K7" s="21"/>
      <c r="L7" s="22"/>
      <c r="M7" s="22"/>
      <c r="N7" s="22"/>
      <c r="O7" s="23"/>
    </row>
    <row r="8" spans="1:15" ht="14.45" hidden="1" customHeight="1" outlineLevel="1" x14ac:dyDescent="0.25">
      <c r="A8" t="s">
        <v>93</v>
      </c>
    </row>
    <row r="9" spans="1:15" ht="14.45" hidden="1" customHeight="1" outlineLevel="1" x14ac:dyDescent="0.25">
      <c r="A9" s="4" t="s">
        <v>92</v>
      </c>
      <c r="B9" s="5" t="s">
        <v>132</v>
      </c>
      <c r="C9" s="6"/>
    </row>
    <row r="10" spans="1:15" ht="14.45" hidden="1" customHeight="1" outlineLevel="1" x14ac:dyDescent="0.25">
      <c r="A10" s="4" t="s">
        <v>91</v>
      </c>
      <c r="B10" s="7" t="str">
        <f ca="1">_xll.VIEW((db_name&amp;":}ElementAttributes_}Clients"),"!","!")</f>
        <v>dcceew_geus:}ElementAttributes_}Clients</v>
      </c>
      <c r="C10" s="6"/>
    </row>
    <row r="11" spans="1:15" ht="14.45" hidden="1" customHeight="1" outlineLevel="1" x14ac:dyDescent="0.25">
      <c r="A11" s="4" t="s">
        <v>90</v>
      </c>
      <c r="B11" s="5" t="str">
        <f ca="1">_xll.TM1USER(db_name)</f>
        <v/>
      </c>
      <c r="C11" s="6"/>
    </row>
    <row r="12" spans="1:15" ht="14.45" hidden="1" customHeight="1" outlineLevel="1" x14ac:dyDescent="0.25">
      <c r="A12" s="4" t="s">
        <v>89</v>
      </c>
      <c r="B12" s="5" t="str">
        <f ca="1">_xll.DBR($B$10,$B$11,$A12)</f>
        <v>*KEY_ERR</v>
      </c>
      <c r="C12" s="6"/>
    </row>
    <row r="13" spans="1:15" ht="14.45" hidden="1" customHeight="1" outlineLevel="1" x14ac:dyDescent="0.25">
      <c r="A13" s="4" t="s">
        <v>88</v>
      </c>
      <c r="B13" s="5" t="str">
        <f ca="1">_xll.DBR($B$10,$B$11,$A13)</f>
        <v>*KEY_ERR</v>
      </c>
      <c r="C13" s="6"/>
    </row>
    <row r="14" spans="1:15" ht="14.45" hidden="1" customHeight="1" outlineLevel="1" x14ac:dyDescent="0.25">
      <c r="A14" s="4" t="s">
        <v>87</v>
      </c>
      <c r="B14" s="5" t="str">
        <f ca="1">IF((LEFT($B$10,6)="CAM_AD"),$B$13,$B$12)</f>
        <v>*KEY_ERR</v>
      </c>
      <c r="C14" s="8"/>
    </row>
    <row r="15" spans="1:15" ht="14.45" hidden="1" customHeight="1" outlineLevel="1" x14ac:dyDescent="0.25"/>
    <row r="16" spans="1:15" ht="14.45" hidden="1" customHeight="1" outlineLevel="1" x14ac:dyDescent="0.25">
      <c r="A16" s="9" t="s">
        <v>86</v>
      </c>
      <c r="B16" s="10"/>
      <c r="C16" s="10"/>
      <c r="D16" s="11"/>
    </row>
    <row r="17" spans="1:4" ht="14.45" hidden="1" customHeight="1" outlineLevel="1" x14ac:dyDescent="0.25">
      <c r="A17" s="4" t="s">
        <v>85</v>
      </c>
      <c r="B17" s="8" t="str">
        <f ca="1">_xll.VIEW((db_name&amp;":}ElementAttributes_variables"),"!","!")</f>
        <v>dcceew_geus:}ElementAttributes_variables</v>
      </c>
      <c r="C17" s="8"/>
      <c r="D17" s="8"/>
    </row>
    <row r="18" spans="1:4" ht="14.45" hidden="1" customHeight="1" outlineLevel="1" x14ac:dyDescent="0.25">
      <c r="A18" s="4" t="s">
        <v>84</v>
      </c>
      <c r="B18" s="8" t="str">
        <f ca="1">_xll.DBR($B$17,$A18,"value")</f>
        <v>*KEY_ERR</v>
      </c>
      <c r="C18" s="8"/>
      <c r="D18" s="8"/>
    </row>
    <row r="19" spans="1:4" ht="14.45" hidden="1" customHeight="1" outlineLevel="1" x14ac:dyDescent="0.25">
      <c r="A19" s="4" t="s">
        <v>83</v>
      </c>
      <c r="B19" s="8" t="str">
        <f ca="1">_xll.DBR($B$17,$A19,"value")</f>
        <v>*KEY_ERR</v>
      </c>
      <c r="C19" s="8"/>
      <c r="D19" s="8"/>
    </row>
    <row r="20" spans="1:4" ht="14.45" hidden="1" customHeight="1" outlineLevel="1" x14ac:dyDescent="0.25">
      <c r="A20" s="4" t="s">
        <v>82</v>
      </c>
      <c r="B20" s="8" t="str">
        <f ca="1">_xll.DBR($B$17,$A20,"value")</f>
        <v>*KEY_ERR</v>
      </c>
      <c r="C20" s="8"/>
      <c r="D20" s="8"/>
    </row>
    <row r="21" spans="1:4" ht="14.45" hidden="1" customHeight="1" outlineLevel="1" x14ac:dyDescent="0.25">
      <c r="A21" s="4" t="s">
        <v>81</v>
      </c>
      <c r="B21" s="8" t="str">
        <f ca="1">_xll.DBR($B$17,$A21,"value")</f>
        <v>*KEY_ERR</v>
      </c>
      <c r="C21" s="8"/>
      <c r="D21" s="8"/>
    </row>
    <row r="22" spans="1:4" ht="14.45" hidden="1" customHeight="1" outlineLevel="1" x14ac:dyDescent="0.25">
      <c r="A22" s="4" t="s">
        <v>80</v>
      </c>
      <c r="B22" s="8" t="str">
        <f ca="1">_xll.DBR($B$17,$A22,"value")</f>
        <v>*KEY_ERR</v>
      </c>
      <c r="C22" s="8"/>
      <c r="D22" s="8"/>
    </row>
    <row r="23" spans="1:4" ht="14.45" hidden="1" customHeight="1" outlineLevel="1" x14ac:dyDescent="0.25">
      <c r="A23" s="4" t="s">
        <v>79</v>
      </c>
      <c r="B23" s="8" t="str">
        <f ca="1">_xll.DBR($B$17,$A23,"value")</f>
        <v>*KEY_ERR</v>
      </c>
      <c r="C23" s="8"/>
      <c r="D23" s="8"/>
    </row>
    <row r="24" spans="1:4" ht="14.45" hidden="1" customHeight="1" outlineLevel="1" x14ac:dyDescent="0.25">
      <c r="A24" s="4" t="s">
        <v>78</v>
      </c>
      <c r="B24" s="8" t="str">
        <f ca="1">_xll.DBR($B$17,$A24,"value")</f>
        <v>*KEY_ERR</v>
      </c>
      <c r="C24" s="8"/>
      <c r="D24" s="8"/>
    </row>
    <row r="25" spans="1:4" ht="14.45" hidden="1" customHeight="1" outlineLevel="1" x14ac:dyDescent="0.25">
      <c r="A25" s="4" t="s">
        <v>77</v>
      </c>
      <c r="B25" s="8" t="str">
        <f ca="1">_xll.DBR($B$17,$A25,"value")</f>
        <v>*KEY_ERR</v>
      </c>
      <c r="C25" s="8"/>
      <c r="D25" s="8"/>
    </row>
    <row r="26" spans="1:4" ht="14.45" hidden="1" customHeight="1" outlineLevel="1" x14ac:dyDescent="0.25">
      <c r="A26" s="4" t="s">
        <v>76</v>
      </c>
      <c r="B26" s="8" t="str">
        <f ca="1">_xll.DBR($B$17,$A26,"value")</f>
        <v>*KEY_ERR</v>
      </c>
      <c r="C26" s="8"/>
      <c r="D26" s="8"/>
    </row>
    <row r="27" spans="1:4" ht="14.45" hidden="1" customHeight="1" outlineLevel="1" x14ac:dyDescent="0.25">
      <c r="A27" s="4" t="s">
        <v>75</v>
      </c>
      <c r="B27" s="8" t="str">
        <f ca="1">_xll.DBR($B$17,$A27,"value")</f>
        <v>*KEY_ERR</v>
      </c>
      <c r="C27" s="8"/>
      <c r="D27" s="8"/>
    </row>
    <row r="28" spans="1:4" ht="14.45" hidden="1" customHeight="1" outlineLevel="1" x14ac:dyDescent="0.25">
      <c r="A28" s="4" t="s">
        <v>74</v>
      </c>
      <c r="B28" s="8" t="str">
        <f ca="1">MID(curHLYr,3,9)</f>
        <v>EY_ERR</v>
      </c>
      <c r="C28" s="8"/>
      <c r="D28" s="8"/>
    </row>
    <row r="29" spans="1:4" ht="14.45" hidden="1" customHeight="1" outlineLevel="1" x14ac:dyDescent="0.25">
      <c r="A29" s="4"/>
      <c r="B29" s="8"/>
      <c r="C29" s="8"/>
      <c r="D29" s="8"/>
    </row>
    <row r="30" spans="1:4" ht="14.45" hidden="1" customHeight="1" outlineLevel="1" x14ac:dyDescent="0.25">
      <c r="A30" s="4"/>
      <c r="B30" s="8"/>
      <c r="C30" s="8"/>
      <c r="D30" s="8"/>
    </row>
    <row r="31" spans="1:4" ht="14.45" hidden="1" customHeight="1" outlineLevel="1" x14ac:dyDescent="0.25">
      <c r="A31" s="4"/>
      <c r="B31" s="8" t="str">
        <f ca="1">_xll.VIEW((db_name&amp;":sys_client preference"),"!","!","!")</f>
        <v>dcceew_geus:sys_client preference</v>
      </c>
      <c r="C31" s="8"/>
      <c r="D31" s="8"/>
    </row>
    <row r="32" spans="1:4" ht="14.45" hidden="1" customHeight="1" outlineLevel="1" x14ac:dyDescent="0.25">
      <c r="A32" s="4" t="s">
        <v>73</v>
      </c>
      <c r="B32" s="8" t="str">
        <f ca="1">_xll.DBR($B$31,psUser,$A32,"value")</f>
        <v>*KEY_ERR</v>
      </c>
      <c r="C32" s="8" t="str">
        <f ca="1">LEFT(B32,5)</f>
        <v>*KEY_</v>
      </c>
      <c r="D32" s="8" t="str">
        <f ca="1">MID($B32,(LEN($B32)-4),5)</f>
        <v>Y_ERR</v>
      </c>
    </row>
    <row r="33" spans="1:4" ht="14.45" hidden="1" customHeight="1" outlineLevel="1" x14ac:dyDescent="0.25">
      <c r="A33" s="4" t="s">
        <v>72</v>
      </c>
      <c r="B33" s="8" t="str">
        <f ca="1">_xll.DBR($B$31,psUser,$A33,"value")</f>
        <v>*KEY_ERR</v>
      </c>
      <c r="C33" s="8" t="str">
        <f ca="1">LEFT(B33,5)</f>
        <v>*KEY_</v>
      </c>
      <c r="D33" s="8" t="str">
        <f ca="1">MID($B33,(LEN($B33)-4),5)</f>
        <v>Y_ERR</v>
      </c>
    </row>
    <row r="34" spans="1:4" ht="14.45" hidden="1" customHeight="1" outlineLevel="1" x14ac:dyDescent="0.25"/>
    <row r="35" spans="1:4" ht="14.45" hidden="1" customHeight="1" outlineLevel="1" x14ac:dyDescent="0.25">
      <c r="A35" s="8"/>
      <c r="B35" s="8" t="s">
        <v>71</v>
      </c>
      <c r="C35" s="8" t="s">
        <v>70</v>
      </c>
      <c r="D35" s="8"/>
    </row>
    <row r="36" spans="1:4" ht="14.45" hidden="1" customHeight="1" outlineLevel="1" x14ac:dyDescent="0.25">
      <c r="A36" s="4" t="s">
        <v>69</v>
      </c>
      <c r="B36" s="8" t="str">
        <f>"{[id].[Total IDs]}"</f>
        <v>{[id].[Total IDs]}</v>
      </c>
      <c r="C36" s="8" t="str">
        <f>"{[id].[Total IDs]}"</f>
        <v>{[id].[Total IDs]}</v>
      </c>
      <c r="D36" s="8"/>
    </row>
    <row r="37" spans="1:4" ht="14.45" hidden="1" customHeight="1" outlineLevel="1" x14ac:dyDescent="0.25">
      <c r="A37" s="4" t="s">
        <v>68</v>
      </c>
      <c r="B37" s="8" t="str">
        <f ca="1">("{[id].["&amp;($C32&amp;("]:["&amp;($D32&amp;"]}"))))</f>
        <v>{[id].[*KEY_]:[Y_ERR]}</v>
      </c>
      <c r="C37" s="8" t="str">
        <f ca="1">("{[id].["&amp;($C33&amp;("]:["&amp;($D33&amp;"]}"))))</f>
        <v>{[id].[*KEY_]:[Y_ERR]}</v>
      </c>
      <c r="D37" s="8"/>
    </row>
    <row r="38" spans="1:4" ht="14.45" hidden="1" customHeight="1" outlineLevel="1" x14ac:dyDescent="0.25">
      <c r="A38" s="4" t="s">
        <v>67</v>
      </c>
      <c r="B38" s="8"/>
      <c r="C38" s="8"/>
      <c r="D38" s="8"/>
    </row>
    <row r="39" spans="1:4" ht="14.45" hidden="1" customHeight="1" outlineLevel="1" x14ac:dyDescent="0.25">
      <c r="A39" s="4" t="s">
        <v>66</v>
      </c>
      <c r="B39" s="8" t="s">
        <v>65</v>
      </c>
      <c r="C39" s="8"/>
      <c r="D39" s="8"/>
    </row>
    <row r="40" spans="1:4" ht="14.45" hidden="1" customHeight="1" outlineLevel="1" x14ac:dyDescent="0.25"/>
    <row r="41" spans="1:4" ht="14.45" hidden="1" customHeight="1" outlineLevel="1" x14ac:dyDescent="0.25">
      <c r="A41" s="67"/>
      <c r="B41" s="68"/>
      <c r="C41" s="69"/>
    </row>
    <row r="42" spans="1:4" ht="14.45" hidden="1" customHeight="1" outlineLevel="1" x14ac:dyDescent="0.25">
      <c r="A42" s="4" t="s">
        <v>12</v>
      </c>
      <c r="B42" s="8" t="str">
        <f ca="1">_xll.DBR($B$17,$A42,"value")</f>
        <v>*KEY_ERR</v>
      </c>
    </row>
    <row r="43" spans="1:4" ht="14.45" hidden="1" customHeight="1" outlineLevel="1" x14ac:dyDescent="0.25">
      <c r="A43" s="4" t="s">
        <v>64</v>
      </c>
      <c r="B43" s="8" t="str">
        <f ca="1">_xll.DBR($B$17,$A43,"value")</f>
        <v>*KEY_ERR</v>
      </c>
    </row>
    <row r="44" spans="1:4" ht="14.45" hidden="1" customHeight="1" outlineLevel="1" x14ac:dyDescent="0.25">
      <c r="A44" s="4" t="s">
        <v>63</v>
      </c>
      <c r="B44" s="8" t="str">
        <f ca="1">_xll.DBR($B$17,$A44,"value")</f>
        <v>*KEY_ERR</v>
      </c>
    </row>
    <row r="45" spans="1:4" ht="14.45" hidden="1" customHeight="1" outlineLevel="1" x14ac:dyDescent="0.25">
      <c r="A45" s="4" t="s">
        <v>62</v>
      </c>
      <c r="B45" s="8"/>
    </row>
    <row r="46" spans="1:4" ht="14.45" hidden="1" customHeight="1" outlineLevel="1" x14ac:dyDescent="0.25"/>
    <row r="47" spans="1:4" ht="14.45" hidden="1" customHeight="1" outlineLevel="1" x14ac:dyDescent="0.25">
      <c r="A47" s="67" t="s">
        <v>109</v>
      </c>
      <c r="B47" s="68"/>
    </row>
    <row r="48" spans="1:4" ht="14.45" hidden="1" customHeight="1" outlineLevel="1" x14ac:dyDescent="0.25">
      <c r="A48" s="4" t="s">
        <v>110</v>
      </c>
      <c r="B48" s="8" t="str">
        <f ca="1">_xll.VIEW(db_name&amp;":programme details",curHLYr,curScenario,"!","!")</f>
        <v>dcceew_geus:programme details</v>
      </c>
    </row>
    <row r="49" spans="1:7" ht="14.45" hidden="1" customHeight="1" outlineLevel="1" x14ac:dyDescent="0.25">
      <c r="A49" s="4"/>
      <c r="B49" s="8" t="s">
        <v>127</v>
      </c>
      <c r="C49" t="s">
        <v>128</v>
      </c>
    </row>
    <row r="50" spans="1:7" ht="14.45" hidden="1" customHeight="1" outlineLevel="1" x14ac:dyDescent="0.25">
      <c r="A50" s="4" t="s">
        <v>129</v>
      </c>
      <c r="B50" t="str">
        <f ca="1">psSrcProg</f>
        <v/>
      </c>
      <c r="C50" t="str">
        <f ca="1">psTrgProg</f>
        <v/>
      </c>
    </row>
    <row r="51" spans="1:7" ht="14.45" hidden="1" customHeight="1" outlineLevel="1" x14ac:dyDescent="0.25">
      <c r="A51" s="4" t="s">
        <v>130</v>
      </c>
      <c r="B51" s="8">
        <f ca="1">_xll.ELLEV(db_name &amp;":Programme",$B$50 )</f>
        <v>0</v>
      </c>
      <c r="C51" s="8">
        <f ca="1">_xll.ELLEV(db_name &amp;":Programme",$C$50 )</f>
        <v>0</v>
      </c>
    </row>
    <row r="52" spans="1:7" ht="14.45" hidden="1" customHeight="1" outlineLevel="1" x14ac:dyDescent="0.25">
      <c r="A52" s="8" t="s">
        <v>111</v>
      </c>
      <c r="B52" s="8" t="str">
        <f ca="1">_xll.DBRW($B$48,curHLYr,curScenario,psSrcProg,$A52)</f>
        <v/>
      </c>
    </row>
    <row r="53" spans="1:7" ht="14.45" hidden="1" customHeight="1" outlineLevel="1" x14ac:dyDescent="0.25">
      <c r="A53" s="8" t="s">
        <v>112</v>
      </c>
      <c r="B53" s="8" t="str">
        <f ca="1">_xll.DBRW($B$48,curHLYr,curScenario,psTrgProg,$A53)</f>
        <v/>
      </c>
    </row>
    <row r="54" spans="1:7" ht="14.45" hidden="1" customHeight="1" outlineLevel="1" x14ac:dyDescent="0.25"/>
    <row r="55" spans="1:7" ht="14.45" hidden="1" customHeight="1" outlineLevel="1" x14ac:dyDescent="0.25">
      <c r="A55" s="67" t="s">
        <v>61</v>
      </c>
      <c r="B55" s="68"/>
      <c r="C55" s="69"/>
    </row>
    <row r="56" spans="1:7" ht="14.45" hidden="1" customHeight="1" outlineLevel="1" x14ac:dyDescent="0.25">
      <c r="A56" s="8" t="s">
        <v>60</v>
      </c>
      <c r="B56" s="8" t="str">
        <f ca="1">_xll.VIEW((db_name&amp;":sys_Application"),"!","!")</f>
        <v>dcceew_geus:sys_Application</v>
      </c>
    </row>
    <row r="57" spans="1:7" ht="14.45" hidden="1" customHeight="1" outlineLevel="1" x14ac:dyDescent="0.25">
      <c r="A57" s="8" t="s">
        <v>59</v>
      </c>
      <c r="B57" s="8" t="s">
        <v>107</v>
      </c>
    </row>
    <row r="58" spans="1:7" ht="14.45" hidden="1" customHeight="1" outlineLevel="1" x14ac:dyDescent="0.25">
      <c r="A58" s="12" t="s">
        <v>58</v>
      </c>
      <c r="B58" s="13" t="s">
        <v>57</v>
      </c>
      <c r="C58" s="13" t="s">
        <v>56</v>
      </c>
      <c r="D58" s="13" t="s">
        <v>55</v>
      </c>
      <c r="E58" s="13" t="s">
        <v>54</v>
      </c>
      <c r="F58" s="13" t="s">
        <v>53</v>
      </c>
      <c r="G58" s="13" t="s">
        <v>52</v>
      </c>
    </row>
    <row r="59" spans="1:7" ht="14.45" hidden="1" customHeight="1" outlineLevel="1" x14ac:dyDescent="0.25">
      <c r="A59" s="8" t="s">
        <v>51</v>
      </c>
      <c r="B59" s="8" t="str">
        <f ca="1">_xll.DBR($B$56,$A59,B$58)</f>
        <v>*KEY_ERR</v>
      </c>
      <c r="C59" s="8" t="str">
        <f ca="1">_xll.DBR($B$56,$A59,C$58)</f>
        <v>*KEY_ERR</v>
      </c>
      <c r="D59" s="8" t="str">
        <f ca="1">_xll.DBR($B$56,$A59,D$58)</f>
        <v>*KEY_ERR</v>
      </c>
      <c r="E59" s="8" t="str">
        <f ca="1">_xll.DBR($B$56,$A59,E$58)</f>
        <v>*KEY_ERR</v>
      </c>
      <c r="F59" s="8" t="str">
        <f ca="1">_xll.DBR($B$56,$A59,F$58)</f>
        <v>*KEY_ERR</v>
      </c>
      <c r="G59" s="8" t="str">
        <f ca="1">_xll.DBR($B$56,$A59,G$58)</f>
        <v>*KEY_ERR</v>
      </c>
    </row>
    <row r="60" spans="1:7" ht="14.45" hidden="1" customHeight="1" outlineLevel="1" x14ac:dyDescent="0.25">
      <c r="A60" s="8" t="s">
        <v>50</v>
      </c>
      <c r="B60" s="8" t="str">
        <f ca="1">_xll.DBR($B$56,$A60,B$58)</f>
        <v>*KEY_ERR</v>
      </c>
      <c r="C60" s="8" t="str">
        <f ca="1">_xll.DBR($B$56,$A60,C$58)</f>
        <v>*KEY_ERR</v>
      </c>
      <c r="D60" s="8" t="str">
        <f ca="1">_xll.DBR($B$56,$A60,D$58)</f>
        <v>*KEY_ERR</v>
      </c>
      <c r="E60" s="8" t="str">
        <f ca="1">_xll.DBR($B$56,$A60,E$58)</f>
        <v>*KEY_ERR</v>
      </c>
      <c r="F60" s="8" t="str">
        <f ca="1">_xll.DBR($B$56,$A60,F$58)</f>
        <v>*KEY_ERR</v>
      </c>
      <c r="G60" s="8" t="str">
        <f ca="1">_xll.DBR($B$56,$A60,G$58)</f>
        <v>*KEY_ERR</v>
      </c>
    </row>
    <row r="61" spans="1:7" ht="14.45" hidden="1" customHeight="1" outlineLevel="1" x14ac:dyDescent="0.25">
      <c r="A61" s="8" t="s">
        <v>11</v>
      </c>
      <c r="B61" s="8" t="str">
        <f ca="1">_xll.DBR($B$56,$A61,B$58)</f>
        <v>*KEY_ERR</v>
      </c>
      <c r="C61" s="8" t="str">
        <f ca="1">_xll.DBR($B$56,$A61,C$58)</f>
        <v>*KEY_ERR</v>
      </c>
      <c r="D61" s="8" t="str">
        <f ca="1">_xll.DBR($B$56,$A61,D$58)</f>
        <v>*KEY_ERR</v>
      </c>
      <c r="E61" s="8" t="str">
        <f ca="1">_xll.DBR($B$56,$A61,E$58)</f>
        <v>*KEY_ERR</v>
      </c>
      <c r="F61" s="8" t="str">
        <f ca="1">_xll.DBR($B$56,$A61,F$58)</f>
        <v>*KEY_ERR</v>
      </c>
      <c r="G61" s="8" t="str">
        <f ca="1">_xll.DBR($B$56,$A61,G$58)</f>
        <v>*KEY_ERR</v>
      </c>
    </row>
    <row r="62" spans="1:7" ht="14.45" hidden="1" customHeight="1" outlineLevel="1" x14ac:dyDescent="0.25">
      <c r="A62" s="8" t="s">
        <v>49</v>
      </c>
      <c r="B62" s="8" t="str">
        <f ca="1">_xll.DBR($B$56,$A62,B$58)</f>
        <v>*KEY_ERR</v>
      </c>
      <c r="C62" s="8" t="str">
        <f ca="1">_xll.DBR($B$56,$A62,C$58)</f>
        <v>*KEY_ERR</v>
      </c>
      <c r="D62" s="8" t="str">
        <f ca="1">_xll.DBR($B$56,$A62,D$58)</f>
        <v>*KEY_ERR</v>
      </c>
      <c r="E62" s="8" t="str">
        <f ca="1">_xll.DBR($B$56,$A62,E$58)</f>
        <v>*KEY_ERR</v>
      </c>
      <c r="F62" s="8" t="str">
        <f ca="1">_xll.DBR($B$56,$A62,F$58)</f>
        <v>*KEY_ERR</v>
      </c>
      <c r="G62" s="8" t="str">
        <f ca="1">_xll.DBR($B$56,$A62,G$58)</f>
        <v>*KEY_ERR</v>
      </c>
    </row>
    <row r="63" spans="1:7" ht="14.45" hidden="1" customHeight="1" outlineLevel="1" x14ac:dyDescent="0.25">
      <c r="A63" s="8" t="s">
        <v>48</v>
      </c>
      <c r="B63" s="8" t="str">
        <f ca="1">_xll.DBR($B$56,$A63,B$58)</f>
        <v>*KEY_ERR</v>
      </c>
      <c r="C63" s="8" t="str">
        <f ca="1">_xll.DBR($B$56,$A63,C$58)</f>
        <v>*KEY_ERR</v>
      </c>
      <c r="D63" s="8" t="str">
        <f ca="1">_xll.DBR($B$56,$A63,D$58)</f>
        <v>*KEY_ERR</v>
      </c>
      <c r="E63" s="8" t="str">
        <f ca="1">_xll.DBR($B$56,$A63,E$58)</f>
        <v>*KEY_ERR</v>
      </c>
      <c r="F63" s="8" t="str">
        <f ca="1">_xll.DBR($B$56,$A63,F$58)</f>
        <v>*KEY_ERR</v>
      </c>
      <c r="G63" s="8" t="str">
        <f ca="1">_xll.DBR($B$56,$A63,G$58)</f>
        <v>*KEY_ERR</v>
      </c>
    </row>
    <row r="64" spans="1:7" ht="14.45" hidden="1" customHeight="1" outlineLevel="1" x14ac:dyDescent="0.25"/>
    <row r="65" spans="1:3" ht="14.45" hidden="1" customHeight="1" outlineLevel="1" x14ac:dyDescent="0.25">
      <c r="A65" s="67" t="s">
        <v>47</v>
      </c>
      <c r="B65" s="68"/>
      <c r="C65" s="69"/>
    </row>
    <row r="66" spans="1:3" ht="14.45" hidden="1" customHeight="1" outlineLevel="1" x14ac:dyDescent="0.25">
      <c r="A66" s="4" t="s">
        <v>85</v>
      </c>
      <c r="B66" s="8" t="str">
        <f ca="1">_xll.VIEW((db_name&amp;":sys_client preference"),"!","!","!")</f>
        <v>dcceew_geus:sys_client preference</v>
      </c>
      <c r="C66" s="8"/>
    </row>
    <row r="67" spans="1:3" ht="14.45" hidden="1" customHeight="1" outlineLevel="1" x14ac:dyDescent="0.25">
      <c r="A67" s="4"/>
      <c r="B67" s="14" t="s">
        <v>46</v>
      </c>
      <c r="C67" s="14" t="s">
        <v>45</v>
      </c>
    </row>
    <row r="68" spans="1:3" ht="14.45" hidden="1" customHeight="1" outlineLevel="1" x14ac:dyDescent="0.25">
      <c r="A68" s="4" t="s">
        <v>44</v>
      </c>
      <c r="B68" s="8" t="str">
        <f ca="1">_xll.SUBNM((db_name&amp;":sys_client preference measure"),"","value")</f>
        <v/>
      </c>
      <c r="C68" s="14"/>
    </row>
    <row r="69" spans="1:3" ht="14.45" hidden="1" customHeight="1" outlineLevel="1" x14ac:dyDescent="0.25">
      <c r="A69" s="4" t="s">
        <v>43</v>
      </c>
      <c r="B69" s="8" t="str">
        <f ca="1">_xll.DBR($B$66,psUser,$A69,B$67)</f>
        <v>*KEY_ERR</v>
      </c>
      <c r="C69" s="8" t="str">
        <f ca="1">_xll.DBR($B$66,psUser,$A69,C$67)</f>
        <v>*KEY_ERR</v>
      </c>
    </row>
    <row r="70" spans="1:3" ht="14.45" hidden="1" customHeight="1" outlineLevel="1" x14ac:dyDescent="0.25">
      <c r="A70" s="4" t="s">
        <v>42</v>
      </c>
      <c r="B70" s="8" t="str">
        <f ca="1">_xll.DBR($B$66,psUser,$A70,B$67)</f>
        <v>*KEY_ERR</v>
      </c>
      <c r="C70" s="8" t="str">
        <f ca="1">_xll.DBR($B$66,psUser,$A70,C$67)</f>
        <v>*KEY_ERR</v>
      </c>
    </row>
    <row r="71" spans="1:3" ht="14.45" hidden="1" customHeight="1" outlineLevel="1" x14ac:dyDescent="0.25">
      <c r="A71" s="4" t="s">
        <v>41</v>
      </c>
      <c r="B71" s="8" t="str">
        <f ca="1">_xll.DBR($B$66,psUser,$A71,B$67)</f>
        <v>*KEY_ERR</v>
      </c>
      <c r="C71" s="8" t="str">
        <f ca="1">_xll.DBR($B$66,psUser,$A71,C$67)</f>
        <v>*KEY_ERR</v>
      </c>
    </row>
    <row r="72" spans="1:3" ht="14.45" hidden="1" customHeight="1" outlineLevel="1" x14ac:dyDescent="0.25">
      <c r="A72" s="4" t="s">
        <v>40</v>
      </c>
      <c r="B72" s="8" t="str">
        <f ca="1">_xll.DBR($B$66,psUser,$A72,B$67)</f>
        <v>*KEY_ERR</v>
      </c>
      <c r="C72" s="8" t="str">
        <f ca="1">_xll.DBR($B$66,psUser,$A72,C$67)</f>
        <v>*KEY_ERR</v>
      </c>
    </row>
    <row r="73" spans="1:3" ht="14.45" hidden="1" customHeight="1" outlineLevel="1" x14ac:dyDescent="0.25"/>
    <row r="74" spans="1:3" ht="14.45" hidden="1" customHeight="1" outlineLevel="1" x14ac:dyDescent="0.25">
      <c r="A74" s="67" t="s">
        <v>39</v>
      </c>
      <c r="B74" s="68"/>
      <c r="C74" s="69"/>
    </row>
    <row r="75" spans="1:3" ht="14.45" hidden="1" customHeight="1" outlineLevel="1" x14ac:dyDescent="0.25">
      <c r="A75" s="8" t="s">
        <v>124</v>
      </c>
      <c r="B75" s="8" t="s">
        <v>38</v>
      </c>
      <c r="C75" s="8"/>
    </row>
    <row r="76" spans="1:3" ht="14.45" hidden="1" customHeight="1" outlineLevel="1" x14ac:dyDescent="0.25">
      <c r="A76" s="8" t="s">
        <v>37</v>
      </c>
      <c r="B76" s="8" t="s">
        <v>36</v>
      </c>
      <c r="C76" s="8"/>
    </row>
    <row r="77" spans="1:3" ht="14.45" hidden="1" customHeight="1" outlineLevel="1" x14ac:dyDescent="0.25">
      <c r="A77" s="8" t="s">
        <v>121</v>
      </c>
      <c r="B77" s="8" t="s">
        <v>35</v>
      </c>
      <c r="C77" s="8"/>
    </row>
    <row r="78" spans="1:3" ht="14.45" hidden="1" customHeight="1" outlineLevel="1" x14ac:dyDescent="0.25">
      <c r="A78" s="8" t="s">
        <v>122</v>
      </c>
      <c r="B78" s="8" t="s">
        <v>123</v>
      </c>
      <c r="C78" s="8"/>
    </row>
    <row r="79" spans="1:3" ht="14.45" hidden="1" customHeight="1" outlineLevel="1" x14ac:dyDescent="0.25">
      <c r="A79" s="8" t="s">
        <v>125</v>
      </c>
      <c r="B79" s="8" t="s">
        <v>126</v>
      </c>
      <c r="C79" s="8"/>
    </row>
    <row r="80" spans="1:3" ht="14.45" hidden="1" customHeight="1" outlineLevel="1" x14ac:dyDescent="0.25">
      <c r="A80" s="8" t="s">
        <v>34</v>
      </c>
      <c r="B80" s="8" t="s">
        <v>33</v>
      </c>
      <c r="C80" s="8"/>
    </row>
    <row r="81" spans="1:3" ht="14.45" hidden="1" customHeight="1" outlineLevel="1" x14ac:dyDescent="0.25"/>
    <row r="82" spans="1:3" ht="14.45" hidden="1" customHeight="1" outlineLevel="1" x14ac:dyDescent="0.25">
      <c r="A82" s="32" t="str">
        <f ca="1">_xll.TM1RPTVIEW((db_name&amp;":AE adjustments:1"),0,_xll.TM1RPTTITLE((db_name&amp;":headline year"),$B$83),_xll.TM1RPTTITLE((db_name&amp;":scenario"),$B$84),_xll.TM1RPTTITLE((db_name&amp;":status"),$B$85),_xll.TM1RPTTITLE((db_name&amp;":outcome"),$B$86),_xll.TM1RPTTITLE((db_name&amp;":related entity"),$B$93),_xll.TM1RPTTITLE((db_name&amp;":function"),$B$87),_xll.TM1RPTTITLE((db_name&amp;":reason"),$B$88),_xll.TM1RPTTITLE((db_name&amp;":spp"),$B$95),_xll.TM1RPTTITLE((db_name&amp;":measure code"),$B$89),_xll.TM1RPTTITLE((db_name&amp;":appropriation type"),$B$90),_xll.TM1RPTTITLE((db_name&amp;":appropriation item"),$B$91),_xll.TM1RPTTITLE((db_name&amp;":jurisdiction"),$B$94),TM1RPTFMTRNG,TM1RPTFMTIDCOL)</f>
        <v>dcceew_geus:AE adjustments:1</v>
      </c>
      <c r="B82" s="32" t="str">
        <f ca="1">_xll.TM1RPTVIEW((db_name&amp;":AE adjustments:ARPT1"),0,_xll.TM1RPTTITLE((db_name&amp;":headline year"),$B$83),_xll.TM1RPTTITLE((db_name&amp;":scenario"),$B$84),_xll.TM1RPTTITLE((db_name&amp;":status"),$B$85),_xll.TM1RPTTITLE((db_name&amp;":outcome"),$B$86),_xll.TM1RPTTITLE((db_name&amp;":related entity"),$B$93),_xll.TM1RPTTITLE((db_name&amp;":function"),$B$87),_xll.TM1RPTTITLE((db_name&amp;":reason"),$B$88),_xll.TM1RPTTITLE((db_name&amp;":spp"),$B$95),_xll.TM1RPTTITLE((db_name&amp;":measure code"),$B$89),_xll.TM1RPTTITLE((db_name&amp;":appropriation type"),$B$90),_xll.TM1RPTTITLE((db_name&amp;":appropriation item"),$B$91),_xll.TM1RPTTITLE((db_name&amp;":jurisdiction"),$B$94),TM1RPTFMTRNG,TM1RPTFMTIDCOL)</f>
        <v>dcceew_geus:AE adjustments:ARPT1</v>
      </c>
      <c r="C82" s="32"/>
    </row>
    <row r="83" spans="1:3" ht="14.45" hidden="1" customHeight="1" outlineLevel="1" x14ac:dyDescent="0.25">
      <c r="A83" s="4" t="s">
        <v>84</v>
      </c>
      <c r="B83" s="8" t="str">
        <f ca="1">_xll.SUBNM((db_name&amp;":headline year"),"",curHLYr)</f>
        <v/>
      </c>
      <c r="C83" s="8"/>
    </row>
    <row r="84" spans="1:3" ht="14.45" hidden="1" customHeight="1" outlineLevel="1" x14ac:dyDescent="0.25">
      <c r="A84" s="4" t="s">
        <v>32</v>
      </c>
      <c r="B84" s="8" t="str">
        <f ca="1">_xll.SUBNM((db_name&amp;":scenario"),"",curScenario)</f>
        <v/>
      </c>
      <c r="C84" s="8"/>
    </row>
    <row r="85" spans="1:3" ht="14.45" hidden="1" customHeight="1" outlineLevel="1" x14ac:dyDescent="0.25">
      <c r="A85" s="4" t="s">
        <v>31</v>
      </c>
      <c r="B85" s="8" t="str">
        <f ca="1">_xll.SUBNM((db_name&amp;":status"),"","Total approved","alt")</f>
        <v/>
      </c>
      <c r="C85" s="8"/>
    </row>
    <row r="86" spans="1:3" ht="14.45" hidden="1" customHeight="1" outlineLevel="1" x14ac:dyDescent="0.25">
      <c r="A86" s="4" t="s">
        <v>30</v>
      </c>
      <c r="B86" s="8" t="str">
        <f ca="1">_xll.SUBNM((db_name&amp;":outcome"),"","Total outcomes")</f>
        <v/>
      </c>
      <c r="C86" s="8"/>
    </row>
    <row r="87" spans="1:3" ht="14.45" hidden="1" customHeight="1" outlineLevel="1" x14ac:dyDescent="0.25">
      <c r="A87" s="4" t="s">
        <v>29</v>
      </c>
      <c r="B87" s="8" t="str">
        <f ca="1">_xll.SUBNM((db_name&amp;":function"),"","Total functions")</f>
        <v/>
      </c>
      <c r="C87" s="8"/>
    </row>
    <row r="88" spans="1:3" ht="14.45" hidden="1" customHeight="1" outlineLevel="1" x14ac:dyDescent="0.25">
      <c r="A88" s="4" t="s">
        <v>28</v>
      </c>
      <c r="B88" s="8" t="str">
        <f ca="1">_xll.SUBNM((db_name&amp;":reason"),"","Total reason")</f>
        <v/>
      </c>
      <c r="C88" s="8"/>
    </row>
    <row r="89" spans="1:3" ht="14.45" hidden="1" customHeight="1" outlineLevel="1" x14ac:dyDescent="0.25">
      <c r="A89" s="4" t="s">
        <v>27</v>
      </c>
      <c r="B89" s="8" t="str">
        <f ca="1">_xll.SUBNM((db_name&amp;":measure code"),"","Total Measures","CBMS")</f>
        <v/>
      </c>
      <c r="C89" s="8"/>
    </row>
    <row r="90" spans="1:3" ht="14.45" hidden="1" customHeight="1" outlineLevel="1" x14ac:dyDescent="0.25">
      <c r="A90" s="4" t="s">
        <v>26</v>
      </c>
      <c r="B90" s="8" t="str">
        <f ca="1">_xll.SUBNM((db_name&amp;":appropriation type"),"","Total approp types")</f>
        <v/>
      </c>
      <c r="C90" s="8"/>
    </row>
    <row r="91" spans="1:3" ht="14.45" hidden="1" customHeight="1" outlineLevel="1" x14ac:dyDescent="0.25">
      <c r="A91" s="4" t="s">
        <v>25</v>
      </c>
      <c r="B91" s="8" t="str">
        <f ca="1">_xll.SUBNM((db_name&amp;":appropriation item"),"","Total approp item")</f>
        <v/>
      </c>
      <c r="C91" s="8"/>
    </row>
    <row r="92" spans="1:3" ht="14.45" hidden="1" customHeight="1" outlineLevel="1" x14ac:dyDescent="0.25">
      <c r="A92" s="4" t="s">
        <v>24</v>
      </c>
      <c r="B92" s="8" t="str">
        <f ca="1">_xll.SUBNM((db_name&amp;":id"),"","Total IDs")</f>
        <v/>
      </c>
      <c r="C92" s="8"/>
    </row>
    <row r="93" spans="1:3" ht="14.45" hidden="1" customHeight="1" outlineLevel="1" x14ac:dyDescent="0.25">
      <c r="A93" s="4" t="s">
        <v>23</v>
      </c>
      <c r="B93" s="8" t="str">
        <f ca="1">_xll.SUBNM((db_name&amp;":related entity"),"","Total related entity")</f>
        <v/>
      </c>
      <c r="C93" s="8"/>
    </row>
    <row r="94" spans="1:3" ht="14.45" hidden="1" customHeight="1" outlineLevel="1" x14ac:dyDescent="0.25">
      <c r="A94" s="4" t="s">
        <v>22</v>
      </c>
      <c r="B94" s="8" t="str">
        <f ca="1">_xll.SUBNM((db_name&amp;":jurisdiction"),"","Total jurisdictions")</f>
        <v/>
      </c>
      <c r="C94" s="8"/>
    </row>
    <row r="95" spans="1:3" ht="14.45" hidden="1" customHeight="1" outlineLevel="1" x14ac:dyDescent="0.25">
      <c r="A95" s="4" t="s">
        <v>21</v>
      </c>
      <c r="B95" s="8" t="str">
        <f ca="1">_xll.SUBNM((db_name&amp;":spp"),"","Total SPP")</f>
        <v/>
      </c>
      <c r="C95" s="8"/>
    </row>
    <row r="96" spans="1:3" ht="14.45" hidden="1" customHeight="1" outlineLevel="1" x14ac:dyDescent="0.25"/>
    <row r="97" spans="1:15" ht="14.45" hidden="1" customHeight="1" outlineLevel="1" x14ac:dyDescent="0.25"/>
    <row r="98" spans="1:15" ht="14.45" hidden="1" customHeight="1" outlineLevel="1" x14ac:dyDescent="0.25">
      <c r="A98" s="33" t="s">
        <v>20</v>
      </c>
      <c r="B98" s="34"/>
    </row>
    <row r="99" spans="1:15" ht="14.45" hidden="1" customHeight="1" outlineLevel="1" x14ac:dyDescent="0.25">
      <c r="A99" s="8" t="str">
        <f ca="1">_xll.DIMNM((db_name&amp;":Period"),(_xll.DIMIX((db_name&amp;":period"),$A$100)+$B99))</f>
        <v/>
      </c>
      <c r="B99" s="8">
        <v>-1</v>
      </c>
    </row>
    <row r="100" spans="1:15" ht="14.45" hidden="1" customHeight="1" outlineLevel="1" x14ac:dyDescent="0.25">
      <c r="A100" s="8" t="str">
        <f ca="1">$B$28</f>
        <v>EY_ERR</v>
      </c>
      <c r="B100" s="8">
        <v>0</v>
      </c>
    </row>
    <row r="101" spans="1:15" ht="14.45" hidden="1" customHeight="1" outlineLevel="1" x14ac:dyDescent="0.25">
      <c r="A101" s="8" t="str">
        <f ca="1">_xll.DIMNM((db_name&amp;":Period"),(_xll.DIMIX((db_name&amp;":period"),$A$100)+$B101))</f>
        <v/>
      </c>
      <c r="B101" s="8">
        <v>1</v>
      </c>
    </row>
    <row r="102" spans="1:15" ht="14.45" hidden="1" customHeight="1" outlineLevel="1" x14ac:dyDescent="0.25">
      <c r="A102" s="8" t="str">
        <f ca="1">_xll.DIMNM((db_name&amp;":Period"),(_xll.DIMIX((db_name&amp;":period"),$A$100)+$B102))</f>
        <v/>
      </c>
      <c r="B102" s="8">
        <v>2</v>
      </c>
    </row>
    <row r="103" spans="1:15" ht="14.45" hidden="1" customHeight="1" outlineLevel="1" x14ac:dyDescent="0.25">
      <c r="A103" s="8" t="str">
        <f ca="1">_xll.DIMNM((db_name&amp;":Period"),(_xll.DIMIX((db_name&amp;":period"),$A$100)+$B103))</f>
        <v/>
      </c>
      <c r="B103" s="8">
        <v>3</v>
      </c>
    </row>
    <row r="104" spans="1:15" ht="14.45" hidden="1" customHeight="1" outlineLevel="1" x14ac:dyDescent="0.25"/>
    <row r="105" spans="1:15" ht="14.45" hidden="1" customHeight="1" outlineLevel="1" x14ac:dyDescent="0.25"/>
    <row r="106" spans="1:15" ht="14.45" hidden="1" customHeight="1" outlineLevel="1" x14ac:dyDescent="0.25"/>
    <row r="107" spans="1:15" ht="14.45" hidden="1" customHeight="1" outlineLevel="1" x14ac:dyDescent="0.25"/>
    <row r="108" spans="1:15" ht="36" customHeight="1" collapsed="1" x14ac:dyDescent="0.25">
      <c r="G108" s="16"/>
      <c r="H108" s="16"/>
      <c r="I108" s="16"/>
      <c r="J108" s="16"/>
      <c r="K108" s="16"/>
      <c r="L108" s="16"/>
      <c r="M108" s="16"/>
      <c r="N108" s="16"/>
      <c r="O108" s="16" t="s">
        <v>19</v>
      </c>
    </row>
    <row r="109" spans="1:15" ht="4.5" customHeight="1" x14ac:dyDescent="0.25"/>
    <row r="110" spans="1:15" ht="24" customHeight="1" x14ac:dyDescent="0.25">
      <c r="J110" s="39" t="s">
        <v>18</v>
      </c>
      <c r="K110" s="58" t="s">
        <v>108</v>
      </c>
      <c r="L110" s="58"/>
      <c r="M110" s="58"/>
      <c r="N110" s="58"/>
      <c r="O110" s="40"/>
    </row>
    <row r="111" spans="1:15" ht="1.5" customHeight="1" x14ac:dyDescent="0.25">
      <c r="G111" s="16"/>
      <c r="H111" s="16"/>
      <c r="I111" s="16"/>
      <c r="J111" s="16"/>
      <c r="K111" s="16"/>
      <c r="L111" s="16"/>
      <c r="M111" s="16"/>
      <c r="N111" s="16"/>
      <c r="O111" s="16"/>
    </row>
    <row r="112" spans="1:15" ht="3" customHeight="1" x14ac:dyDescent="0.25">
      <c r="J112" s="17"/>
      <c r="L112" s="18"/>
    </row>
    <row r="113" spans="7:15" ht="15" customHeight="1" x14ac:dyDescent="0.25">
      <c r="H113" s="72" t="s">
        <v>17</v>
      </c>
      <c r="I113" s="73"/>
      <c r="J113" s="73"/>
      <c r="K113" s="73"/>
      <c r="L113" s="73"/>
      <c r="N113" s="70" t="s">
        <v>16</v>
      </c>
      <c r="O113" s="71"/>
    </row>
    <row r="114" spans="7:15" ht="15" customHeight="1" x14ac:dyDescent="0.25">
      <c r="H114" s="35" t="s">
        <v>15</v>
      </c>
      <c r="I114" s="37" t="str">
        <f ca="1">_xll.SUBNM((db_name&amp;":headline year"),"",$B$18)</f>
        <v/>
      </c>
      <c r="J114" s="35" t="s">
        <v>14</v>
      </c>
      <c r="K114" s="64" t="str">
        <f ca="1">_xll.SUBNM((db_name&amp;":scenario"),"",$B$19)</f>
        <v/>
      </c>
      <c r="L114" s="64"/>
      <c r="N114" s="38" t="s">
        <v>13</v>
      </c>
      <c r="O114" s="46" t="str">
        <f ca="1">_xll.SUBNM((db_name&amp;":sys_YesNo"),"","Yes",)</f>
        <v/>
      </c>
    </row>
    <row r="115" spans="7:15" ht="19.899999999999999" customHeight="1" x14ac:dyDescent="0.25">
      <c r="H115" s="36" t="s">
        <v>10</v>
      </c>
      <c r="I115" s="57" t="str">
        <f ca="1">_xll.SUBNM((db_name&amp;":Programme"),"sys_all-n","Total Programmes","code and description")</f>
        <v/>
      </c>
      <c r="J115" s="57"/>
      <c r="K115" s="57"/>
      <c r="L115" s="57"/>
      <c r="M115" s="63" t="str">
        <f ca="1">IF(OR($B$51&lt;&gt;0,$C$51&lt;&gt;0),"Please select valid 'Posting level' programs for both the Source and Target","All Source program estimates from the selected First Year will be cleared to zero and transferred to the Target program.")</f>
        <v>All Source program estimates from the selected First Year will be cleared to zero and transferred to the Target program.</v>
      </c>
      <c r="N115" s="63"/>
      <c r="O115" s="63"/>
    </row>
    <row r="116" spans="7:15" ht="19.899999999999999" customHeight="1" x14ac:dyDescent="0.25">
      <c r="H116" s="36" t="s">
        <v>9</v>
      </c>
      <c r="I116" s="57" t="str">
        <f ca="1">_xll.SUBNM((db_name&amp;":Programme"),"sys_all-n","Total Programmes","code and description")</f>
        <v/>
      </c>
      <c r="J116" s="57"/>
      <c r="K116" s="57"/>
      <c r="L116" s="57"/>
      <c r="M116" s="63"/>
      <c r="N116" s="63"/>
      <c r="O116" s="63"/>
    </row>
    <row r="117" spans="7:15" ht="14.45" customHeight="1" x14ac:dyDescent="0.25">
      <c r="H117" s="30" t="s">
        <v>8</v>
      </c>
      <c r="I117" s="59" t="str">
        <f ca="1">_xll.SUBNM((db_name&amp;":Period"),"",$B$28)</f>
        <v/>
      </c>
      <c r="J117" s="60"/>
      <c r="K117" s="60"/>
      <c r="L117" s="61"/>
      <c r="M117" s="65" t="s">
        <v>131</v>
      </c>
      <c r="N117" s="66"/>
      <c r="O117" s="66"/>
    </row>
    <row r="118" spans="7:15" ht="14.45" customHeight="1" x14ac:dyDescent="0.25">
      <c r="H118" s="30" t="s">
        <v>7</v>
      </c>
      <c r="I118" s="53" t="str">
        <f ca="1">_xll.SUBNM((db_name&amp;":movement account"),"",$B$23,"Code and Description")</f>
        <v/>
      </c>
      <c r="J118" s="54"/>
      <c r="K118" s="54"/>
      <c r="L118" s="55"/>
    </row>
    <row r="119" spans="7:15" ht="14.45" customHeight="1" x14ac:dyDescent="0.25">
      <c r="H119" s="30" t="s">
        <v>6</v>
      </c>
      <c r="I119" s="53" t="str">
        <f ca="1">_xll.SUBNM((db_name&amp;":movement account"),"",$B$24,"Code and Description")</f>
        <v/>
      </c>
      <c r="J119" s="54"/>
      <c r="K119" s="54"/>
      <c r="L119" s="55"/>
      <c r="M119" s="62" t="s">
        <v>5</v>
      </c>
    </row>
    <row r="120" spans="7:15" ht="14.45" customHeight="1" x14ac:dyDescent="0.25">
      <c r="H120" s="30" t="s">
        <v>3</v>
      </c>
      <c r="I120" s="53" t="str">
        <f ca="1">_xll.SUBNM((db_name&amp;":movement account"),"",$B$25,"Code and Description")</f>
        <v/>
      </c>
      <c r="J120" s="54"/>
      <c r="K120" s="54"/>
      <c r="L120" s="55"/>
      <c r="M120" s="62"/>
    </row>
    <row r="121" spans="7:15" ht="14.45" customHeight="1" x14ac:dyDescent="0.25">
      <c r="H121" s="30" t="s">
        <v>4</v>
      </c>
      <c r="I121" s="53" t="str">
        <f ca="1">_xll.SUBNM((db_name&amp;":movement account"),"",$B$26,"Code and Description")</f>
        <v/>
      </c>
      <c r="J121" s="54"/>
      <c r="K121" s="54"/>
      <c r="L121" s="55"/>
      <c r="M121" s="62"/>
    </row>
    <row r="122" spans="7:15" ht="14.45" customHeight="1" x14ac:dyDescent="0.25">
      <c r="H122" s="30" t="s">
        <v>2</v>
      </c>
      <c r="I122" s="53" t="str">
        <f ca="1">_xll.SUBNM((db_name&amp;":movement account"),"",$B$27,"Code and Description")</f>
        <v/>
      </c>
      <c r="J122" s="54"/>
      <c r="K122" s="54"/>
      <c r="L122" s="55"/>
      <c r="M122" s="62"/>
    </row>
    <row r="123" spans="7:15" ht="4.5" customHeight="1" x14ac:dyDescent="0.25">
      <c r="J123" s="20"/>
      <c r="L123" s="18"/>
    </row>
    <row r="124" spans="7:15" ht="3" customHeight="1" x14ac:dyDescent="0.25">
      <c r="G124" s="16"/>
      <c r="H124" s="16"/>
      <c r="I124" s="16"/>
      <c r="J124" s="16"/>
      <c r="K124" s="16"/>
      <c r="L124" s="16"/>
      <c r="M124" s="16"/>
      <c r="N124" s="16"/>
      <c r="O124" s="16"/>
    </row>
    <row r="125" spans="7:15" ht="4.5" customHeight="1" x14ac:dyDescent="0.25"/>
    <row r="126" spans="7:15" ht="45.6" customHeight="1" x14ac:dyDescent="0.25">
      <c r="H126" s="36" t="s">
        <v>1</v>
      </c>
      <c r="I126" s="56" t="str">
        <f ca="1">$I$115</f>
        <v/>
      </c>
      <c r="J126" s="56"/>
      <c r="L126" s="20" t="s">
        <v>0</v>
      </c>
      <c r="M126" s="49" t="str">
        <f ca="1">("Estimates Clearing adjustment IDs :    "&amp;$B$52)</f>
        <v xml:space="preserve">Estimates Clearing adjustment IDs :    </v>
      </c>
      <c r="N126" s="49"/>
      <c r="O126" s="49"/>
    </row>
    <row r="127" spans="7:15" ht="3" customHeight="1" x14ac:dyDescent="0.25"/>
    <row r="128" spans="7:15" ht="14.45" customHeight="1" x14ac:dyDescent="0.25">
      <c r="H128" s="25" t="s">
        <v>97</v>
      </c>
      <c r="I128" s="25" t="s">
        <v>98</v>
      </c>
      <c r="J128" s="27" t="s">
        <v>99</v>
      </c>
      <c r="K128" s="25" t="str">
        <f ca="1">$A$99</f>
        <v/>
      </c>
      <c r="L128" s="25" t="str">
        <f ca="1">$A$100</f>
        <v>EY_ERR</v>
      </c>
      <c r="M128" s="25" t="str">
        <f ca="1">$A$101</f>
        <v/>
      </c>
      <c r="N128" s="25" t="str">
        <f ca="1">$A$102</f>
        <v/>
      </c>
      <c r="O128" s="25" t="str">
        <f ca="1">$A$103</f>
        <v/>
      </c>
    </row>
    <row r="129" spans="1:15" ht="14.45" customHeight="1" x14ac:dyDescent="0.25">
      <c r="H129" s="25"/>
      <c r="I129" s="25"/>
      <c r="J129" s="27"/>
      <c r="K129" s="31" t="s">
        <v>100</v>
      </c>
      <c r="L129" s="31" t="s">
        <v>101</v>
      </c>
      <c r="M129" s="31" t="s">
        <v>102</v>
      </c>
      <c r="N129" s="31" t="s">
        <v>103</v>
      </c>
      <c r="O129" s="31" t="s">
        <v>104</v>
      </c>
    </row>
    <row r="130" spans="1:15" ht="14.45" customHeight="1" x14ac:dyDescent="0.25">
      <c r="A130" t="str">
        <f ca="1">IF(_xll.TM1RPTELISCONSOLIDATED($J$130,$J130),IF((_xll.TM1RPTELLEV($J$130,$J130)&lt;=3),_xll.TM1RPTELLEV($J$130,$J130),"D"),"N")</f>
        <v>N</v>
      </c>
      <c r="H130" s="43" t="str">
        <f ca="1">_xll.TM1RPTROW($A$82,(db_name&amp;":account"),"Financial Statements")</f>
        <v/>
      </c>
      <c r="I130" s="44" t="str">
        <f ca="1">_xll.TM1RPTROW($A$82,(db_name&amp;":ID"),,,,,$B$36)</f>
        <v/>
      </c>
      <c r="J130" s="45" t="str">
        <f ca="1">_xll.TM1RPTROW($A$82,(db_name&amp;":movement account"),"",,"code and description",0,transfer!$B$39)</f>
        <v/>
      </c>
      <c r="K130" s="21" t="str">
        <f ca="1">_xll.DBRW($A$82,$B$83,$B$84,$B$85,$B$86,$B$93,$B$87,$B$88,$B$95,$B$89,$B$90,$J130,$B$91,$I$126,$H130,$I130,$B$94,K$128)</f>
        <v/>
      </c>
      <c r="L130" s="22" t="str">
        <f ca="1">_xll.DBRW($A$82,$B$83,$B$84,$B$85,$B$86,$B$93,$B$87,$B$88,$B$95,$B$89,$B$90,$J130,$B$91,$I$126,$H130,$I130,$B$94,L$128)</f>
        <v/>
      </c>
      <c r="M130" s="22" t="str">
        <f ca="1">_xll.DBRW($A$82,$B$83,$B$84,$B$85,$B$86,$B$93,$B$87,$B$88,$B$95,$B$89,$B$90,$J130,$B$91,$I$126,$H130,$I130,$B$94,M$128)</f>
        <v/>
      </c>
      <c r="N130" s="22" t="str">
        <f ca="1">_xll.DBRW($A$82,$B$83,$B$84,$B$85,$B$86,$B$93,$B$87,$B$88,$B$95,$B$89,$B$90,$J130,$B$91,$I$126,$H130,$I130,$B$94,N$128)</f>
        <v/>
      </c>
      <c r="O130" s="23" t="str">
        <f ca="1">_xll.DBRW($A$82,$B$83,$B$84,$B$85,$B$86,$B$93,$B$87,$B$88,$B$95,$B$89,$B$90,$J130,$B$91,$I$126,$H130,$I130,$B$94,O$128)</f>
        <v/>
      </c>
    </row>
    <row r="131" spans="1:15" ht="15" customHeight="1" x14ac:dyDescent="0.25">
      <c r="H131" s="29"/>
      <c r="I131" s="29"/>
      <c r="J131" s="29"/>
      <c r="K131" s="29"/>
      <c r="L131" s="29"/>
      <c r="M131" s="29"/>
      <c r="N131" s="29"/>
      <c r="O131" s="29"/>
    </row>
    <row r="132" spans="1:15" ht="3" customHeight="1" x14ac:dyDescent="0.25">
      <c r="G132" s="16"/>
      <c r="H132" s="16"/>
      <c r="I132" s="16"/>
      <c r="J132" s="16"/>
      <c r="K132" s="16"/>
      <c r="L132" s="16"/>
      <c r="M132" s="16"/>
      <c r="N132" s="16"/>
      <c r="O132" s="16"/>
    </row>
    <row r="133" spans="1:15" ht="45.6" customHeight="1" x14ac:dyDescent="0.25">
      <c r="H133" s="41" t="s">
        <v>105</v>
      </c>
      <c r="I133" s="47" t="str">
        <f ca="1">$I$116</f>
        <v/>
      </c>
      <c r="J133" s="48"/>
      <c r="K133" s="29"/>
      <c r="L133" s="42" t="s">
        <v>106</v>
      </c>
      <c r="M133" s="50" t="str">
        <f ca="1">("Estimates Transfer adjustment IDs :     "&amp;$B$53)</f>
        <v xml:space="preserve">Estimates Transfer adjustment IDs :     </v>
      </c>
      <c r="N133" s="51"/>
      <c r="O133" s="52"/>
    </row>
    <row r="134" spans="1:15" ht="3" customHeight="1" x14ac:dyDescent="0.25">
      <c r="H134" s="19"/>
      <c r="I134" s="28"/>
    </row>
    <row r="135" spans="1:15" ht="14.45" customHeight="1" x14ac:dyDescent="0.25">
      <c r="H135" s="25" t="s">
        <v>97</v>
      </c>
      <c r="I135" s="25" t="s">
        <v>98</v>
      </c>
      <c r="J135" s="27" t="s">
        <v>99</v>
      </c>
      <c r="K135" s="25" t="str">
        <f ca="1">$A$99</f>
        <v/>
      </c>
      <c r="L135" s="25" t="str">
        <f ca="1">$A$100</f>
        <v>EY_ERR</v>
      </c>
      <c r="M135" s="25" t="str">
        <f ca="1">$A$101</f>
        <v/>
      </c>
      <c r="N135" s="25" t="str">
        <f ca="1">$A$102</f>
        <v/>
      </c>
      <c r="O135" s="25" t="str">
        <f ca="1">$A$103</f>
        <v/>
      </c>
    </row>
    <row r="136" spans="1:15" ht="14.45" customHeight="1" x14ac:dyDescent="0.25">
      <c r="H136" s="25"/>
      <c r="I136" s="25"/>
      <c r="J136" s="27"/>
      <c r="K136" s="31" t="s">
        <v>100</v>
      </c>
      <c r="L136" s="31" t="s">
        <v>101</v>
      </c>
      <c r="M136" s="31" t="s">
        <v>102</v>
      </c>
      <c r="N136" s="31" t="s">
        <v>103</v>
      </c>
      <c r="O136" s="31" t="s">
        <v>104</v>
      </c>
    </row>
    <row r="137" spans="1:15" ht="14.45" customHeight="1" x14ac:dyDescent="0.25">
      <c r="A137" t="str">
        <f ca="1">IF(_xll.TM1RPTELISCONSOLIDATED($J$137,$J137),IF((_xll.TM1RPTELLEV($J$137,$J137)&lt;=3),_xll.TM1RPTELLEV($J$137,$J137),"D"),"N")</f>
        <v>N</v>
      </c>
      <c r="H137" s="43" t="str">
        <f ca="1">_xll.TM1RPTROW($B$82,(db_name&amp;":account"),"Financial Statements")</f>
        <v/>
      </c>
      <c r="I137" s="44" t="str">
        <f ca="1">_xll.TM1RPTROW($B$82,(db_name&amp;":ID"),,,,,$B$36)</f>
        <v/>
      </c>
      <c r="J137" s="45" t="str">
        <f ca="1">_xll.TM1RPTROW($B$82,(db_name&amp;":movement account"),,,"code and description",0,$B$39)</f>
        <v/>
      </c>
      <c r="K137" s="21" t="str">
        <f ca="1">_xll.DBRW($B$82,$B$83,$B$84,$B$85,$B$86,$B$93,$B$87,$B$88,$B$95,$B$89,$B$90,$J137,$B$91,$I$133,$H137,$I137,$B$94,K$128)</f>
        <v/>
      </c>
      <c r="L137" s="22" t="str">
        <f ca="1">_xll.DBRW($B$82,$B$83,$B$84,$B$85,$B$86,$B$93,$B$87,$B$88,$B$95,$B$89,$B$90,$J137,$B$91,$I$133,$H137,$I137,$B$94,L$128)</f>
        <v/>
      </c>
      <c r="M137" s="22" t="str">
        <f ca="1">_xll.DBRW($B$82,$B$83,$B$84,$B$85,$B$86,$B$93,$B$87,$B$88,$B$95,$B$89,$B$90,$J137,$B$91,$I$133,$H137,$I137,$B$94,M$128)</f>
        <v/>
      </c>
      <c r="N137" s="22" t="str">
        <f ca="1">_xll.DBRW($B$82,$B$83,$B$84,$B$85,$B$86,$B$93,$B$87,$B$88,$B$95,$B$89,$B$90,$J137,$B$91,$I$133,$H137,$I137,$B$94,N$128)</f>
        <v/>
      </c>
      <c r="O137" s="23" t="str">
        <f ca="1">_xll.DBRW($B$82,$B$83,$B$84,$B$85,$B$86,$B$93,$B$87,$B$88,$B$95,$B$89,$B$90,$J137,$B$91,$I$133,$H137,$I137,$B$94,O$128)</f>
        <v/>
      </c>
    </row>
    <row r="138" spans="1:15" ht="14.45" customHeight="1" x14ac:dyDescent="0.25">
      <c r="H138" s="29"/>
      <c r="I138" s="29"/>
      <c r="J138" s="29"/>
      <c r="K138" s="29"/>
      <c r="L138" s="29"/>
      <c r="M138" s="29"/>
      <c r="N138" s="29"/>
      <c r="O138" s="29"/>
    </row>
  </sheetData>
  <sheetProtection sheet="1" objects="1" scenarios="1"/>
  <mergeCells count="24">
    <mergeCell ref="A41:C41"/>
    <mergeCell ref="A55:C55"/>
    <mergeCell ref="A65:C65"/>
    <mergeCell ref="A74:C74"/>
    <mergeCell ref="N113:O113"/>
    <mergeCell ref="H113:L113"/>
    <mergeCell ref="A47:B47"/>
    <mergeCell ref="I119:L119"/>
    <mergeCell ref="I121:L121"/>
    <mergeCell ref="I115:L115"/>
    <mergeCell ref="I116:L116"/>
    <mergeCell ref="K110:N110"/>
    <mergeCell ref="I117:L117"/>
    <mergeCell ref="M119:M122"/>
    <mergeCell ref="M115:O116"/>
    <mergeCell ref="K114:L114"/>
    <mergeCell ref="I118:L118"/>
    <mergeCell ref="M117:O117"/>
    <mergeCell ref="I133:J133"/>
    <mergeCell ref="M126:O126"/>
    <mergeCell ref="M133:O133"/>
    <mergeCell ref="I120:L120"/>
    <mergeCell ref="I122:L122"/>
    <mergeCell ref="I126:J126"/>
  </mergeCells>
  <conditionalFormatting sqref="H126">
    <cfRule type="containsText" dxfId="8" priority="2" operator="containsText" text="approve">
      <formula>NOT(ISERROR(SEARCH("approve",H126)))</formula>
    </cfRule>
    <cfRule type="beginsWith" dxfId="7" priority="3" operator="beginsWith" text="un">
      <formula>LEFT(H126,LEN("un"))="un"</formula>
    </cfRule>
  </conditionalFormatting>
  <conditionalFormatting sqref="H133">
    <cfRule type="containsText" dxfId="6" priority="4" operator="containsText" text="approve">
      <formula>NOT(ISERROR(SEARCH("approve",H133)))</formula>
    </cfRule>
    <cfRule type="beginsWith" dxfId="5" priority="5" operator="beginsWith" text="un">
      <formula>LEFT(H133,LEN("un"))="un"</formula>
    </cfRule>
  </conditionalFormatting>
  <conditionalFormatting sqref="L112 K114 H116">
    <cfRule type="containsText" dxfId="4" priority="14" operator="containsText" text="approve">
      <formula>NOT(ISERROR(SEARCH("approve",H112)))</formula>
    </cfRule>
    <cfRule type="beginsWith" dxfId="3" priority="15" operator="beginsWith" text="un">
      <formula>LEFT(H112,LEN("un"))="un"</formula>
    </cfRule>
  </conditionalFormatting>
  <conditionalFormatting sqref="L123">
    <cfRule type="containsText" dxfId="2" priority="6" operator="containsText" text="approve">
      <formula>NOT(ISERROR(SEARCH("approve",L123)))</formula>
    </cfRule>
    <cfRule type="beginsWith" dxfId="1" priority="7" operator="beginsWith" text="un">
      <formula>LEFT(L123,LEN("un"))="un"</formula>
    </cfRule>
  </conditionalFormatting>
  <conditionalFormatting sqref="M115:O116">
    <cfRule type="beginsWith" dxfId="0" priority="1" operator="beginsWith" text="Please select">
      <formula>LEFT(M115,LEN("Please select"))="Please select"</formula>
    </cfRule>
  </conditionalFormatting>
  <pageMargins left="0.7" right="0.7" top="0.75" bottom="0.75" header="0.3" footer="0.3"/>
  <pageSetup paperSize="9" orientation="portrait" r:id="rId1"/>
  <drawing r:id="rId2"/>
  <legacyDrawing r:id="rId3"/>
  <controls>
    <mc:AlternateContent xmlns:mc="http://schemas.openxmlformats.org/markup-compatibility/2006">
      <mc:Choice Requires="x14">
        <control shapeId="1041" r:id="rId4" name="TIButton7">
          <controlPr defaultSize="0" print="0" autoLine="0" r:id="rId5">
            <anchor moveWithCells="1" sizeWithCells="1">
              <from>
                <xdr:col>8</xdr:col>
                <xdr:colOff>47625</xdr:colOff>
                <xdr:row>109</xdr:row>
                <xdr:rowOff>0</xdr:rowOff>
              </from>
              <to>
                <xdr:col>8</xdr:col>
                <xdr:colOff>1028700</xdr:colOff>
                <xdr:row>109</xdr:row>
                <xdr:rowOff>247650</xdr:rowOff>
              </to>
            </anchor>
          </controlPr>
        </control>
      </mc:Choice>
      <mc:Fallback>
        <control shapeId="1041" r:id="rId4" name="TIButton7"/>
      </mc:Fallback>
    </mc:AlternateContent>
    <mc:AlternateContent xmlns:mc="http://schemas.openxmlformats.org/markup-compatibility/2006">
      <mc:Choice Requires="x14">
        <control shapeId="1040" r:id="rId6" name="TIButton5">
          <controlPr defaultSize="0" print="0" autoLine="0" autoPict="0" r:id="rId7">
            <anchor moveWithCells="1" sizeWithCells="1">
              <from>
                <xdr:col>7</xdr:col>
                <xdr:colOff>2914650</xdr:colOff>
                <xdr:row>109</xdr:row>
                <xdr:rowOff>0</xdr:rowOff>
              </from>
              <to>
                <xdr:col>8</xdr:col>
                <xdr:colOff>19050</xdr:colOff>
                <xdr:row>109</xdr:row>
                <xdr:rowOff>247650</xdr:rowOff>
              </to>
            </anchor>
          </controlPr>
        </control>
      </mc:Choice>
      <mc:Fallback>
        <control shapeId="1040" r:id="rId6" name="TIButton5"/>
      </mc:Fallback>
    </mc:AlternateContent>
    <mc:AlternateContent xmlns:mc="http://schemas.openxmlformats.org/markup-compatibility/2006">
      <mc:Choice Requires="x14">
        <control shapeId="1030" r:id="rId8" name="TIButton6">
          <controlPr defaultSize="0" print="0" autoLine="0" r:id="rId9">
            <anchor moveWithCells="1" sizeWithCells="1">
              <from>
                <xdr:col>14</xdr:col>
                <xdr:colOff>1114425</xdr:colOff>
                <xdr:row>108</xdr:row>
                <xdr:rowOff>28575</xdr:rowOff>
              </from>
              <to>
                <xdr:col>15</xdr:col>
                <xdr:colOff>9525</xdr:colOff>
                <xdr:row>109</xdr:row>
                <xdr:rowOff>295275</xdr:rowOff>
              </to>
            </anchor>
          </controlPr>
        </control>
      </mc:Choice>
      <mc:Fallback>
        <control shapeId="1030" r:id="rId8" name="TIButton6"/>
      </mc:Fallback>
    </mc:AlternateContent>
    <mc:AlternateContent xmlns:mc="http://schemas.openxmlformats.org/markup-compatibility/2006">
      <mc:Choice Requires="x14">
        <control shapeId="1028" r:id="rId10" name="TIButton4">
          <controlPr defaultSize="0" print="0" autoLine="0" r:id="rId11">
            <anchor moveWithCells="1" sizeWithCells="1">
              <from>
                <xdr:col>7</xdr:col>
                <xdr:colOff>2257425</xdr:colOff>
                <xdr:row>109</xdr:row>
                <xdr:rowOff>0</xdr:rowOff>
              </from>
              <to>
                <xdr:col>7</xdr:col>
                <xdr:colOff>2886075</xdr:colOff>
                <xdr:row>109</xdr:row>
                <xdr:rowOff>247650</xdr:rowOff>
              </to>
            </anchor>
          </controlPr>
        </control>
      </mc:Choice>
      <mc:Fallback>
        <control shapeId="1028" r:id="rId10" name="TIButton4"/>
      </mc:Fallback>
    </mc:AlternateContent>
    <mc:AlternateContent xmlns:mc="http://schemas.openxmlformats.org/markup-compatibility/2006">
      <mc:Choice Requires="x14">
        <control shapeId="1027" r:id="rId12" name="TIButton2">
          <controlPr defaultSize="0" print="0" autoLine="0" r:id="rId13">
            <anchor moveWithCells="1" sizeWithCells="1">
              <from>
                <xdr:col>7</xdr:col>
                <xdr:colOff>790575</xdr:colOff>
                <xdr:row>109</xdr:row>
                <xdr:rowOff>0</xdr:rowOff>
              </from>
              <to>
                <xdr:col>7</xdr:col>
                <xdr:colOff>2209800</xdr:colOff>
                <xdr:row>109</xdr:row>
                <xdr:rowOff>247650</xdr:rowOff>
              </to>
            </anchor>
          </controlPr>
        </control>
      </mc:Choice>
      <mc:Fallback>
        <control shapeId="1027" r:id="rId12" name="TIButton2"/>
      </mc:Fallback>
    </mc:AlternateContent>
    <mc:AlternateContent xmlns:mc="http://schemas.openxmlformats.org/markup-compatibility/2006">
      <mc:Choice Requires="x14">
        <control shapeId="1026" r:id="rId14" name="TIButton3">
          <controlPr defaultSize="0" print="0" autoLine="0" r:id="rId15">
            <anchor moveWithCells="1" sizeWithCells="1">
              <from>
                <xdr:col>7</xdr:col>
                <xdr:colOff>57150</xdr:colOff>
                <xdr:row>109</xdr:row>
                <xdr:rowOff>0</xdr:rowOff>
              </from>
              <to>
                <xdr:col>7</xdr:col>
                <xdr:colOff>742950</xdr:colOff>
                <xdr:row>109</xdr:row>
                <xdr:rowOff>247650</xdr:rowOff>
              </to>
            </anchor>
          </controlPr>
        </control>
      </mc:Choice>
      <mc:Fallback>
        <control shapeId="1026" r:id="rId14" name="TIButton3"/>
      </mc:Fallback>
    </mc:AlternateContent>
    <mc:AlternateContent xmlns:mc="http://schemas.openxmlformats.org/markup-compatibility/2006">
      <mc:Choice Requires="x14">
        <control shapeId="1025" r:id="rId16" name="TIButton1">
          <controlPr defaultSize="0" print="0" autoLine="0" r:id="rId17">
            <anchor moveWithCells="1" sizeWithCells="1">
              <from>
                <xdr:col>8</xdr:col>
                <xdr:colOff>1057275</xdr:colOff>
                <xdr:row>109</xdr:row>
                <xdr:rowOff>0</xdr:rowOff>
              </from>
              <to>
                <xdr:col>9</xdr:col>
                <xdr:colOff>647700</xdr:colOff>
                <xdr:row>109</xdr:row>
                <xdr:rowOff>247650</xdr:rowOff>
              </to>
            </anchor>
          </controlPr>
        </control>
      </mc:Choice>
      <mc:Fallback>
        <control shapeId="1025" r:id="rId16" name="TIButton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FCEA-3680-4A61-A3F2-875C772FE235}">
  <sheetPr codeName="Sheet2"/>
  <dimension ref="A1:A8"/>
  <sheetViews>
    <sheetView workbookViewId="0"/>
  </sheetViews>
  <sheetFormatPr defaultRowHeight="15" x14ac:dyDescent="0.25"/>
  <sheetData>
    <row r="1" spans="1:1" x14ac:dyDescent="0.25">
      <c r="A1" t="s">
        <v>113</v>
      </c>
    </row>
    <row r="2" spans="1:1" x14ac:dyDescent="0.25">
      <c r="A2" t="s">
        <v>114</v>
      </c>
    </row>
    <row r="3" spans="1:1" x14ac:dyDescent="0.25">
      <c r="A3" t="s">
        <v>115</v>
      </c>
    </row>
    <row r="4" spans="1:1" x14ac:dyDescent="0.25">
      <c r="A4" t="s">
        <v>116</v>
      </c>
    </row>
    <row r="5" spans="1:1" x14ac:dyDescent="0.25">
      <c r="A5" t="s">
        <v>117</v>
      </c>
    </row>
    <row r="6" spans="1:1" x14ac:dyDescent="0.25">
      <c r="A6" t="s">
        <v>118</v>
      </c>
    </row>
    <row r="7" spans="1:1" x14ac:dyDescent="0.25">
      <c r="A7" t="s">
        <v>119</v>
      </c>
    </row>
    <row r="8" spans="1:1" x14ac:dyDescent="0.25">
      <c r="A8"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vt:i4>
      </vt:variant>
      <vt:variant>
        <vt:lpstr>Named Ranges</vt:lpstr>
      </vt:variant>
      <vt:variant>
        <vt:i4>42</vt:i4>
      </vt:variant>
    </vt:vector>
  </HeadingPairs>
  <TitlesOfParts>
    <vt:vector size="44" baseType="lpstr">
      <vt:lpstr>transfer</vt:lpstr>
      <vt:lpstr>{PL}PickLst</vt:lpstr>
      <vt:lpstr>curHLYr</vt:lpstr>
      <vt:lpstr>curScenario</vt:lpstr>
      <vt:lpstr>db_name</vt:lpstr>
      <vt:lpstr>Freeze_here</vt:lpstr>
      <vt:lpstr>psApp</vt:lpstr>
      <vt:lpstr>psCreateAdjByMeasures</vt:lpstr>
      <vt:lpstr>psFFType</vt:lpstr>
      <vt:lpstr>psHLyear</vt:lpstr>
      <vt:lpstr>psScenario</vt:lpstr>
      <vt:lpstr>psSrcProg</vt:lpstr>
      <vt:lpstr>psStartYr</vt:lpstr>
      <vt:lpstr>psTrgAccDepnMA</vt:lpstr>
      <vt:lpstr>psTrgAccDepnROUMA</vt:lpstr>
      <vt:lpstr>psTrgEQTMA</vt:lpstr>
      <vt:lpstr>psTrgGrossValMA</vt:lpstr>
      <vt:lpstr>psTrgGrossValROUMA</vt:lpstr>
      <vt:lpstr>psTrgProg</vt:lpstr>
      <vt:lpstr>psUser</vt:lpstr>
      <vt:lpstr>TM1AdjIDListCAP</vt:lpstr>
      <vt:lpstr>TM1AdjIDListWB</vt:lpstr>
      <vt:lpstr>TM1AdjIDListWS</vt:lpstr>
      <vt:lpstr>TM1CLEARAB_Confirm</vt:lpstr>
      <vt:lpstr>TM1CLEARAB_Success</vt:lpstr>
      <vt:lpstr>TM1HomeAECAP</vt:lpstr>
      <vt:lpstr>TM1HomeAEDataEntryCAP</vt:lpstr>
      <vt:lpstr>TM1HomeAEDataEntryWB</vt:lpstr>
      <vt:lpstr>TM1HomeAEDataEntryWS</vt:lpstr>
      <vt:lpstr>TM1HomeAEWB</vt:lpstr>
      <vt:lpstr>TM1HomeAEWS</vt:lpstr>
      <vt:lpstr>TM1HomeCAP</vt:lpstr>
      <vt:lpstr>TM1HomeWB</vt:lpstr>
      <vt:lpstr>TM1HomeWS</vt:lpstr>
      <vt:lpstr>transfer!TM1RPTDATARNG1</vt:lpstr>
      <vt:lpstr>transfer!TM1RPTDATARNGARPT1</vt:lpstr>
      <vt:lpstr>transfer!TM1RPTFMTIDCOL</vt:lpstr>
      <vt:lpstr>transfer!TM1RPTFMTRNG</vt:lpstr>
      <vt:lpstr>TM1UploadAB_Confirm</vt:lpstr>
      <vt:lpstr>TM1UploadAB_Fail</vt:lpstr>
      <vt:lpstr>TM1UploadAB_Success</vt:lpstr>
      <vt:lpstr>TM1UploadTempCAP</vt:lpstr>
      <vt:lpstr>TM1UploadTempWB</vt:lpstr>
      <vt:lpstr>TM1UploadTempWS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Bill Looyen</dc:creator>
  <cp:keywords/>
  <dc:description/>
  <cp:lastModifiedBy>Xin HE</cp:lastModifiedBy>
  <cp:lastPrinted>2021-02-04T06:25:22Z</cp:lastPrinted>
  <dcterms:created xsi:type="dcterms:W3CDTF">2021-02-03T03:50:40Z</dcterms:created>
  <dcterms:modified xsi:type="dcterms:W3CDTF">2025-08-05T04:30:14Z</dcterms:modified>
  <cp:category/>
  <cp:contentStatus/>
</cp:coreProperties>
</file>