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3.xml" ContentType="application/vnd.ms-office.activeX+xml"/>
  <Override PartName="/xl/activeX/activeX4.xml" ContentType="application/vnd.ms-office.activeX+xml"/>
  <Override PartName="/xl/activeX/activeX5.xml" ContentType="application/vnd.ms-office.activeX+xml"/>
  <Override PartName="/xl/activeX/activeX2.bin" ContentType="application/vnd.ms-office.activeX"/>
  <Override PartName="/xl/activeX/activeX6.xml" ContentType="application/vnd.ms-office.activeX+xml"/>
  <Override PartName="/xl/activeX/activeX3.bin" ContentType="application/vnd.ms-office.activeX"/>
  <Override PartName="/xl/activeX/activeX7.xml" ContentType="application/vnd.ms-office.activeX+xml"/>
  <Override PartName="/xl/activeX/activeX4.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codeName="ThisWorkbook" autoCompressPictures="0" defaultThemeVersion="166925"/>
  <mc:AlternateContent xmlns:mc="http://schemas.openxmlformats.org/markup-compatibility/2006">
    <mc:Choice Requires="x15">
      <x15ac:absPath xmlns:x15ac="http://schemas.microsoft.com/office/spreadsheetml/2010/11/ac" url="C:\Excelerated\DCCEEW\1 DCCEEW TECHNICAL\GEUS 2023 TEMPLATES\All 2023 Generic_geus templates\"/>
    </mc:Choice>
  </mc:AlternateContent>
  <xr:revisionPtr revIDLastSave="0" documentId="13_ncr:1_{27FA7E61-E2D3-4A26-A488-C5F83D82B64F}" xr6:coauthVersionLast="47" xr6:coauthVersionMax="47" xr10:uidLastSave="{00000000-0000-0000-0000-000000000000}"/>
  <bookViews>
    <workbookView xWindow="57480" yWindow="-1965" windowWidth="29040" windowHeight="15840" xr2:uid="{00000000-000D-0000-FFFF-FFFF00000000}"/>
  </bookViews>
  <sheets>
    <sheet name="transfer" sheetId="1" r:id="rId1"/>
    <sheet name="{PL}PickLst" sheetId="2" state="hidden" r:id="rId2"/>
  </sheets>
  <definedNames>
    <definedName name="curHLYr">transfer!$B$18</definedName>
    <definedName name="curScenario">transfer!$B$19</definedName>
    <definedName name="db_name">transfer!$B$9</definedName>
    <definedName name="Freeze_here">transfer!$A$126</definedName>
    <definedName name="psApp">transfer!$B$57</definedName>
    <definedName name="psCreateAdjByMeasures">transfer!$O$114</definedName>
    <definedName name="psFFType">transfer!$B$80</definedName>
    <definedName name="psHLyear">transfer!$I$114</definedName>
    <definedName name="psScenario">transfer!$K$114</definedName>
    <definedName name="psSrcProg">transfer!$I$115</definedName>
    <definedName name="psStartYr">transfer!$I$117</definedName>
    <definedName name="psTrgAccDepnMA">transfer!$I$120</definedName>
    <definedName name="psTrgAccDepnROUMA">transfer!$I$122</definedName>
    <definedName name="psTrgEQTMA">transfer!$I$118</definedName>
    <definedName name="psTrgGrossValMA">transfer!$I$119</definedName>
    <definedName name="psTrgGrossValROUMA">transfer!$I$121</definedName>
    <definedName name="psTrgProg">transfer!$I$116</definedName>
    <definedName name="psUser">transfer!$B$11</definedName>
    <definedName name="TM1AdjIDListCAP">transfer!$C$62</definedName>
    <definedName name="TM1AdjIDListWB">transfer!$E$62</definedName>
    <definedName name="TM1AdjIDListWS">transfer!$G$62</definedName>
    <definedName name="TM1CLEARAB_Confirm">transfer!$B$78</definedName>
    <definedName name="TM1CLEARAB_Success">transfer!$B$79</definedName>
    <definedName name="TM1HomeAECAP">transfer!$C$60</definedName>
    <definedName name="TM1HomeAEDataEntryCAP">transfer!$C$61</definedName>
    <definedName name="TM1HomeAEDataEntryWB">transfer!$E$61</definedName>
    <definedName name="TM1HomeAEDataEntryWS">transfer!$G$61</definedName>
    <definedName name="TM1HomeAEWB">transfer!$E$60</definedName>
    <definedName name="TM1HomeAEWS">transfer!$G$60</definedName>
    <definedName name="TM1HomeCAP">transfer!$C$59</definedName>
    <definedName name="TM1HomeWB">transfer!$E$59</definedName>
    <definedName name="TM1HomeWS">transfer!$G$59</definedName>
    <definedName name="TM1REBUILDOPTION">0</definedName>
    <definedName name="TM1RPTDATARNG1" localSheetId="0">transfer!$130:$130</definedName>
    <definedName name="TM1RPTDATARNGARPT1" localSheetId="0">transfer!$137:$137</definedName>
    <definedName name="TM1RPTFMTIDCOL" localSheetId="0">transfer!$A$1:$A$8</definedName>
    <definedName name="TM1RPTFMTRNG" localSheetId="0">transfer!$H$1:$O$8</definedName>
    <definedName name="TM1UploadAB_Confirm">transfer!$B$77</definedName>
    <definedName name="TM1UploadAB_Fail">transfer!$B$76</definedName>
    <definedName name="TM1UploadAB_Success">transfer!$B$75</definedName>
    <definedName name="TM1UploadTempCAP">transfer!$C$63</definedName>
    <definedName name="TM1UploadTempWB">transfer!$E$63</definedName>
    <definedName name="TM1UploadTempWS">transfer!$G$63</definedName>
  </definedNames>
  <calcPr calcId="191029" calcMode="manual" calcCompleted="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15" i="1" l="1"/>
  <c r="B50" i="1"/>
  <c r="B51" i="1"/>
  <c r="I116" i="1"/>
  <c r="C50" i="1"/>
  <c r="C51" i="1"/>
  <c r="M115" i="1"/>
  <c r="A82" i="1"/>
  <c r="B17" i="1"/>
  <c r="B18" i="1"/>
  <c r="B83" i="1"/>
  <c r="B19" i="1"/>
  <c r="B84" i="1"/>
  <c r="B85" i="1"/>
  <c r="B86" i="1"/>
  <c r="B93" i="1"/>
  <c r="B87" i="1"/>
  <c r="B88" i="1"/>
  <c r="B95" i="1"/>
  <c r="B89" i="1"/>
  <c r="B90" i="1"/>
  <c r="B91" i="1"/>
  <c r="I126" i="1"/>
  <c r="B94" i="1"/>
  <c r="B28" i="1"/>
  <c r="A100" i="1"/>
  <c r="A103" i="1"/>
  <c r="O128" i="1"/>
  <c r="A102" i="1"/>
  <c r="N128" i="1"/>
  <c r="A101" i="1"/>
  <c r="M128" i="1"/>
  <c r="L128" i="1"/>
  <c r="A99" i="1"/>
  <c r="K128" i="1"/>
  <c r="B82" i="1"/>
  <c r="I133" i="1"/>
  <c r="B48" i="1"/>
  <c r="B52" i="1"/>
  <c r="M126" i="1"/>
  <c r="B53" i="1"/>
  <c r="M133" i="1"/>
  <c r="B31" i="1"/>
  <c r="B11" i="1"/>
  <c r="B33" i="1"/>
  <c r="C33" i="1"/>
  <c r="D33" i="1"/>
  <c r="C37" i="1"/>
  <c r="B32" i="1"/>
  <c r="C32" i="1"/>
  <c r="D32" i="1"/>
  <c r="B37" i="1"/>
  <c r="B36" i="1"/>
  <c r="J137" i="1"/>
  <c r="H137" i="1"/>
  <c r="I137" i="1"/>
  <c r="O137" i="1"/>
  <c r="N137" i="1"/>
  <c r="M137" i="1"/>
  <c r="L137" i="1"/>
  <c r="K137" i="1"/>
  <c r="A137" i="1"/>
  <c r="O135" i="1"/>
  <c r="N135" i="1"/>
  <c r="M135" i="1"/>
  <c r="L135" i="1"/>
  <c r="K135" i="1"/>
  <c r="J130" i="1"/>
  <c r="H130" i="1"/>
  <c r="I130" i="1"/>
  <c r="O130" i="1"/>
  <c r="N130" i="1"/>
  <c r="M130" i="1"/>
  <c r="L130" i="1"/>
  <c r="K130" i="1"/>
  <c r="A130" i="1"/>
  <c r="B27" i="1"/>
  <c r="I122" i="1"/>
  <c r="B25" i="1"/>
  <c r="I120" i="1"/>
  <c r="B26" i="1"/>
  <c r="I121" i="1"/>
  <c r="B24" i="1"/>
  <c r="I119" i="1"/>
  <c r="B23" i="1"/>
  <c r="I118" i="1"/>
  <c r="I117" i="1"/>
  <c r="O114" i="1"/>
  <c r="K114" i="1"/>
  <c r="I114" i="1"/>
  <c r="B92" i="1"/>
  <c r="B66" i="1"/>
  <c r="C72" i="1"/>
  <c r="B72" i="1"/>
  <c r="C71" i="1"/>
  <c r="B71" i="1"/>
  <c r="C70" i="1"/>
  <c r="B70" i="1"/>
  <c r="C69" i="1"/>
  <c r="B69" i="1"/>
  <c r="B68" i="1"/>
  <c r="B56" i="1"/>
  <c r="G63" i="1"/>
  <c r="F63" i="1"/>
  <c r="E63" i="1"/>
  <c r="D63" i="1"/>
  <c r="C63" i="1"/>
  <c r="B63" i="1"/>
  <c r="G62" i="1"/>
  <c r="F62" i="1"/>
  <c r="E62" i="1"/>
  <c r="D62" i="1"/>
  <c r="C62" i="1"/>
  <c r="B62" i="1"/>
  <c r="G61" i="1"/>
  <c r="F61" i="1"/>
  <c r="E61" i="1"/>
  <c r="D61" i="1"/>
  <c r="C61" i="1"/>
  <c r="B61" i="1"/>
  <c r="G60" i="1"/>
  <c r="F60" i="1"/>
  <c r="E60" i="1"/>
  <c r="D60" i="1"/>
  <c r="C60" i="1"/>
  <c r="B60" i="1"/>
  <c r="G59" i="1"/>
  <c r="F59" i="1"/>
  <c r="E59" i="1"/>
  <c r="D59" i="1"/>
  <c r="C59" i="1"/>
  <c r="B59" i="1"/>
  <c r="B44" i="1"/>
  <c r="B43" i="1"/>
  <c r="B42" i="1"/>
  <c r="C36" i="1"/>
  <c r="B22" i="1"/>
  <c r="B21" i="1"/>
  <c r="B20" i="1"/>
  <c r="B10" i="1"/>
  <c r="B12" i="1"/>
  <c r="B14" i="1"/>
  <c r="B13" i="1"/>
  <c r="A5" i="1"/>
  <c r="A4" i="1"/>
  <c r="A3" i="1"/>
  <c r="A2" i="1"/>
</calcChain>
</file>

<file path=xl/sharedStrings.xml><?xml version="1.0" encoding="utf-8"?>
<sst xmlns="http://schemas.openxmlformats.org/spreadsheetml/2006/main" count="143" uniqueCount="133">
  <si>
    <t xml:space="preserve">New Adjustment ID : </t>
  </si>
  <si>
    <t xml:space="preserve">ESTIMATES CLEARING SUMMARY (Source Program) : </t>
  </si>
  <si>
    <t xml:space="preserve">Target Acculated Depreciation ROU Movement Account : </t>
  </si>
  <si>
    <t xml:space="preserve">Target Acculated Depreciation Movement  Account : </t>
  </si>
  <si>
    <t xml:space="preserve">Target Gross Value ROU Movement Account : </t>
  </si>
  <si>
    <t>Note : Pleasae leave the movement account as default if not applicable.</t>
  </si>
  <si>
    <t xml:space="preserve">Target Gross Value Movement  Account  : </t>
  </si>
  <si>
    <t xml:space="preserve">Target Equity Movement Account : </t>
  </si>
  <si>
    <t xml:space="preserve">First Year to Transfer : </t>
  </si>
  <si>
    <t xml:space="preserve">TRANSFER TO                                           (Target Program) : </t>
  </si>
  <si>
    <t xml:space="preserve">TRANSFER FROM                                   (Source Program) : </t>
  </si>
  <si>
    <t>Homepage - Annual Estimates - Data Entry</t>
  </si>
  <si>
    <t>sys_shared directory</t>
  </si>
  <si>
    <t xml:space="preserve">Create Adj By Measures? : </t>
  </si>
  <si>
    <t xml:space="preserve">Scenario : </t>
  </si>
  <si>
    <t xml:space="preserve">Headline Year : </t>
  </si>
  <si>
    <t>ADJ PARAMETERS</t>
  </si>
  <si>
    <t>TRANSFER PARAMETERS</t>
  </si>
  <si>
    <t>Procedure:</t>
  </si>
  <si>
    <t>Program Transfer</t>
  </si>
  <si>
    <t>Period Variables</t>
  </si>
  <si>
    <t>spp</t>
  </si>
  <si>
    <t>jurisdiction</t>
  </si>
  <si>
    <t>related entity</t>
  </si>
  <si>
    <t>id</t>
  </si>
  <si>
    <t>appropriation item</t>
  </si>
  <si>
    <t>appropriation type</t>
  </si>
  <si>
    <t>measure code</t>
  </si>
  <si>
    <t>reason</t>
  </si>
  <si>
    <t>function</t>
  </si>
  <si>
    <t>outcome</t>
  </si>
  <si>
    <t>status</t>
  </si>
  <si>
    <t>scenario</t>
  </si>
  <si>
    <t>Standard CBMS</t>
  </si>
  <si>
    <t>psFFType</t>
  </si>
  <si>
    <t xml:space="preserve">Are you sure you want to transfer programme estimates from Source to Target? </t>
  </si>
  <si>
    <t>Process FAILED. Please review error logs.</t>
  </si>
  <si>
    <t>Failure</t>
  </si>
  <si>
    <t>Programme transfer was successfully processed. Please go to AE listing to review adjustments.</t>
  </si>
  <si>
    <t>Action Button Messages and Parameters</t>
  </si>
  <si>
    <t>sys_ImpFileValidation</t>
  </si>
  <si>
    <t>geus adj</t>
  </si>
  <si>
    <t>geus scenario</t>
  </si>
  <si>
    <t>geus hl year</t>
  </si>
  <si>
    <t>sys_client preference measure</t>
  </si>
  <si>
    <t>validate</t>
  </si>
  <si>
    <t>value</t>
  </si>
  <si>
    <t>Client Preference</t>
  </si>
  <si>
    <t>Data Entry - Upload Template</t>
  </si>
  <si>
    <t>Adjustment - ID List</t>
  </si>
  <si>
    <t>Homepage - Annual Estimates</t>
  </si>
  <si>
    <t>Homepage - Home</t>
  </si>
  <si>
    <t>Worksheet</t>
  </si>
  <si>
    <t>Worksheet Name</t>
  </si>
  <si>
    <t>Workbook</t>
  </si>
  <si>
    <t>Workbook Name</t>
  </si>
  <si>
    <t>Caption</t>
  </si>
  <si>
    <t>Caption Name</t>
  </si>
  <si>
    <t>Application</t>
  </si>
  <si>
    <t>Current Workbook</t>
  </si>
  <si>
    <t>Slice View (sys_application)</t>
  </si>
  <si>
    <t>sys_application MDX</t>
  </si>
  <si>
    <t>Hyperlink File Path</t>
  </si>
  <si>
    <t>sys_Web URL Linked Folder</t>
  </si>
  <si>
    <t>sys_Web URL</t>
  </si>
  <si>
    <t>{[movement account].[Total movement]}</t>
  </si>
  <si>
    <t>MDX - Movement Account</t>
  </si>
  <si>
    <t>MDX - After</t>
  </si>
  <si>
    <t>MDX - Adjustment</t>
  </si>
  <si>
    <t>MDX - Before</t>
  </si>
  <si>
    <t>TarProg</t>
  </si>
  <si>
    <t>Src Prog</t>
  </si>
  <si>
    <t>progtrf_TarProgID</t>
  </si>
  <si>
    <t>progtrf_SrcProgID</t>
  </si>
  <si>
    <t>Default Start Year</t>
  </si>
  <si>
    <t>progtrf_Acc Depn ROU Movement Account</t>
  </si>
  <si>
    <t>progtrf_Gross Value ROU Movement Account</t>
  </si>
  <si>
    <t>progtrf_Acc Depn Movement Account</t>
  </si>
  <si>
    <t>progtrf_Gross Value Movement Account</t>
  </si>
  <si>
    <t>progtrf_Equity Movement Account</t>
  </si>
  <si>
    <t>sys_upload directory</t>
  </si>
  <si>
    <t>save location</t>
  </si>
  <si>
    <t>current budget round</t>
  </si>
  <si>
    <t>headline scenario</t>
  </si>
  <si>
    <t>headline year</t>
  </si>
  <si>
    <t>View</t>
  </si>
  <si>
    <t>System Variables</t>
  </si>
  <si>
    <t>Current User</t>
  </si>
  <si>
    <t>GEUS User Name</t>
  </si>
  <si>
    <t>}TM1_DefaultDisplayValue</t>
  </si>
  <si>
    <t>TM1 User</t>
  </si>
  <si>
    <t>}Clients</t>
  </si>
  <si>
    <t>Database Name</t>
  </si>
  <si>
    <t>[End Format Range]</t>
  </si>
  <si>
    <t>N</t>
  </si>
  <si>
    <t>D</t>
  </si>
  <si>
    <t>[Begin Format Range]</t>
  </si>
  <si>
    <t>Primary Financial Statement</t>
  </si>
  <si>
    <t>ID</t>
  </si>
  <si>
    <t>Movement Account</t>
  </si>
  <si>
    <t>RB     $'000</t>
  </si>
  <si>
    <t>NB    $'000</t>
  </si>
  <si>
    <t>FE1   $'000</t>
  </si>
  <si>
    <t>FE2   $'000</t>
  </si>
  <si>
    <t>FE3   $'000</t>
  </si>
  <si>
    <t xml:space="preserve">ESTIMATES TRANSFER SUMMARY  (Target Program) : </t>
  </si>
  <si>
    <t>New Adjustment ID :</t>
  </si>
  <si>
    <t>Adjustment - Programme Transfers</t>
  </si>
  <si>
    <t>Select Transfer and Adjustment parameters. Press Refresh to view Source and Target Program summary. After Transfer, review Target program summary. If OK, Clear Source</t>
  </si>
  <si>
    <t>Program Details</t>
  </si>
  <si>
    <t>Slice View</t>
  </si>
  <si>
    <t>Clearing Adjustments</t>
  </si>
  <si>
    <t>Transfer Adjustments</t>
  </si>
  <si>
    <t>PEFO</t>
  </si>
  <si>
    <t>MYEFO</t>
  </si>
  <si>
    <t>Additional Estimates</t>
  </si>
  <si>
    <t>Pre-ERC</t>
  </si>
  <si>
    <t>Budget</t>
  </si>
  <si>
    <t>Appropriation Bills</t>
  </si>
  <si>
    <t>Economic Update</t>
  </si>
  <si>
    <t>current</t>
  </si>
  <si>
    <t>Transfer Confirmation</t>
  </si>
  <si>
    <t>Clear Source Confirmation</t>
  </si>
  <si>
    <t xml:space="preserve">Are you sure you want to clear estimates from the Source Program? </t>
  </si>
  <si>
    <t>Transfer Success</t>
  </si>
  <si>
    <t>Clear Source Success</t>
  </si>
  <si>
    <t>Source Program estimates were successfully cleared. Please go to AE listing to review adjustments.</t>
  </si>
  <si>
    <t>Source</t>
  </si>
  <si>
    <t>Target</t>
  </si>
  <si>
    <t>Programme</t>
  </si>
  <si>
    <t>Element Level</t>
  </si>
  <si>
    <t>First year default is the next Budget year. Change if required.</t>
  </si>
  <si>
    <t>dcceew_geus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</si>
</sst>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_-* #,##0_-;[Red]* \(#,##0\)_-;_-* &quot;-&quot;??_-;_-@_-"/>
    <numFmt numFmtId="169" formatCode="&quot;- &quot;@"/>
    <numFmt numFmtId="170" formatCode="&quot;+ &quot;@"/>
  </numFmts>
  <fonts count="15" x14ac:knownFonts="1">
    <font>
      <sz val="11"/>
      <color theme="1"/>
      <name val="Calibri"/>
      <family val="2"/>
      <scheme val="minor"/>
    </font>
    <font>
      <sz val="10"/>
      <color theme="1"/>
      <name val="Arial"/>
      <family val="2"/>
    </font>
    <font>
      <b/>
      <sz val="11"/>
      <color theme="1"/>
      <name val="Calibri"/>
      <family val="2"/>
      <scheme val="minor"/>
    </font>
    <font>
      <b/>
      <sz val="11"/>
      <color rgb="FFFFFFFF"/>
      <name val="Calibri"/>
      <family val="2"/>
      <scheme val="minor"/>
    </font>
    <font>
      <sz val="9"/>
      <color theme="1"/>
      <name val="Calibri"/>
      <family val="2"/>
      <scheme val="minor"/>
    </font>
    <font>
      <b/>
      <sz val="28"/>
      <color theme="0"/>
      <name val="Calibri"/>
      <family val="2"/>
      <scheme val="minor"/>
    </font>
    <font>
      <sz val="11"/>
      <name val="Calibri"/>
      <family val="2"/>
      <scheme val="minor"/>
    </font>
    <font>
      <b/>
      <sz val="11"/>
      <color rgb="FF0070C0"/>
      <name val="Calibri"/>
      <family val="2"/>
      <scheme val="minor"/>
    </font>
    <font>
      <i/>
      <sz val="11"/>
      <color rgb="FFFF0000"/>
      <name val="Calibri"/>
      <family val="2"/>
      <scheme val="minor"/>
    </font>
    <font>
      <b/>
      <sz val="11"/>
      <color theme="0"/>
      <name val="Calibri"/>
      <family val="2"/>
      <scheme val="minor"/>
    </font>
    <font>
      <b/>
      <sz val="11"/>
      <name val="Calibri"/>
      <family val="2"/>
      <scheme val="minor"/>
    </font>
    <font>
      <sz val="10"/>
      <color rgb="FFFF0000"/>
      <name val="Calibri"/>
      <family val="2"/>
      <scheme val="minor"/>
    </font>
    <font>
      <b/>
      <i/>
      <sz val="10"/>
      <color rgb="FFFF0000"/>
      <name val="Calibri"/>
      <family val="2"/>
      <scheme val="minor"/>
    </font>
    <font>
      <sz val="10"/>
      <color rgb="FFFF0000"/>
      <name val="Calibri"/>
      <family val="2"/>
    </font>
    <font>
      <sz val="11"/>
      <color theme="1"/>
      <name val="Calibri"/>
      <family val="2"/>
      <scheme val="minor"/>
    </font>
  </fonts>
  <fills count="10">
    <fill>
      <patternFill patternType="none"/>
    </fill>
    <fill>
      <patternFill patternType="gray125"/>
    </fill>
    <fill>
      <patternFill patternType="solid">
        <fgColor rgb="FFBDD6E7"/>
        <bgColor indexed="64"/>
      </patternFill>
    </fill>
    <fill>
      <patternFill patternType="solid">
        <fgColor rgb="FFFFFFCC"/>
        <bgColor indexed="64"/>
      </patternFill>
    </fill>
    <fill>
      <patternFill patternType="solid">
        <fgColor theme="0" tint="-0.1498764000366222"/>
        <bgColor indexed="64"/>
      </patternFill>
    </fill>
    <fill>
      <patternFill patternType="solid">
        <fgColor rgb="FF00426A"/>
        <bgColor indexed="64"/>
      </patternFill>
    </fill>
    <fill>
      <patternFill patternType="solid">
        <fgColor theme="0" tint="-0.14990691854609822"/>
        <bgColor indexed="64"/>
      </patternFill>
    </fill>
    <fill>
      <patternFill patternType="solid">
        <fgColor theme="0" tint="-0.24988555558946501"/>
        <bgColor indexed="64"/>
      </patternFill>
    </fill>
    <fill>
      <patternFill patternType="solid">
        <fgColor rgb="FF333F48"/>
        <bgColor indexed="64"/>
      </patternFill>
    </fill>
    <fill>
      <patternFill patternType="solid">
        <fgColor theme="9" tint="0.59999389629810485"/>
        <bgColor indexed="64"/>
      </patternFill>
    </fill>
  </fills>
  <borders count="12">
    <border>
      <left/>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diagonal/>
    </border>
    <border>
      <left/>
      <right style="thin">
        <color auto="1"/>
      </right>
      <top/>
      <bottom/>
      <diagonal/>
    </border>
    <border>
      <left/>
      <right/>
      <top style="thin">
        <color auto="1"/>
      </top>
      <bottom/>
      <diagonal/>
    </border>
    <border>
      <left/>
      <right/>
      <top/>
      <bottom style="thin">
        <color auto="1"/>
      </bottom>
      <diagonal/>
    </border>
    <border>
      <left style="thin">
        <color auto="1"/>
      </left>
      <right/>
      <top style="thin">
        <color auto="1"/>
      </top>
      <bottom/>
      <diagonal/>
    </border>
  </borders>
  <cellStyleXfs count="7">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167" fontId="14" fillId="0" borderId="0" applyFont="0" applyFill="0" applyBorder="0" applyAlignment="0" applyProtection="0"/>
  </cellStyleXfs>
  <cellXfs count="74">
    <xf numFmtId="0" fontId="0" fillId="0" borderId="0" xfId="0"/>
    <xf numFmtId="0" fontId="0" fillId="2" borderId="1" xfId="0" applyFill="1" applyBorder="1"/>
    <xf numFmtId="0" fontId="0" fillId="3" borderId="0" xfId="0" applyFill="1"/>
    <xf numFmtId="0" fontId="4" fillId="3" borderId="0" xfId="0" applyFont="1" applyFill="1"/>
    <xf numFmtId="0" fontId="2" fillId="0" borderId="2" xfId="0" applyFont="1" applyBorder="1"/>
    <xf numFmtId="0" fontId="0" fillId="0" borderId="2" xfId="0" applyBorder="1" applyAlignment="1">
      <alignment horizontal="center"/>
    </xf>
    <xf numFmtId="0" fontId="0" fillId="0" borderId="3" xfId="0" applyBorder="1"/>
    <xf numFmtId="0" fontId="0" fillId="0" borderId="2" xfId="0" applyBorder="1" applyAlignment="1">
      <alignment horizontal="left"/>
    </xf>
    <xf numFmtId="0" fontId="0" fillId="0" borderId="2" xfId="0" applyBorder="1"/>
    <xf numFmtId="0" fontId="2" fillId="4" borderId="4" xfId="0" applyFont="1" applyFill="1" applyBorder="1"/>
    <xf numFmtId="0" fontId="2" fillId="4" borderId="5" xfId="0" applyFont="1" applyFill="1" applyBorder="1"/>
    <xf numFmtId="0" fontId="2" fillId="4" borderId="3" xfId="0" applyFont="1" applyFill="1" applyBorder="1"/>
    <xf numFmtId="0" fontId="2" fillId="4" borderId="1" xfId="0" applyFont="1" applyFill="1" applyBorder="1"/>
    <xf numFmtId="0" fontId="2" fillId="4" borderId="6" xfId="0" applyFont="1" applyFill="1" applyBorder="1"/>
    <xf numFmtId="0" fontId="2" fillId="0" borderId="2" xfId="0" applyFont="1" applyBorder="1" applyAlignment="1">
      <alignment horizontal="center"/>
    </xf>
    <xf numFmtId="0" fontId="0" fillId="2" borderId="0" xfId="0" applyFill="1"/>
    <xf numFmtId="0" fontId="5" fillId="5" borderId="0" xfId="0" applyFont="1" applyFill="1" applyAlignment="1">
      <alignment horizontal="right" vertical="center"/>
    </xf>
    <xf numFmtId="0" fontId="2" fillId="0" borderId="0" xfId="0" applyFont="1" applyAlignment="1">
      <alignment horizontal="right" indent="1"/>
    </xf>
    <xf numFmtId="0" fontId="6" fillId="0" borderId="0" xfId="0" applyFont="1" applyAlignment="1">
      <alignment horizontal="left" indent="1"/>
    </xf>
    <xf numFmtId="0" fontId="7" fillId="0" borderId="0" xfId="0" applyFont="1" applyAlignment="1">
      <alignment horizontal="right" vertical="top" wrapText="1"/>
    </xf>
    <xf numFmtId="0" fontId="2" fillId="0" borderId="0" xfId="0" applyFont="1" applyAlignment="1">
      <alignment horizontal="right" vertical="top" wrapText="1"/>
    </xf>
    <xf numFmtId="168" fontId="4" fillId="0" borderId="7" xfId="6" applyNumberFormat="1" applyFont="1" applyBorder="1"/>
    <xf numFmtId="168" fontId="4" fillId="0" borderId="0" xfId="6" applyNumberFormat="1" applyFont="1"/>
    <xf numFmtId="168" fontId="4" fillId="0" borderId="8" xfId="6" applyNumberFormat="1" applyFont="1" applyBorder="1"/>
    <xf numFmtId="0" fontId="4" fillId="0" borderId="1" xfId="0" applyFont="1" applyBorder="1"/>
    <xf numFmtId="0" fontId="3" fillId="5" borderId="0" xfId="0" applyFont="1" applyFill="1" applyAlignment="1">
      <alignment horizontal="center"/>
    </xf>
    <xf numFmtId="0" fontId="4" fillId="0" borderId="0" xfId="0" applyFont="1"/>
    <xf numFmtId="0" fontId="3" fillId="5" borderId="0" xfId="0" applyFont="1" applyFill="1" applyAlignment="1">
      <alignment horizontal="center" wrapText="1"/>
    </xf>
    <xf numFmtId="0" fontId="6" fillId="0" borderId="0" xfId="0" applyFont="1" applyAlignment="1">
      <alignment horizontal="left" vertical="top" wrapText="1"/>
    </xf>
    <xf numFmtId="0" fontId="0" fillId="0" borderId="9" xfId="0" applyBorder="1"/>
    <xf numFmtId="0" fontId="2" fillId="0" borderId="0" xfId="0" applyFont="1" applyAlignment="1">
      <alignment horizontal="right" vertical="top"/>
    </xf>
    <xf numFmtId="0" fontId="9" fillId="5" borderId="0" xfId="0" applyFont="1" applyFill="1" applyAlignment="1">
      <alignment horizontal="center"/>
    </xf>
    <xf numFmtId="0" fontId="2" fillId="6" borderId="2" xfId="0" applyFont="1" applyFill="1" applyBorder="1"/>
    <xf numFmtId="0" fontId="2" fillId="7" borderId="2" xfId="0" applyFont="1" applyFill="1" applyBorder="1"/>
    <xf numFmtId="0" fontId="0" fillId="7" borderId="2" xfId="0" applyFill="1" applyBorder="1"/>
    <xf numFmtId="0" fontId="2" fillId="0" borderId="0" xfId="0" applyFont="1" applyAlignment="1">
      <alignment horizontal="right"/>
    </xf>
    <xf numFmtId="0" fontId="2" fillId="0" borderId="0" xfId="0" applyFont="1" applyAlignment="1">
      <alignment horizontal="left" vertical="top" indent="4"/>
    </xf>
    <xf numFmtId="0" fontId="10" fillId="6" borderId="2" xfId="0" applyFont="1" applyFill="1" applyBorder="1"/>
    <xf numFmtId="0" fontId="2" fillId="0" borderId="0" xfId="0" applyFont="1" applyAlignment="1">
      <alignment horizontal="right" vertical="center"/>
    </xf>
    <xf numFmtId="0" fontId="12" fillId="0" borderId="0" xfId="0" applyFont="1" applyAlignment="1">
      <alignment horizontal="right" vertical="top"/>
    </xf>
    <xf numFmtId="0" fontId="11" fillId="0" borderId="0" xfId="0" applyFont="1" applyAlignment="1">
      <alignment vertical="top" wrapText="1"/>
    </xf>
    <xf numFmtId="0" fontId="2" fillId="0" borderId="9" xfId="0" applyFont="1" applyBorder="1" applyAlignment="1">
      <alignment horizontal="left" vertical="top" indent="4"/>
    </xf>
    <xf numFmtId="0" fontId="2" fillId="0" borderId="9" xfId="0" applyFont="1" applyBorder="1" applyAlignment="1">
      <alignment horizontal="right" vertical="top" wrapText="1"/>
    </xf>
    <xf numFmtId="169" fontId="4" fillId="0" borderId="1" xfId="0" applyNumberFormat="1" applyFont="1" applyBorder="1"/>
    <xf numFmtId="170" fontId="4" fillId="0" borderId="1" xfId="0" applyNumberFormat="1" applyFont="1" applyBorder="1"/>
    <xf numFmtId="170" fontId="4" fillId="0" borderId="0" xfId="0" applyNumberFormat="1" applyFont="1"/>
    <xf numFmtId="0" fontId="0" fillId="0" borderId="6" xfId="0" applyBorder="1" applyAlignment="1" applyProtection="1">
      <alignment horizontal="center" vertical="center"/>
      <protection locked="0"/>
    </xf>
    <xf numFmtId="0" fontId="2" fillId="4" borderId="4" xfId="0" applyFont="1" applyFill="1" applyBorder="1" applyAlignment="1">
      <alignment horizontal="center"/>
    </xf>
    <xf numFmtId="0" fontId="2" fillId="4" borderId="5" xfId="0" applyFont="1" applyFill="1" applyBorder="1" applyAlignment="1">
      <alignment horizontal="center"/>
    </xf>
    <xf numFmtId="0" fontId="2" fillId="4" borderId="3" xfId="0" applyFont="1" applyFill="1" applyBorder="1" applyAlignment="1">
      <alignment horizontal="center"/>
    </xf>
    <xf numFmtId="0" fontId="9" fillId="8" borderId="7" xfId="0" applyFont="1" applyFill="1" applyBorder="1" applyAlignment="1">
      <alignment horizontal="center"/>
    </xf>
    <xf numFmtId="0" fontId="9" fillId="8" borderId="10" xfId="0" applyFont="1" applyFill="1" applyBorder="1" applyAlignment="1">
      <alignment horizontal="center"/>
    </xf>
    <xf numFmtId="0" fontId="9" fillId="8" borderId="7" xfId="0" applyFont="1" applyFill="1" applyBorder="1" applyAlignment="1">
      <alignment horizontal="left" indent="1"/>
    </xf>
    <xf numFmtId="0" fontId="9" fillId="8" borderId="0" xfId="0" applyFont="1" applyFill="1" applyAlignment="1">
      <alignment horizontal="left" indent="1"/>
    </xf>
    <xf numFmtId="0" fontId="6" fillId="0" borderId="4" xfId="0" applyFont="1" applyBorder="1" applyAlignment="1" applyProtection="1">
      <alignment horizontal="left" indent="1"/>
      <protection locked="0"/>
    </xf>
    <xf numFmtId="0" fontId="6" fillId="0" borderId="5" xfId="0" applyFont="1" applyBorder="1" applyAlignment="1" applyProtection="1">
      <alignment horizontal="left" indent="1"/>
      <protection locked="0"/>
    </xf>
    <xf numFmtId="0" fontId="6" fillId="0" borderId="3" xfId="0" applyFont="1" applyBorder="1" applyAlignment="1" applyProtection="1">
      <alignment horizontal="left" indent="1"/>
      <protection locked="0"/>
    </xf>
    <xf numFmtId="0" fontId="6" fillId="0" borderId="2" xfId="0" applyFont="1" applyBorder="1" applyAlignment="1" applyProtection="1">
      <alignment horizontal="left" vertical="top" indent="1"/>
      <protection locked="0"/>
    </xf>
    <xf numFmtId="0" fontId="13" fillId="0" borderId="0" xfId="0" applyFont="1" applyAlignment="1">
      <alignment horizontal="left" vertical="top" wrapText="1" indent="1"/>
    </xf>
    <xf numFmtId="0" fontId="6" fillId="0" borderId="4" xfId="0" applyFont="1" applyBorder="1" applyAlignment="1" applyProtection="1">
      <alignment horizontal="left" vertical="center" indent="1"/>
      <protection locked="0"/>
    </xf>
    <xf numFmtId="0" fontId="6" fillId="0" borderId="5" xfId="0" applyFont="1" applyBorder="1" applyAlignment="1" applyProtection="1">
      <alignment horizontal="left" vertical="center" indent="1"/>
      <protection locked="0"/>
    </xf>
    <xf numFmtId="0" fontId="6" fillId="0" borderId="3" xfId="0" applyFont="1" applyBorder="1" applyAlignment="1" applyProtection="1">
      <alignment horizontal="left" vertical="center" indent="1"/>
      <protection locked="0"/>
    </xf>
    <xf numFmtId="0" fontId="8" fillId="0" borderId="7" xfId="0" applyFont="1" applyBorder="1" applyAlignment="1">
      <alignment horizontal="left" vertical="top" wrapText="1" indent="1"/>
    </xf>
    <xf numFmtId="0" fontId="8" fillId="9" borderId="2" xfId="0" applyFont="1" applyFill="1" applyBorder="1" applyAlignment="1">
      <alignment horizontal="left" vertical="center" wrapText="1" indent="1"/>
    </xf>
    <xf numFmtId="0" fontId="10" fillId="6" borderId="2" xfId="0" applyFont="1" applyFill="1" applyBorder="1" applyAlignment="1">
      <alignment horizontal="left" indent="1"/>
    </xf>
    <xf numFmtId="0" fontId="8" fillId="0" borderId="11" xfId="0" applyFont="1" applyBorder="1" applyAlignment="1">
      <alignment horizontal="left" indent="1"/>
    </xf>
    <xf numFmtId="0" fontId="8" fillId="0" borderId="9" xfId="0" applyFont="1" applyBorder="1" applyAlignment="1">
      <alignment horizontal="left" indent="1"/>
    </xf>
    <xf numFmtId="0" fontId="6" fillId="6" borderId="4" xfId="0" applyFont="1" applyFill="1" applyBorder="1" applyAlignment="1">
      <alignment horizontal="left" vertical="top" wrapText="1"/>
    </xf>
    <xf numFmtId="0" fontId="6" fillId="6" borderId="3" xfId="0" applyFont="1" applyFill="1" applyBorder="1" applyAlignment="1">
      <alignment horizontal="left" vertical="top" wrapText="1"/>
    </xf>
    <xf numFmtId="2" fontId="6" fillId="6" borderId="2" xfId="0" applyNumberFormat="1" applyFont="1" applyFill="1" applyBorder="1" applyAlignment="1">
      <alignment horizontal="left" vertical="top" wrapText="1" indent="1"/>
    </xf>
    <xf numFmtId="0" fontId="6" fillId="6" borderId="4" xfId="0" applyFont="1" applyFill="1" applyBorder="1" applyAlignment="1">
      <alignment horizontal="left" vertical="top" wrapText="1" indent="1"/>
    </xf>
    <xf numFmtId="0" fontId="6" fillId="6" borderId="5" xfId="0" applyFont="1" applyFill="1" applyBorder="1" applyAlignment="1">
      <alignment horizontal="left" vertical="top" wrapText="1" indent="1"/>
    </xf>
    <xf numFmtId="0" fontId="6" fillId="6" borderId="3" xfId="0" applyFont="1" applyFill="1" applyBorder="1" applyAlignment="1">
      <alignment horizontal="left" vertical="top" wrapText="1" indent="1"/>
    </xf>
    <xf numFmtId="0" fontId="6" fillId="6" borderId="2" xfId="0" applyFont="1" applyFill="1" applyBorder="1" applyAlignment="1">
      <alignment horizontal="left" vertical="top" wrapText="1"/>
    </xf>
  </cellXfs>
  <cellStyles count="7">
    <cellStyle name="Comma" xfId="4" xr:uid="{00000000-0005-0000-0000-000004000000}"/>
    <cellStyle name="Comma [0]" xfId="5" xr:uid="{00000000-0005-0000-0000-000005000000}"/>
    <cellStyle name="Comma 4" xfId="6" xr:uid="{00000000-0005-0000-0000-000006000000}"/>
    <cellStyle name="Currency" xfId="2" xr:uid="{00000000-0005-0000-0000-000002000000}"/>
    <cellStyle name="Currency [0]" xfId="3" xr:uid="{00000000-0005-0000-0000-000003000000}"/>
    <cellStyle name="Normal" xfId="0" builtinId="0"/>
    <cellStyle name="Percent" xfId="1" xr:uid="{00000000-0005-0000-0000-000001000000}"/>
  </cellStyles>
  <dxfs count="9">
    <dxf>
      <font>
        <b/>
        <i val="0"/>
        <color rgb="FFFF0000"/>
      </font>
      <fill>
        <patternFill>
          <bgColor rgb="FFFFFF00"/>
        </patternFill>
      </fill>
    </dxf>
    <dxf>
      <font>
        <b/>
        <i val="0"/>
        <color rgb="FFFF0000"/>
      </font>
    </dxf>
    <dxf>
      <font>
        <b/>
        <i val="0"/>
        <color rgb="FF0070C0"/>
      </font>
    </dxf>
    <dxf>
      <font>
        <b/>
        <i val="0"/>
        <color rgb="FFFF0000"/>
      </font>
    </dxf>
    <dxf>
      <font>
        <b/>
        <i val="0"/>
        <color rgb="FF0070C0"/>
      </font>
    </dxf>
    <dxf>
      <font>
        <b/>
        <i val="0"/>
        <color rgb="FFFF0000"/>
      </font>
    </dxf>
    <dxf>
      <font>
        <b/>
        <i val="0"/>
        <color rgb="FF0070C0"/>
      </font>
    </dxf>
    <dxf>
      <font>
        <b/>
        <i val="0"/>
        <color rgb="FFFF0000"/>
      </font>
    </dxf>
    <dxf>
      <font>
        <b/>
        <i val="0"/>
        <color rgb="FF0070C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BDD6E7"/>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5.xml.rels><?xml version="1.0" encoding="UTF-8" standalone="yes"?>
<Relationships xmlns="http://schemas.openxmlformats.org/package/2006/relationships"><Relationship Id="rId1" Type="http://schemas.microsoft.com/office/2006/relationships/activeXControlBinary" Target="activeX2.bin"/></Relationships>
</file>

<file path=xl/activeX/_rels/activeX6.xml.rels><?xml version="1.0" encoding="UTF-8" standalone="yes"?>
<Relationships xmlns="http://schemas.openxmlformats.org/package/2006/relationships"><Relationship Id="rId1" Type="http://schemas.microsoft.com/office/2006/relationships/activeXControlBinary" Target="activeX3.bin"/></Relationships>
</file>

<file path=xl/activeX/_rels/activeX7.xml.rels><?xml version="1.0" encoding="UTF-8" standalone="yes"?>
<Relationships xmlns="http://schemas.openxmlformats.org/package/2006/relationships"><Relationship Id="rId1" Type="http://schemas.microsoft.com/office/2006/relationships/activeXControlBinary" Target="activeX4.bin"/></Relationships>
</file>

<file path=xl/activeX/activeX1.xml><?xml version="1.0" encoding="utf-8"?>
<ax:ocx xmlns:ax="http://schemas.microsoft.com/office/2006/activeX" xmlns:r="http://schemas.openxmlformats.org/officeDocument/2006/relationships" ax:classid="{CF3B4A6E-56A4-403F-8D4F-F4B0F022BF01}" ax:persistence="persistStreamInit" r:id="rId1"/>
</file>

<file path=xl/activeX/activeX2.xml><?xml version="1.0" encoding="utf-8"?>
<ax:ocx xmlns:ax="http://schemas.microsoft.com/office/2006/activeX" xmlns:r="http://schemas.openxmlformats.org/officeDocument/2006/relationships" ax:classid="{CF3B4A6E-56A4-403F-8D4F-F4B0F022BF01}" ax:persistence="persistPropertyBag">
  <ax:ocxPr ax:name="_Version" ax:value="65541"/>
  <ax:ocxPr ax:name="_ExtentX" ax:value="1296"/>
  <ax:ocxPr ax:name="_ExtentY" ax:value="476"/>
  <ax:ocxPr ax:name="_StockProps" ax:value="0"/>
  <ax:ocxPr ax:name="ServerName" ax:value="=db_name"/>
  <ax:ocxPr ax:name="ProcessName" ax:value="AE_Transfer Prog Baseline 05"/>
  <ax:ocxPr ax:name="Name" ax:value="psUser"/>
  <ax:ocxPr ax:name="Type" ax:value="0"/>
  <ax:ocxPr ax:name="Value" ax:value="=psUser"/>
  <ax:ocxPr ax:name="Prompt" ax:value=""/>
  <ax:ocxPr ax:name="BackColor" ax:value="6963712"/>
  <ax:ocxPr ax:name="ForeColor" ax:value="16777215"/>
  <ax:ocxPr ax:name="Font">
    <ax:font ax:persistence="persistPropertyBag">
      <ax:ocxPr ax:name="Name" ax:value="Calibri"/>
      <ax:ocxPr ax:name="Size" ax:value="9.6"/>
      <ax:ocxPr ax:name="Charset" ax:value="0"/>
      <ax:ocxPr ax:name="Weight" ax:value="700"/>
      <ax:ocxPr ax:name="Underline" ax:value="0"/>
      <ax:ocxPr ax:name="Italic" ax:value="0"/>
      <ax:ocxPr ax:name="Strikethrough" ax:value="0"/>
    </ax:font>
  </ax:ocxPr>
  <ax:ocxPr ax:name="Caption" ax:value="*KEY_ERR"/>
  <ax:ocxPr ax:name="UseFormula" ax:value="0"/>
  <ax:ocxPr ax:name="ProcessNameFormula" ax:value=""/>
  <ax:ocxPr ax:name="ProcessParamFormula" ax:value=""/>
  <ax:ocxPr ax:name="UseImage" ax:value="0"/>
  <ax:ocxPr ax:name="ImageName" ax:value=""/>
  <ax:ocxPr ax:name="AutoRacalc" ax:value="-1"/>
  <ax:ocxPr ax:name="ConfirmMessage" ax:value="Are you sure you want to run this Process?"/>
  <ax:ocxPr ax:name="SuccessMessage" ax:value="Process completed successfully."/>
  <ax:ocxPr ax:name="FailureMessage" ax:value="Process failed."/>
  <ax:ocxPr ax:name="ShowConfirmMessage" ax:value="0"/>
  <ax:ocxPr ax:name="ShowSuccessMessage" ax:value="0"/>
  <ax:ocxPr ax:name="ShowFailureMessage" ax:value="0"/>
  <ax:ocxPr ax:name="TargetWorkbookName" ax:value="=TM1HomeWB"/>
  <ax:ocxPr ax:name="TargetWorksheetName" ax:value="=TM1HomeWS"/>
  <ax:ocxPr ax:name="AutoTitles" ax:value="0"/>
  <ax:ocxPr ax:name="ReplaceWindow" ax:value="-1"/>
  <ax:ocxPr ax:name="IsMappingFormula" ax:value="0"/>
  <ax:ocxPr ax:name="TargetTypes" ax:value=""/>
  <ax:ocxPr ax:name="TargetObjects" ax:value=""/>
  <ax:ocxPr ax:name="TargetSubsets" ax:value=""/>
  <ax:ocxPr ax:name="TargetAliases" ax:value=""/>
  <ax:ocxPr ax:name="TargetValues" ax:value=""/>
  <ax:ocxPr ax:name="SourceTypes" ax:value=""/>
  <ax:ocxPr ax:name="SourceObjects" ax:value=""/>
  <ax:ocxPr ax:name="TargetTypesFormula" ax:value=""/>
  <ax:ocxPr ax:name="TargetObjectsFormula" ax:value=""/>
  <ax:ocxPr ax:name="TargetSubsetsFormula" ax:value=""/>
  <ax:ocxPr ax:name="TargetAliasesFormula" ax:value=""/>
  <ax:ocxPr ax:name="TargetValuesFormula" ax:value=""/>
  <ax:ocxPr ax:name="SourceTypesFormula" ax:value=""/>
  <ax:ocxPr ax:name="SourceObjectsFormula" ax:value=""/>
  <ax:ocxPr ax:name="DisplayHyperlink" ax:value="0"/>
  <ax:ocxPr ax:name="DoRunTI" ax:value="0"/>
  <ax:ocxPr ax:name="DoNavigate" ax:value="-1"/>
  <ax:ocxPr ax:name="UseApporg" ax:value="-1"/>
  <ax:ocxPr ax:name="Version" ax:value="6"/>
  <ax:ocxPr ax:name="PreRecalc" ax:value="1"/>
  <ax:ocxPr ax:name="WorkSheetRecalc" ax:value="2"/>
  <ax:ocxPr ax:name="ProcessRecalc" ax:value="1"/>
  <ax:ocxPr ax:name="DoReCalcOnly" ax:value="0"/>
  <ax:ocxPr ax:name="UseReferenceForServerName" ax:value="-1"/>
  <ax:ocxPr ax:name="CaptionNotEval" ax:value="=TM1HomeCAP"/>
  <ax:ocxPr ax:name="ResizeButtonToCaption" ax:value="0"/>
</ax:ocx>
</file>

<file path=xl/activeX/activeX3.xml><?xml version="1.0" encoding="utf-8"?>
<ax:ocx xmlns:ax="http://schemas.microsoft.com/office/2006/activeX" xmlns:r="http://schemas.openxmlformats.org/officeDocument/2006/relationships" ax:classid="{CF3B4A6E-56A4-403F-8D4F-F4B0F022BF01}" ax:persistence="persistPropertyBag">
  <ax:ocxPr ax:name="_Version" ax:value="65541"/>
  <ax:ocxPr ax:name="_ExtentX" ax:value="2672"/>
  <ax:ocxPr ax:name="_ExtentY" ax:value="476"/>
  <ax:ocxPr ax:name="_StockProps" ax:value="0"/>
  <ax:ocxPr ax:name="ServerName" ax:value="=db_name"/>
  <ax:ocxPr ax:name="ProcessName" ax:value="AE_Transfer Prog Baseline 05"/>
  <ax:ocxPr ax:name="Name" ax:value="psUser"/>
  <ax:ocxPr ax:name="Type" ax:value="0"/>
  <ax:ocxPr ax:name="Value" ax:value="=psUser"/>
  <ax:ocxPr ax:name="Prompt" ax:value=""/>
  <ax:ocxPr ax:name="BackColor" ax:value="6963712"/>
  <ax:ocxPr ax:name="ForeColor" ax:value="16777215"/>
  <ax:ocxPr ax:name="Font">
    <ax:font ax:persistence="persistPropertyBag">
      <ax:ocxPr ax:name="Name" ax:value="Calibri"/>
      <ax:ocxPr ax:name="Size" ax:value="9.6"/>
      <ax:ocxPr ax:name="Charset" ax:value="0"/>
      <ax:ocxPr ax:name="Weight" ax:value="700"/>
      <ax:ocxPr ax:name="Underline" ax:value="0"/>
      <ax:ocxPr ax:name="Italic" ax:value="0"/>
      <ax:ocxPr ax:name="Strikethrough" ax:value="0"/>
    </ax:font>
  </ax:ocxPr>
  <ax:ocxPr ax:name="Caption" ax:value="*KEY_ERR"/>
  <ax:ocxPr ax:name="UseFormula" ax:value="0"/>
  <ax:ocxPr ax:name="ProcessNameFormula" ax:value=""/>
  <ax:ocxPr ax:name="ProcessParamFormula" ax:value=""/>
  <ax:ocxPr ax:name="UseImage" ax:value="0"/>
  <ax:ocxPr ax:name="ImageName" ax:value=""/>
  <ax:ocxPr ax:name="AutoRacalc" ax:value="-1"/>
  <ax:ocxPr ax:name="ConfirmMessage" ax:value="Are you sure you want to run this Process?"/>
  <ax:ocxPr ax:name="SuccessMessage" ax:value="Process completed successfully."/>
  <ax:ocxPr ax:name="FailureMessage" ax:value="Process failed."/>
  <ax:ocxPr ax:name="ShowConfirmMessage" ax:value="0"/>
  <ax:ocxPr ax:name="ShowSuccessMessage" ax:value="0"/>
  <ax:ocxPr ax:name="ShowFailureMessage" ax:value="0"/>
  <ax:ocxPr ax:name="TargetWorkbookName" ax:value="=TM1HomeAEDataEntryWB"/>
  <ax:ocxPr ax:name="TargetWorksheetName" ax:value="=TM1HomeAEDataEntryWS"/>
  <ax:ocxPr ax:name="AutoTitles" ax:value="0"/>
  <ax:ocxPr ax:name="ReplaceWindow" ax:value="-1"/>
  <ax:ocxPr ax:name="IsMappingFormula" ax:value="0"/>
  <ax:ocxPr ax:name="TargetTypes" ax:value=""/>
  <ax:ocxPr ax:name="TargetObjects" ax:value=""/>
  <ax:ocxPr ax:name="TargetSubsets" ax:value=""/>
  <ax:ocxPr ax:name="TargetAliases" ax:value=""/>
  <ax:ocxPr ax:name="TargetValues" ax:value=""/>
  <ax:ocxPr ax:name="SourceTypes" ax:value=""/>
  <ax:ocxPr ax:name="SourceObjects" ax:value=""/>
  <ax:ocxPr ax:name="TargetTypesFormula" ax:value=""/>
  <ax:ocxPr ax:name="TargetObjectsFormula" ax:value=""/>
  <ax:ocxPr ax:name="TargetSubsetsFormula" ax:value=""/>
  <ax:ocxPr ax:name="TargetAliasesFormula" ax:value=""/>
  <ax:ocxPr ax:name="TargetValuesFormula" ax:value=""/>
  <ax:ocxPr ax:name="SourceTypesFormula" ax:value=""/>
  <ax:ocxPr ax:name="SourceObjectsFormula" ax:value=""/>
  <ax:ocxPr ax:name="DisplayHyperlink" ax:value="0"/>
  <ax:ocxPr ax:name="DoRunTI" ax:value="0"/>
  <ax:ocxPr ax:name="DoNavigate" ax:value="-1"/>
  <ax:ocxPr ax:name="UseApporg" ax:value="-1"/>
  <ax:ocxPr ax:name="Version" ax:value="6"/>
  <ax:ocxPr ax:name="PreRecalc" ax:value="1"/>
  <ax:ocxPr ax:name="WorkSheetRecalc" ax:value="2"/>
  <ax:ocxPr ax:name="ProcessRecalc" ax:value="1"/>
  <ax:ocxPr ax:name="DoReCalcOnly" ax:value="0"/>
  <ax:ocxPr ax:name="UseReferenceForServerName" ax:value="-1"/>
  <ax:ocxPr ax:name="CaptionNotEval" ax:value="=TM1HomeAEDataEntryCAP"/>
  <ax:ocxPr ax:name="ResizeButtonToCaption" ax:value="0"/>
</ax:ocx>
</file>

<file path=xl/activeX/activeX4.xml><?xml version="1.0" encoding="utf-8"?>
<ax:ocx xmlns:ax="http://schemas.microsoft.com/office/2006/activeX" xmlns:r="http://schemas.openxmlformats.org/officeDocument/2006/relationships" ax:classid="{CF3B4A6E-56A4-403F-8D4F-F4B0F022BF01}" ax:persistence="persistPropertyBag">
  <ax:ocxPr ax:name="_Version" ax:value="65541"/>
  <ax:ocxPr ax:name="_ExtentX" ax:value="1191"/>
  <ax:ocxPr ax:name="_ExtentY" ax:value="476"/>
  <ax:ocxPr ax:name="_StockProps" ax:value="0"/>
  <ax:ocxPr ax:name="ServerName" ax:value="=db_name"/>
  <ax:ocxPr ax:name="ProcessName" ax:value="AE_Transfer Prog Baseline 05"/>
  <ax:ocxPr ax:name="Name" ax:value="psUser"/>
  <ax:ocxPr ax:name="Type" ax:value="0"/>
  <ax:ocxPr ax:name="Value" ax:value="=psUser"/>
  <ax:ocxPr ax:name="Prompt" ax:value=""/>
  <ax:ocxPr ax:name="BackColor" ax:value="6963712"/>
  <ax:ocxPr ax:name="ForeColor" ax:value="16777215"/>
  <ax:ocxPr ax:name="Font">
    <ax:font ax:persistence="persistPropertyBag">
      <ax:ocxPr ax:name="Name" ax:value="Calibri"/>
      <ax:ocxPr ax:name="Size" ax:value="9.6"/>
      <ax:ocxPr ax:name="Charset" ax:value="0"/>
      <ax:ocxPr ax:name="Weight" ax:value="700"/>
      <ax:ocxPr ax:name="Underline" ax:value="0"/>
      <ax:ocxPr ax:name="Italic" ax:value="0"/>
      <ax:ocxPr ax:name="Strikethrough" ax:value="0"/>
    </ax:font>
  </ax:ocxPr>
  <ax:ocxPr ax:name="Caption" ax:value="*KEY_ERR"/>
  <ax:ocxPr ax:name="UseFormula" ax:value="0"/>
  <ax:ocxPr ax:name="ProcessNameFormula" ax:value=""/>
  <ax:ocxPr ax:name="ProcessParamFormula" ax:value=""/>
  <ax:ocxPr ax:name="UseImage" ax:value="0"/>
  <ax:ocxPr ax:name="ImageName" ax:value=""/>
  <ax:ocxPr ax:name="AutoRacalc" ax:value="-1"/>
  <ax:ocxPr ax:name="ConfirmMessage" ax:value="Are you sure you want to run this Process?"/>
  <ax:ocxPr ax:name="SuccessMessage" ax:value="Process completed successfully."/>
  <ax:ocxPr ax:name="FailureMessage" ax:value="Process failed."/>
  <ax:ocxPr ax:name="ShowConfirmMessage" ax:value="0"/>
  <ax:ocxPr ax:name="ShowSuccessMessage" ax:value="0"/>
  <ax:ocxPr ax:name="ShowFailureMessage" ax:value="0"/>
  <ax:ocxPr ax:name="TargetWorkbookName" ax:value="=TM1AdjIDListWB"/>
  <ax:ocxPr ax:name="TargetWorksheetName" ax:value="=TM1AdjIDListWS"/>
  <ax:ocxPr ax:name="AutoTitles" ax:value="0"/>
  <ax:ocxPr ax:name="ReplaceWindow" ax:value="-1"/>
  <ax:ocxPr ax:name="IsMappingFormula" ax:value="0"/>
  <ax:ocxPr ax:name="TargetTypes" ax:value=""/>
  <ax:ocxPr ax:name="TargetObjects" ax:value=""/>
  <ax:ocxPr ax:name="TargetSubsets" ax:value=""/>
  <ax:ocxPr ax:name="TargetAliases" ax:value=""/>
  <ax:ocxPr ax:name="TargetValues" ax:value=""/>
  <ax:ocxPr ax:name="SourceTypes" ax:value=""/>
  <ax:ocxPr ax:name="SourceObjects" ax:value=""/>
  <ax:ocxPr ax:name="TargetTypesFormula" ax:value=""/>
  <ax:ocxPr ax:name="TargetObjectsFormula" ax:value=""/>
  <ax:ocxPr ax:name="TargetSubsetsFormula" ax:value=""/>
  <ax:ocxPr ax:name="TargetAliasesFormula" ax:value=""/>
  <ax:ocxPr ax:name="TargetValuesFormula" ax:value=""/>
  <ax:ocxPr ax:name="SourceTypesFormula" ax:value=""/>
  <ax:ocxPr ax:name="SourceObjectsFormula" ax:value=""/>
  <ax:ocxPr ax:name="DisplayHyperlink" ax:value="0"/>
  <ax:ocxPr ax:name="DoRunTI" ax:value="0"/>
  <ax:ocxPr ax:name="DoNavigate" ax:value="-1"/>
  <ax:ocxPr ax:name="UseApporg" ax:value="-1"/>
  <ax:ocxPr ax:name="Version" ax:value="6"/>
  <ax:ocxPr ax:name="PreRecalc" ax:value="1"/>
  <ax:ocxPr ax:name="WorkSheetRecalc" ax:value="2"/>
  <ax:ocxPr ax:name="ProcessRecalc" ax:value="1"/>
  <ax:ocxPr ax:name="DoReCalcOnly" ax:value="0"/>
  <ax:ocxPr ax:name="UseReferenceForServerName" ax:value="-1"/>
  <ax:ocxPr ax:name="CaptionNotEval" ax:value="=TM1AdjIDListCAP"/>
  <ax:ocxPr ax:name="ResizeButtonToCaption" ax:value="0"/>
</ax:ocx>
</file>

<file path=xl/activeX/activeX5.xml><?xml version="1.0" encoding="utf-8"?>
<ax:ocx xmlns:ax="http://schemas.microsoft.com/office/2006/activeX" xmlns:r="http://schemas.openxmlformats.org/officeDocument/2006/relationships" ax:classid="{CF3B4A6E-56A4-403F-8D4F-F4B0F022BF01}" ax:persistence="persistStreamInit" r:id="rId1"/>
</file>

<file path=xl/activeX/activeX6.xml><?xml version="1.0" encoding="utf-8"?>
<ax:ocx xmlns:ax="http://schemas.microsoft.com/office/2006/activeX" xmlns:r="http://schemas.openxmlformats.org/officeDocument/2006/relationships" ax:classid="{CF3B4A6E-56A4-403F-8D4F-F4B0F022BF01}" ax:persistence="persistStreamInit" r:id="rId1"/>
</file>

<file path=xl/activeX/activeX7.xml><?xml version="1.0" encoding="utf-8"?>
<ax:ocx xmlns:ax="http://schemas.microsoft.com/office/2006/activeX" xmlns:r="http://schemas.openxmlformats.org/officeDocument/2006/relationships" ax:classid="{CF3B4A6E-56A4-403F-8D4F-F4B0F022BF01}" ax:persistence="persistStreamInit" r:id="rId1"/>
</file>

<file path=xl/drawings/_rels/drawing1.xml.rels><?xml version="1.0" encoding="UTF-8" standalone="yes"?>
<Relationships xmlns="http://schemas.openxmlformats.org/package/2006/relationships"><Relationship Id="rId1"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1059180</xdr:colOff>
          <xdr:row>109</xdr:row>
          <xdr:rowOff>0</xdr:rowOff>
        </xdr:from>
        <xdr:to>
          <xdr:col>9</xdr:col>
          <xdr:colOff>647700</xdr:colOff>
          <xdr:row>109</xdr:row>
          <xdr:rowOff>243840</xdr:rowOff>
        </xdr:to>
        <xdr:sp macro="" textlink="">
          <xdr:nvSpPr>
            <xdr:cNvPr id="1025" name="TIButton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7</xdr:col>
          <xdr:colOff>60960</xdr:colOff>
          <xdr:row>109</xdr:row>
          <xdr:rowOff>0</xdr:rowOff>
        </xdr:from>
        <xdr:to>
          <xdr:col>7</xdr:col>
          <xdr:colOff>746760</xdr:colOff>
          <xdr:row>109</xdr:row>
          <xdr:rowOff>251460</xdr:rowOff>
        </xdr:to>
        <xdr:sp macro="" textlink="">
          <xdr:nvSpPr>
            <xdr:cNvPr id="1026" name="TIButton3"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7</xdr:col>
          <xdr:colOff>792480</xdr:colOff>
          <xdr:row>109</xdr:row>
          <xdr:rowOff>0</xdr:rowOff>
        </xdr:from>
        <xdr:to>
          <xdr:col>7</xdr:col>
          <xdr:colOff>2209800</xdr:colOff>
          <xdr:row>109</xdr:row>
          <xdr:rowOff>251460</xdr:rowOff>
        </xdr:to>
        <xdr:sp macro="" textlink="">
          <xdr:nvSpPr>
            <xdr:cNvPr id="1027" name="TIButton2"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7</xdr:col>
          <xdr:colOff>2255520</xdr:colOff>
          <xdr:row>109</xdr:row>
          <xdr:rowOff>0</xdr:rowOff>
        </xdr:from>
        <xdr:to>
          <xdr:col>7</xdr:col>
          <xdr:colOff>2887980</xdr:colOff>
          <xdr:row>109</xdr:row>
          <xdr:rowOff>251460</xdr:rowOff>
        </xdr:to>
        <xdr:sp macro="" textlink="">
          <xdr:nvSpPr>
            <xdr:cNvPr id="1028" name="TIButton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xdr:twoCellAnchor editAs="oneCell">
    <xdr:from>
      <xdr:col>7</xdr:col>
      <xdr:colOff>0</xdr:colOff>
      <xdr:row>0</xdr:row>
      <xdr:rowOff>0</xdr:rowOff>
    </xdr:from>
    <xdr:to>
      <xdr:col>7</xdr:col>
      <xdr:colOff>1811655</xdr:colOff>
      <xdr:row>108</xdr:row>
      <xdr:rowOff>15240</xdr:rowOff>
    </xdr:to>
    <xdr:pic>
      <xdr:nvPicPr>
        <xdr:cNvPr id="7" name="Picture 3">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1"/>
        <a:stretch>
          <a:fillRect/>
        </a:stretch>
      </xdr:blipFill>
      <xdr:spPr>
        <a:xfrm>
          <a:off x="47625" y="0"/>
          <a:ext cx="1809750" cy="476250"/>
        </a:xfrm>
        <a:prstGeom prst="rect">
          <a:avLst/>
        </a:prstGeom>
      </xdr:spPr>
    </xdr:pic>
    <xdr:clientData/>
  </xdr:twoCellAnchor>
  <mc:AlternateContent xmlns:mc="http://schemas.openxmlformats.org/markup-compatibility/2006">
    <mc:Choice xmlns:a14="http://schemas.microsoft.com/office/drawing/2010/main" Requires="a14">
      <xdr:twoCellAnchor>
        <xdr:from>
          <xdr:col>14</xdr:col>
          <xdr:colOff>1112520</xdr:colOff>
          <xdr:row>108</xdr:row>
          <xdr:rowOff>30480</xdr:rowOff>
        </xdr:from>
        <xdr:to>
          <xdr:col>15</xdr:col>
          <xdr:colOff>7620</xdr:colOff>
          <xdr:row>109</xdr:row>
          <xdr:rowOff>297180</xdr:rowOff>
        </xdr:to>
        <xdr:sp macro="" textlink="">
          <xdr:nvSpPr>
            <xdr:cNvPr id="1030" name="TIButton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7</xdr:col>
          <xdr:colOff>2918460</xdr:colOff>
          <xdr:row>109</xdr:row>
          <xdr:rowOff>0</xdr:rowOff>
        </xdr:from>
        <xdr:to>
          <xdr:col>8</xdr:col>
          <xdr:colOff>22860</xdr:colOff>
          <xdr:row>109</xdr:row>
          <xdr:rowOff>251460</xdr:rowOff>
        </xdr:to>
        <xdr:sp macro="" textlink="">
          <xdr:nvSpPr>
            <xdr:cNvPr id="1040" name="TIButton5"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45720</xdr:colOff>
          <xdr:row>109</xdr:row>
          <xdr:rowOff>0</xdr:rowOff>
        </xdr:from>
        <xdr:to>
          <xdr:col>8</xdr:col>
          <xdr:colOff>1028700</xdr:colOff>
          <xdr:row>109</xdr:row>
          <xdr:rowOff>243840</xdr:rowOff>
        </xdr:to>
        <xdr:sp macro="" textlink="">
          <xdr:nvSpPr>
            <xdr:cNvPr id="1041" name="TIButton7"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fPrintsWithSheet="0"/>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3" Type="http://schemas.openxmlformats.org/officeDocument/2006/relationships/vmlDrawing" Target="../drawings/vmlDrawing1.vml"/><Relationship Id="rId7" Type="http://schemas.openxmlformats.org/officeDocument/2006/relationships/image" Target="../media/image2.emf"/><Relationship Id="rId12" Type="http://schemas.openxmlformats.org/officeDocument/2006/relationships/control" Target="../activeX/activeX5.xml"/><Relationship Id="rId17" Type="http://schemas.openxmlformats.org/officeDocument/2006/relationships/image" Target="../media/image7.emf"/><Relationship Id="rId2" Type="http://schemas.openxmlformats.org/officeDocument/2006/relationships/drawing" Target="../drawings/drawing1.xml"/><Relationship Id="rId16" Type="http://schemas.openxmlformats.org/officeDocument/2006/relationships/control" Target="../activeX/activeX7.xml"/><Relationship Id="rId1" Type="http://schemas.openxmlformats.org/officeDocument/2006/relationships/printerSettings" Target="../printerSettings/printerSettings1.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241B7-D709-46A7-AC01-BFCB5D542279}">
  <sheetPr codeName="Sheet1">
    <outlinePr showOutlineSymbols="0"/>
  </sheetPr>
  <dimension ref="A1:O138"/>
  <sheetViews>
    <sheetView showGridLines="0" showRowColHeaders="0" tabSelected="1" showOutlineSymbols="0" topLeftCell="A108" zoomScaleNormal="100" workbookViewId="0">
      <pane ySplit="18" topLeftCell="A126" activePane="bottomLeft" state="frozen"/>
      <selection activeCell="G108" sqref="G108"/>
      <selection pane="bottomLeft" activeCell="A126" sqref="A126"/>
    </sheetView>
  </sheetViews>
  <sheetFormatPr defaultRowHeight="14.4" customHeight="1" outlineLevelRow="1" outlineLevelCol="1" x14ac:dyDescent="0.3"/>
  <cols>
    <col min="1" max="1" width="36" hidden="1" customWidth="1" outlineLevel="1"/>
    <col min="2" max="2" width="49.33203125" hidden="1" customWidth="1" outlineLevel="1"/>
    <col min="3" max="3" width="21.33203125" hidden="1" customWidth="1" outlineLevel="1"/>
    <col min="4" max="4" width="23" hidden="1" customWidth="1" outlineLevel="1"/>
    <col min="5" max="5" width="73" hidden="1" customWidth="1" outlineLevel="1"/>
    <col min="6" max="6" width="22.6640625" hidden="1" customWidth="1" outlineLevel="1"/>
    <col min="7" max="7" width="0.6640625" customWidth="1" collapsed="1"/>
    <col min="8" max="8" width="52.5546875" customWidth="1"/>
    <col min="9" max="9" width="16.33203125" customWidth="1"/>
    <col min="10" max="10" width="25.6640625" customWidth="1"/>
    <col min="11" max="11" width="15.44140625" customWidth="1"/>
    <col min="12" max="15" width="20.6640625" customWidth="1"/>
  </cols>
  <sheetData>
    <row r="1" spans="1:15" ht="14.4" hidden="1" customHeight="1" outlineLevel="1" x14ac:dyDescent="0.3">
      <c r="A1" t="s">
        <v>96</v>
      </c>
    </row>
    <row r="2" spans="1:15" ht="14.4" hidden="1" customHeight="1" outlineLevel="1" x14ac:dyDescent="0.3">
      <c r="A2">
        <f>0</f>
        <v>0</v>
      </c>
      <c r="H2" s="24"/>
      <c r="I2" s="24"/>
      <c r="J2" s="26"/>
      <c r="K2" s="21"/>
      <c r="L2" s="22"/>
      <c r="M2" s="22"/>
      <c r="N2" s="22"/>
      <c r="O2" s="23"/>
    </row>
    <row r="3" spans="1:15" ht="14.4" hidden="1" customHeight="1" outlineLevel="1" x14ac:dyDescent="0.3">
      <c r="A3">
        <f>1</f>
        <v>1</v>
      </c>
      <c r="H3" s="1"/>
      <c r="I3" s="15"/>
      <c r="J3" s="2"/>
      <c r="K3" s="3"/>
      <c r="L3" s="3"/>
      <c r="M3" s="3"/>
      <c r="N3" s="3"/>
      <c r="O3" s="3"/>
    </row>
    <row r="4" spans="1:15" ht="14.4" hidden="1" customHeight="1" outlineLevel="1" x14ac:dyDescent="0.3">
      <c r="A4">
        <f>2</f>
        <v>2</v>
      </c>
      <c r="H4" s="1"/>
      <c r="I4" s="15"/>
      <c r="J4" s="2"/>
      <c r="K4" s="3"/>
      <c r="L4" s="3"/>
      <c r="M4" s="3"/>
      <c r="N4" s="3"/>
      <c r="O4" s="3"/>
    </row>
    <row r="5" spans="1:15" ht="14.4" hidden="1" customHeight="1" outlineLevel="1" x14ac:dyDescent="0.3">
      <c r="A5">
        <f>3</f>
        <v>3</v>
      </c>
      <c r="H5" s="1"/>
      <c r="I5" s="15"/>
      <c r="J5" s="2"/>
      <c r="K5" s="3"/>
      <c r="L5" s="3"/>
      <c r="M5" s="3"/>
      <c r="N5" s="3"/>
      <c r="O5" s="3"/>
    </row>
    <row r="6" spans="1:15" ht="14.4" hidden="1" customHeight="1" outlineLevel="1" x14ac:dyDescent="0.3">
      <c r="A6" t="s">
        <v>95</v>
      </c>
      <c r="H6" s="1"/>
      <c r="I6" s="15"/>
      <c r="J6" s="2"/>
      <c r="K6" s="3"/>
      <c r="L6" s="3"/>
      <c r="M6" s="3"/>
      <c r="N6" s="3"/>
      <c r="O6" s="3"/>
    </row>
    <row r="7" spans="1:15" ht="14.4" hidden="1" customHeight="1" outlineLevel="1" x14ac:dyDescent="0.3">
      <c r="A7" t="s">
        <v>94</v>
      </c>
      <c r="H7" s="24"/>
      <c r="I7" s="24"/>
      <c r="K7" s="21"/>
      <c r="L7" s="22"/>
      <c r="M7" s="22"/>
      <c r="N7" s="22"/>
      <c r="O7" s="23"/>
    </row>
    <row r="8" spans="1:15" ht="14.4" hidden="1" customHeight="1" outlineLevel="1" x14ac:dyDescent="0.3">
      <c r="A8" t="s">
        <v>93</v>
      </c>
    </row>
    <row r="9" spans="1:15" ht="14.4" hidden="1" customHeight="1" outlineLevel="1" x14ac:dyDescent="0.3">
      <c r="A9" s="4" t="s">
        <v>92</v>
      </c>
      <c r="B9" s="5" t="s">
        <v>132</v>
      </c>
      <c r="C9" s="6"/>
    </row>
    <row r="10" spans="1:15" ht="14.4" hidden="1" customHeight="1" outlineLevel="1" x14ac:dyDescent="0.3">
      <c r="A10" s="4" t="s">
        <v>91</v>
      </c>
      <c r="B10" s="7" t="str">
        <f ca="1">_xll.VIEW((db_name&amp;":}ElementAttributes_}Clients"),"!","!")</f>
        <v>dcceew_geus:}ElementAttributes_}Clients</v>
      </c>
      <c r="C10" s="6"/>
    </row>
    <row r="11" spans="1:15" ht="14.4" hidden="1" customHeight="1" outlineLevel="1" x14ac:dyDescent="0.3">
      <c r="A11" s="4" t="s">
        <v>90</v>
      </c>
      <c r="B11" s="5" t="str">
        <f ca="1">_xll.TM1USER(db_name)</f>
        <v/>
      </c>
      <c r="C11" s="6"/>
    </row>
    <row r="12" spans="1:15" ht="14.4" hidden="1" customHeight="1" outlineLevel="1" x14ac:dyDescent="0.3">
      <c r="A12" s="4" t="s">
        <v>89</v>
      </c>
      <c r="B12" s="5" t="str">
        <f ca="1">_xll.DBR($B$10,$B$11,$A12)</f>
        <v>*KEY_ERR</v>
      </c>
      <c r="C12" s="6"/>
    </row>
    <row r="13" spans="1:15" ht="14.4" hidden="1" customHeight="1" outlineLevel="1" x14ac:dyDescent="0.3">
      <c r="A13" s="4" t="s">
        <v>88</v>
      </c>
      <c r="B13" s="5" t="str">
        <f ca="1">_xll.DBR($B$10,$B$11,$A13)</f>
        <v>*KEY_ERR</v>
      </c>
      <c r="C13" s="6"/>
    </row>
    <row r="14" spans="1:15" ht="14.4" hidden="1" customHeight="1" outlineLevel="1" x14ac:dyDescent="0.3">
      <c r="A14" s="4" t="s">
        <v>87</v>
      </c>
      <c r="B14" s="5" t="str">
        <f ca="1">IF((LEFT($B$10,6)="CAM_AD"),$B$13,$B$12)</f>
        <v>*KEY_ERR</v>
      </c>
      <c r="C14" s="8"/>
    </row>
    <row r="15" spans="1:15" ht="14.4" hidden="1" customHeight="1" outlineLevel="1" x14ac:dyDescent="0.3"/>
    <row r="16" spans="1:15" ht="14.4" hidden="1" customHeight="1" outlineLevel="1" x14ac:dyDescent="0.3">
      <c r="A16" s="9" t="s">
        <v>86</v>
      </c>
      <c r="B16" s="10"/>
      <c r="C16" s="10"/>
      <c r="D16" s="11"/>
    </row>
    <row r="17" spans="1:4" ht="14.4" hidden="1" customHeight="1" outlineLevel="1" x14ac:dyDescent="0.3">
      <c r="A17" s="4" t="s">
        <v>85</v>
      </c>
      <c r="B17" s="8" t="str">
        <f ca="1">_xll.VIEW((db_name&amp;":}ElementAttributes_variables"),"!","!")</f>
        <v>dcceew_geus:}ElementAttributes_variables</v>
      </c>
      <c r="C17" s="8"/>
      <c r="D17" s="8"/>
    </row>
    <row r="18" spans="1:4" ht="14.4" hidden="1" customHeight="1" outlineLevel="1" x14ac:dyDescent="0.3">
      <c r="A18" s="4" t="s">
        <v>84</v>
      </c>
      <c r="B18" s="8" t="str">
        <f ca="1">_xll.DBR($B$17,$A18,"value")</f>
        <v>*KEY_ERR</v>
      </c>
      <c r="C18" s="8"/>
      <c r="D18" s="8"/>
    </row>
    <row r="19" spans="1:4" ht="14.4" hidden="1" customHeight="1" outlineLevel="1" x14ac:dyDescent="0.3">
      <c r="A19" s="4" t="s">
        <v>83</v>
      </c>
      <c r="B19" s="8" t="str">
        <f ca="1">_xll.DBR($B$17,$A19,"value")</f>
        <v>*KEY_ERR</v>
      </c>
      <c r="C19" s="8"/>
      <c r="D19" s="8"/>
    </row>
    <row r="20" spans="1:4" ht="14.4" hidden="1" customHeight="1" outlineLevel="1" x14ac:dyDescent="0.3">
      <c r="A20" s="4" t="s">
        <v>82</v>
      </c>
      <c r="B20" s="8" t="str">
        <f ca="1">_xll.DBR($B$17,$A20,"value")</f>
        <v>*KEY_ERR</v>
      </c>
      <c r="C20" s="8"/>
      <c r="D20" s="8"/>
    </row>
    <row r="21" spans="1:4" ht="14.4" hidden="1" customHeight="1" outlineLevel="1" x14ac:dyDescent="0.3">
      <c r="A21" s="4" t="s">
        <v>81</v>
      </c>
      <c r="B21" s="8" t="str">
        <f ca="1">_xll.DBR($B$17,$A21,"value")</f>
        <v>*KEY_ERR</v>
      </c>
      <c r="C21" s="8"/>
      <c r="D21" s="8"/>
    </row>
    <row r="22" spans="1:4" ht="14.4" hidden="1" customHeight="1" outlineLevel="1" x14ac:dyDescent="0.3">
      <c r="A22" s="4" t="s">
        <v>80</v>
      </c>
      <c r="B22" s="8" t="str">
        <f ca="1">_xll.DBR($B$17,$A22,"value")</f>
        <v>*KEY_ERR</v>
      </c>
      <c r="C22" s="8"/>
      <c r="D22" s="8"/>
    </row>
    <row r="23" spans="1:4" ht="14.4" hidden="1" customHeight="1" outlineLevel="1" x14ac:dyDescent="0.3">
      <c r="A23" s="4" t="s">
        <v>79</v>
      </c>
      <c r="B23" s="8" t="str">
        <f ca="1">_xll.DBR($B$17,$A23,"value")</f>
        <v>*KEY_ERR</v>
      </c>
      <c r="C23" s="8"/>
      <c r="D23" s="8"/>
    </row>
    <row r="24" spans="1:4" ht="14.4" hidden="1" customHeight="1" outlineLevel="1" x14ac:dyDescent="0.3">
      <c r="A24" s="4" t="s">
        <v>78</v>
      </c>
      <c r="B24" s="8" t="str">
        <f ca="1">_xll.DBR($B$17,$A24,"value")</f>
        <v>*KEY_ERR</v>
      </c>
      <c r="C24" s="8"/>
      <c r="D24" s="8"/>
    </row>
    <row r="25" spans="1:4" ht="14.4" hidden="1" customHeight="1" outlineLevel="1" x14ac:dyDescent="0.3">
      <c r="A25" s="4" t="s">
        <v>77</v>
      </c>
      <c r="B25" s="8" t="str">
        <f ca="1">_xll.DBR($B$17,$A25,"value")</f>
        <v>*KEY_ERR</v>
      </c>
      <c r="C25" s="8"/>
      <c r="D25" s="8"/>
    </row>
    <row r="26" spans="1:4" ht="14.4" hidden="1" customHeight="1" outlineLevel="1" x14ac:dyDescent="0.3">
      <c r="A26" s="4" t="s">
        <v>76</v>
      </c>
      <c r="B26" s="8" t="str">
        <f ca="1">_xll.DBR($B$17,$A26,"value")</f>
        <v>*KEY_ERR</v>
      </c>
      <c r="C26" s="8"/>
      <c r="D26" s="8"/>
    </row>
    <row r="27" spans="1:4" ht="14.4" hidden="1" customHeight="1" outlineLevel="1" x14ac:dyDescent="0.3">
      <c r="A27" s="4" t="s">
        <v>75</v>
      </c>
      <c r="B27" s="8" t="str">
        <f ca="1">_xll.DBR($B$17,$A27,"value")</f>
        <v>*KEY_ERR</v>
      </c>
      <c r="C27" s="8"/>
      <c r="D27" s="8"/>
    </row>
    <row r="28" spans="1:4" ht="14.4" hidden="1" customHeight="1" outlineLevel="1" x14ac:dyDescent="0.3">
      <c r="A28" s="4" t="s">
        <v>74</v>
      </c>
      <c r="B28" s="8" t="str">
        <f ca="1">MID(curHLYr,3,9)</f>
        <v>EY_ERR</v>
      </c>
      <c r="C28" s="8"/>
      <c r="D28" s="8"/>
    </row>
    <row r="29" spans="1:4" ht="14.4" hidden="1" customHeight="1" outlineLevel="1" x14ac:dyDescent="0.3">
      <c r="A29" s="4"/>
      <c r="B29" s="8"/>
      <c r="C29" s="8"/>
      <c r="D29" s="8"/>
    </row>
    <row r="30" spans="1:4" ht="14.4" hidden="1" customHeight="1" outlineLevel="1" x14ac:dyDescent="0.3">
      <c r="A30" s="4"/>
      <c r="B30" s="8"/>
      <c r="C30" s="8"/>
      <c r="D30" s="8"/>
    </row>
    <row r="31" spans="1:4" ht="14.4" hidden="1" customHeight="1" outlineLevel="1" x14ac:dyDescent="0.3">
      <c r="A31" s="4"/>
      <c r="B31" s="8" t="str">
        <f ca="1">_xll.VIEW((db_name&amp;":sys_client preference"),"!","!","!")</f>
        <v>dcceew_geus:sys_client preference</v>
      </c>
      <c r="C31" s="8"/>
      <c r="D31" s="8"/>
    </row>
    <row r="32" spans="1:4" ht="14.4" hidden="1" customHeight="1" outlineLevel="1" x14ac:dyDescent="0.3">
      <c r="A32" s="4" t="s">
        <v>73</v>
      </c>
      <c r="B32" s="8" t="str">
        <f ca="1">_xll.DBR($B$31,psUser,$A32,"value")</f>
        <v>*KEY_ERR</v>
      </c>
      <c r="C32" s="8" t="str">
        <f ca="1">LEFT(B32,5)</f>
        <v>*KEY_</v>
      </c>
      <c r="D32" s="8" t="str">
        <f ca="1">MID($B32,(LEN($B32)-4),5)</f>
        <v>Y_ERR</v>
      </c>
    </row>
    <row r="33" spans="1:4" ht="14.4" hidden="1" customHeight="1" outlineLevel="1" x14ac:dyDescent="0.3">
      <c r="A33" s="4" t="s">
        <v>72</v>
      </c>
      <c r="B33" s="8" t="str">
        <f ca="1">_xll.DBR($B$31,psUser,$A33,"value")</f>
        <v>*KEY_ERR</v>
      </c>
      <c r="C33" s="8" t="str">
        <f ca="1">LEFT(B33,5)</f>
        <v>*KEY_</v>
      </c>
      <c r="D33" s="8" t="str">
        <f ca="1">MID($B33,(LEN($B33)-4),5)</f>
        <v>Y_ERR</v>
      </c>
    </row>
    <row r="34" spans="1:4" ht="14.4" hidden="1" customHeight="1" outlineLevel="1" x14ac:dyDescent="0.3"/>
    <row r="35" spans="1:4" ht="14.4" hidden="1" customHeight="1" outlineLevel="1" x14ac:dyDescent="0.3">
      <c r="A35" s="8"/>
      <c r="B35" s="8" t="s">
        <v>71</v>
      </c>
      <c r="C35" s="8" t="s">
        <v>70</v>
      </c>
      <c r="D35" s="8"/>
    </row>
    <row r="36" spans="1:4" ht="14.4" hidden="1" customHeight="1" outlineLevel="1" x14ac:dyDescent="0.3">
      <c r="A36" s="4" t="s">
        <v>69</v>
      </c>
      <c r="B36" s="8" t="str">
        <f>"{[id].[Total IDs]}"</f>
        <v>{[id].[Total IDs]}</v>
      </c>
      <c r="C36" s="8" t="str">
        <f>"{[id].[Total IDs]}"</f>
        <v>{[id].[Total IDs]}</v>
      </c>
      <c r="D36" s="8"/>
    </row>
    <row r="37" spans="1:4" ht="14.4" hidden="1" customHeight="1" outlineLevel="1" x14ac:dyDescent="0.3">
      <c r="A37" s="4" t="s">
        <v>68</v>
      </c>
      <c r="B37" s="8" t="str">
        <f ca="1">("{[id].["&amp;($C32&amp;("]:["&amp;($D32&amp;"]}"))))</f>
        <v>{[id].[*KEY_]:[Y_ERR]}</v>
      </c>
      <c r="C37" s="8" t="str">
        <f ca="1">("{[id].["&amp;($C33&amp;("]:["&amp;($D33&amp;"]}"))))</f>
        <v>{[id].[*KEY_]:[Y_ERR]}</v>
      </c>
      <c r="D37" s="8"/>
    </row>
    <row r="38" spans="1:4" ht="14.4" hidden="1" customHeight="1" outlineLevel="1" x14ac:dyDescent="0.3">
      <c r="A38" s="4" t="s">
        <v>67</v>
      </c>
      <c r="B38" s="8"/>
      <c r="C38" s="8"/>
      <c r="D38" s="8"/>
    </row>
    <row r="39" spans="1:4" ht="14.4" hidden="1" customHeight="1" outlineLevel="1" x14ac:dyDescent="0.3">
      <c r="A39" s="4" t="s">
        <v>66</v>
      </c>
      <c r="B39" s="8" t="s">
        <v>65</v>
      </c>
      <c r="C39" s="8"/>
      <c r="D39" s="8"/>
    </row>
    <row r="40" spans="1:4" ht="14.4" hidden="1" customHeight="1" outlineLevel="1" x14ac:dyDescent="0.3"/>
    <row r="41" spans="1:4" ht="14.4" hidden="1" customHeight="1" outlineLevel="1" x14ac:dyDescent="0.3">
      <c r="A41" s="47"/>
      <c r="B41" s="48"/>
      <c r="C41" s="49"/>
    </row>
    <row r="42" spans="1:4" ht="14.4" hidden="1" customHeight="1" outlineLevel="1" x14ac:dyDescent="0.3">
      <c r="A42" s="4" t="s">
        <v>12</v>
      </c>
      <c r="B42" s="8" t="str">
        <f ca="1">_xll.DBR($B$17,$A42,"value")</f>
        <v>*KEY_ERR</v>
      </c>
    </row>
    <row r="43" spans="1:4" ht="14.4" hidden="1" customHeight="1" outlineLevel="1" x14ac:dyDescent="0.3">
      <c r="A43" s="4" t="s">
        <v>64</v>
      </c>
      <c r="B43" s="8" t="str">
        <f ca="1">_xll.DBR($B$17,$A43,"value")</f>
        <v>*KEY_ERR</v>
      </c>
    </row>
    <row r="44" spans="1:4" ht="14.4" hidden="1" customHeight="1" outlineLevel="1" x14ac:dyDescent="0.3">
      <c r="A44" s="4" t="s">
        <v>63</v>
      </c>
      <c r="B44" s="8" t="str">
        <f ca="1">_xll.DBR($B$17,$A44,"value")</f>
        <v>*KEY_ERR</v>
      </c>
    </row>
    <row r="45" spans="1:4" ht="14.4" hidden="1" customHeight="1" outlineLevel="1" x14ac:dyDescent="0.3">
      <c r="A45" s="4" t="s">
        <v>62</v>
      </c>
      <c r="B45" s="8"/>
    </row>
    <row r="46" spans="1:4" ht="14.4" hidden="1" customHeight="1" outlineLevel="1" x14ac:dyDescent="0.3"/>
    <row r="47" spans="1:4" ht="14.4" hidden="1" customHeight="1" outlineLevel="1" x14ac:dyDescent="0.3">
      <c r="A47" s="47" t="s">
        <v>109</v>
      </c>
      <c r="B47" s="48"/>
    </row>
    <row r="48" spans="1:4" ht="14.4" hidden="1" customHeight="1" outlineLevel="1" x14ac:dyDescent="0.3">
      <c r="A48" s="4" t="s">
        <v>110</v>
      </c>
      <c r="B48" s="8" t="str">
        <f ca="1">_xll.VIEW(db_name&amp;":programme details",curHLYr,curScenario,"!","!")</f>
        <v>dcceew_geus:programme details</v>
      </c>
    </row>
    <row r="49" spans="1:7" ht="14.4" hidden="1" customHeight="1" outlineLevel="1" x14ac:dyDescent="0.3">
      <c r="A49" s="4"/>
      <c r="B49" s="8" t="s">
        <v>127</v>
      </c>
      <c r="C49" t="s">
        <v>128</v>
      </c>
    </row>
    <row r="50" spans="1:7" ht="14.4" hidden="1" customHeight="1" outlineLevel="1" x14ac:dyDescent="0.3">
      <c r="A50" s="4" t="s">
        <v>129</v>
      </c>
      <c r="B50" t="str">
        <f ca="1">psSrcProg</f>
        <v/>
      </c>
      <c r="C50" t="str">
        <f ca="1">psTrgProg</f>
        <v/>
      </c>
    </row>
    <row r="51" spans="1:7" ht="14.4" hidden="1" customHeight="1" outlineLevel="1" x14ac:dyDescent="0.3">
      <c r="A51" s="4" t="s">
        <v>130</v>
      </c>
      <c r="B51" s="8">
        <f ca="1">_xll.ELLEV(db_name &amp;":Programme",$B$50 )</f>
        <v>0</v>
      </c>
      <c r="C51" s="8">
        <f ca="1">_xll.ELLEV(db_name &amp;":Programme",$C$50 )</f>
        <v>0</v>
      </c>
    </row>
    <row r="52" spans="1:7" ht="14.4" hidden="1" customHeight="1" outlineLevel="1" x14ac:dyDescent="0.3">
      <c r="A52" s="8" t="s">
        <v>111</v>
      </c>
      <c r="B52" s="8" t="str">
        <f ca="1">_xll.DBRW($B$48,curHLYr,curScenario,psSrcProg,$A52)</f>
        <v/>
      </c>
    </row>
    <row r="53" spans="1:7" ht="14.4" hidden="1" customHeight="1" outlineLevel="1" x14ac:dyDescent="0.3">
      <c r="A53" s="8" t="s">
        <v>112</v>
      </c>
      <c r="B53" s="8" t="str">
        <f ca="1">_xll.DBRW($B$48,curHLYr,curScenario,psTrgProg,$A53)</f>
        <v/>
      </c>
    </row>
    <row r="54" spans="1:7" ht="14.4" hidden="1" customHeight="1" outlineLevel="1" x14ac:dyDescent="0.3"/>
    <row r="55" spans="1:7" ht="14.4" hidden="1" customHeight="1" outlineLevel="1" x14ac:dyDescent="0.3">
      <c r="A55" s="47" t="s">
        <v>61</v>
      </c>
      <c r="B55" s="48"/>
      <c r="C55" s="49"/>
    </row>
    <row r="56" spans="1:7" ht="14.4" hidden="1" customHeight="1" outlineLevel="1" x14ac:dyDescent="0.3">
      <c r="A56" s="8" t="s">
        <v>60</v>
      </c>
      <c r="B56" s="8" t="str">
        <f ca="1">_xll.VIEW((db_name&amp;":sys_Application"),"!","!")</f>
        <v>dcceew_geus:sys_Application</v>
      </c>
    </row>
    <row r="57" spans="1:7" ht="14.4" hidden="1" customHeight="1" outlineLevel="1" x14ac:dyDescent="0.3">
      <c r="A57" s="8" t="s">
        <v>59</v>
      </c>
      <c r="B57" s="8" t="s">
        <v>107</v>
      </c>
    </row>
    <row r="58" spans="1:7" ht="14.4" hidden="1" customHeight="1" outlineLevel="1" x14ac:dyDescent="0.3">
      <c r="A58" s="12" t="s">
        <v>58</v>
      </c>
      <c r="B58" s="13" t="s">
        <v>57</v>
      </c>
      <c r="C58" s="13" t="s">
        <v>56</v>
      </c>
      <c r="D58" s="13" t="s">
        <v>55</v>
      </c>
      <c r="E58" s="13" t="s">
        <v>54</v>
      </c>
      <c r="F58" s="13" t="s">
        <v>53</v>
      </c>
      <c r="G58" s="13" t="s">
        <v>52</v>
      </c>
    </row>
    <row r="59" spans="1:7" ht="14.4" hidden="1" customHeight="1" outlineLevel="1" x14ac:dyDescent="0.3">
      <c r="A59" s="8" t="s">
        <v>51</v>
      </c>
      <c r="B59" s="8" t="str">
        <f ca="1">_xll.DBR($B$56,$A59,B$58)</f>
        <v>*KEY_ERR</v>
      </c>
      <c r="C59" s="8" t="str">
        <f ca="1">_xll.DBR($B$56,$A59,C$58)</f>
        <v>*KEY_ERR</v>
      </c>
      <c r="D59" s="8" t="str">
        <f ca="1">_xll.DBR($B$56,$A59,D$58)</f>
        <v>*KEY_ERR</v>
      </c>
      <c r="E59" s="8" t="str">
        <f ca="1">_xll.DBR($B$56,$A59,E$58)</f>
        <v>*KEY_ERR</v>
      </c>
      <c r="F59" s="8" t="str">
        <f ca="1">_xll.DBR($B$56,$A59,F$58)</f>
        <v>*KEY_ERR</v>
      </c>
      <c r="G59" s="8" t="str">
        <f ca="1">_xll.DBR($B$56,$A59,G$58)</f>
        <v>*KEY_ERR</v>
      </c>
    </row>
    <row r="60" spans="1:7" ht="14.4" hidden="1" customHeight="1" outlineLevel="1" x14ac:dyDescent="0.3">
      <c r="A60" s="8" t="s">
        <v>50</v>
      </c>
      <c r="B60" s="8" t="str">
        <f ca="1">_xll.DBR($B$56,$A60,B$58)</f>
        <v>*KEY_ERR</v>
      </c>
      <c r="C60" s="8" t="str">
        <f ca="1">_xll.DBR($B$56,$A60,C$58)</f>
        <v>*KEY_ERR</v>
      </c>
      <c r="D60" s="8" t="str">
        <f ca="1">_xll.DBR($B$56,$A60,D$58)</f>
        <v>*KEY_ERR</v>
      </c>
      <c r="E60" s="8" t="str">
        <f ca="1">_xll.DBR($B$56,$A60,E$58)</f>
        <v>*KEY_ERR</v>
      </c>
      <c r="F60" s="8" t="str">
        <f ca="1">_xll.DBR($B$56,$A60,F$58)</f>
        <v>*KEY_ERR</v>
      </c>
      <c r="G60" s="8" t="str">
        <f ca="1">_xll.DBR($B$56,$A60,G$58)</f>
        <v>*KEY_ERR</v>
      </c>
    </row>
    <row r="61" spans="1:7" ht="14.4" hidden="1" customHeight="1" outlineLevel="1" x14ac:dyDescent="0.3">
      <c r="A61" s="8" t="s">
        <v>11</v>
      </c>
      <c r="B61" s="8" t="str">
        <f ca="1">_xll.DBR($B$56,$A61,B$58)</f>
        <v>*KEY_ERR</v>
      </c>
      <c r="C61" s="8" t="str">
        <f ca="1">_xll.DBR($B$56,$A61,C$58)</f>
        <v>*KEY_ERR</v>
      </c>
      <c r="D61" s="8" t="str">
        <f ca="1">_xll.DBR($B$56,$A61,D$58)</f>
        <v>*KEY_ERR</v>
      </c>
      <c r="E61" s="8" t="str">
        <f ca="1">_xll.DBR($B$56,$A61,E$58)</f>
        <v>*KEY_ERR</v>
      </c>
      <c r="F61" s="8" t="str">
        <f ca="1">_xll.DBR($B$56,$A61,F$58)</f>
        <v>*KEY_ERR</v>
      </c>
      <c r="G61" s="8" t="str">
        <f ca="1">_xll.DBR($B$56,$A61,G$58)</f>
        <v>*KEY_ERR</v>
      </c>
    </row>
    <row r="62" spans="1:7" ht="14.4" hidden="1" customHeight="1" outlineLevel="1" x14ac:dyDescent="0.3">
      <c r="A62" s="8" t="s">
        <v>49</v>
      </c>
      <c r="B62" s="8" t="str">
        <f ca="1">_xll.DBR($B$56,$A62,B$58)</f>
        <v>*KEY_ERR</v>
      </c>
      <c r="C62" s="8" t="str">
        <f ca="1">_xll.DBR($B$56,$A62,C$58)</f>
        <v>*KEY_ERR</v>
      </c>
      <c r="D62" s="8" t="str">
        <f ca="1">_xll.DBR($B$56,$A62,D$58)</f>
        <v>*KEY_ERR</v>
      </c>
      <c r="E62" s="8" t="str">
        <f ca="1">_xll.DBR($B$56,$A62,E$58)</f>
        <v>*KEY_ERR</v>
      </c>
      <c r="F62" s="8" t="str">
        <f ca="1">_xll.DBR($B$56,$A62,F$58)</f>
        <v>*KEY_ERR</v>
      </c>
      <c r="G62" s="8" t="str">
        <f ca="1">_xll.DBR($B$56,$A62,G$58)</f>
        <v>*KEY_ERR</v>
      </c>
    </row>
    <row r="63" spans="1:7" ht="14.4" hidden="1" customHeight="1" outlineLevel="1" x14ac:dyDescent="0.3">
      <c r="A63" s="8" t="s">
        <v>48</v>
      </c>
      <c r="B63" s="8" t="str">
        <f ca="1">_xll.DBR($B$56,$A63,B$58)</f>
        <v>*KEY_ERR</v>
      </c>
      <c r="C63" s="8" t="str">
        <f ca="1">_xll.DBR($B$56,$A63,C$58)</f>
        <v>*KEY_ERR</v>
      </c>
      <c r="D63" s="8" t="str">
        <f ca="1">_xll.DBR($B$56,$A63,D$58)</f>
        <v>*KEY_ERR</v>
      </c>
      <c r="E63" s="8" t="str">
        <f ca="1">_xll.DBR($B$56,$A63,E$58)</f>
        <v>*KEY_ERR</v>
      </c>
      <c r="F63" s="8" t="str">
        <f ca="1">_xll.DBR($B$56,$A63,F$58)</f>
        <v>*KEY_ERR</v>
      </c>
      <c r="G63" s="8" t="str">
        <f ca="1">_xll.DBR($B$56,$A63,G$58)</f>
        <v>*KEY_ERR</v>
      </c>
    </row>
    <row r="64" spans="1:7" ht="14.4" hidden="1" customHeight="1" outlineLevel="1" x14ac:dyDescent="0.3"/>
    <row r="65" spans="1:3" ht="14.4" hidden="1" customHeight="1" outlineLevel="1" x14ac:dyDescent="0.3">
      <c r="A65" s="47" t="s">
        <v>47</v>
      </c>
      <c r="B65" s="48"/>
      <c r="C65" s="49"/>
    </row>
    <row r="66" spans="1:3" ht="14.4" hidden="1" customHeight="1" outlineLevel="1" x14ac:dyDescent="0.3">
      <c r="A66" s="4" t="s">
        <v>85</v>
      </c>
      <c r="B66" s="8" t="str">
        <f ca="1">_xll.VIEW((db_name&amp;":sys_client preference"),"!","!","!")</f>
        <v>dcceew_geus:sys_client preference</v>
      </c>
      <c r="C66" s="8"/>
    </row>
    <row r="67" spans="1:3" ht="14.4" hidden="1" customHeight="1" outlineLevel="1" x14ac:dyDescent="0.3">
      <c r="A67" s="4"/>
      <c r="B67" s="14" t="s">
        <v>46</v>
      </c>
      <c r="C67" s="14" t="s">
        <v>45</v>
      </c>
    </row>
    <row r="68" spans="1:3" ht="14.4" hidden="1" customHeight="1" outlineLevel="1" x14ac:dyDescent="0.3">
      <c r="A68" s="4" t="s">
        <v>44</v>
      </c>
      <c r="B68" s="8" t="str">
        <f ca="1">_xll.SUBNM((db_name&amp;":sys_client preference measure"),"","value")</f>
        <v/>
      </c>
      <c r="C68" s="14"/>
    </row>
    <row r="69" spans="1:3" ht="14.4" hidden="1" customHeight="1" outlineLevel="1" x14ac:dyDescent="0.3">
      <c r="A69" s="4" t="s">
        <v>43</v>
      </c>
      <c r="B69" s="8" t="str">
        <f ca="1">_xll.DBR($B$66,psUser,$A69,B$67)</f>
        <v>*KEY_ERR</v>
      </c>
      <c r="C69" s="8" t="str">
        <f ca="1">_xll.DBR($B$66,psUser,$A69,C$67)</f>
        <v>*KEY_ERR</v>
      </c>
    </row>
    <row r="70" spans="1:3" ht="14.4" hidden="1" customHeight="1" outlineLevel="1" x14ac:dyDescent="0.3">
      <c r="A70" s="4" t="s">
        <v>42</v>
      </c>
      <c r="B70" s="8" t="str">
        <f ca="1">_xll.DBR($B$66,psUser,$A70,B$67)</f>
        <v>*KEY_ERR</v>
      </c>
      <c r="C70" s="8" t="str">
        <f ca="1">_xll.DBR($B$66,psUser,$A70,C$67)</f>
        <v>*KEY_ERR</v>
      </c>
    </row>
    <row r="71" spans="1:3" ht="14.4" hidden="1" customHeight="1" outlineLevel="1" x14ac:dyDescent="0.3">
      <c r="A71" s="4" t="s">
        <v>41</v>
      </c>
      <c r="B71" s="8" t="str">
        <f ca="1">_xll.DBR($B$66,psUser,$A71,B$67)</f>
        <v>*KEY_ERR</v>
      </c>
      <c r="C71" s="8" t="str">
        <f ca="1">_xll.DBR($B$66,psUser,$A71,C$67)</f>
        <v>*KEY_ERR</v>
      </c>
    </row>
    <row r="72" spans="1:3" ht="14.4" hidden="1" customHeight="1" outlineLevel="1" x14ac:dyDescent="0.3">
      <c r="A72" s="4" t="s">
        <v>40</v>
      </c>
      <c r="B72" s="8" t="str">
        <f ca="1">_xll.DBR($B$66,psUser,$A72,B$67)</f>
        <v>*KEY_ERR</v>
      </c>
      <c r="C72" s="8" t="str">
        <f ca="1">_xll.DBR($B$66,psUser,$A72,C$67)</f>
        <v>*KEY_ERR</v>
      </c>
    </row>
    <row r="73" spans="1:3" ht="14.4" hidden="1" customHeight="1" outlineLevel="1" x14ac:dyDescent="0.3"/>
    <row r="74" spans="1:3" ht="14.4" hidden="1" customHeight="1" outlineLevel="1" x14ac:dyDescent="0.3">
      <c r="A74" s="47" t="s">
        <v>39</v>
      </c>
      <c r="B74" s="48"/>
      <c r="C74" s="49"/>
    </row>
    <row r="75" spans="1:3" ht="14.4" hidden="1" customHeight="1" outlineLevel="1" x14ac:dyDescent="0.3">
      <c r="A75" s="8" t="s">
        <v>124</v>
      </c>
      <c r="B75" s="8" t="s">
        <v>38</v>
      </c>
      <c r="C75" s="8"/>
    </row>
    <row r="76" spans="1:3" ht="14.4" hidden="1" customHeight="1" outlineLevel="1" x14ac:dyDescent="0.3">
      <c r="A76" s="8" t="s">
        <v>37</v>
      </c>
      <c r="B76" s="8" t="s">
        <v>36</v>
      </c>
      <c r="C76" s="8"/>
    </row>
    <row r="77" spans="1:3" ht="14.4" hidden="1" customHeight="1" outlineLevel="1" x14ac:dyDescent="0.3">
      <c r="A77" s="8" t="s">
        <v>121</v>
      </c>
      <c r="B77" s="8" t="s">
        <v>35</v>
      </c>
      <c r="C77" s="8"/>
    </row>
    <row r="78" spans="1:3" ht="14.4" hidden="1" customHeight="1" outlineLevel="1" x14ac:dyDescent="0.3">
      <c r="A78" s="8" t="s">
        <v>122</v>
      </c>
      <c r="B78" s="8" t="s">
        <v>123</v>
      </c>
      <c r="C78" s="8"/>
    </row>
    <row r="79" spans="1:3" ht="14.4" hidden="1" customHeight="1" outlineLevel="1" x14ac:dyDescent="0.3">
      <c r="A79" s="8" t="s">
        <v>125</v>
      </c>
      <c r="B79" s="8" t="s">
        <v>126</v>
      </c>
      <c r="C79" s="8"/>
    </row>
    <row r="80" spans="1:3" ht="14.4" hidden="1" customHeight="1" outlineLevel="1" x14ac:dyDescent="0.3">
      <c r="A80" s="8" t="s">
        <v>34</v>
      </c>
      <c r="B80" s="8" t="s">
        <v>33</v>
      </c>
      <c r="C80" s="8"/>
    </row>
    <row r="81" spans="1:3" ht="14.4" hidden="1" customHeight="1" outlineLevel="1" x14ac:dyDescent="0.3"/>
    <row r="82" spans="1:3" ht="14.4" hidden="1" customHeight="1" outlineLevel="1" x14ac:dyDescent="0.3">
      <c r="A82" s="32" t="str">
        <f ca="1">_xll.TM1RPTVIEW((db_name&amp;":AE adjustments:1"),0,_xll.TM1RPTTITLE((db_name&amp;":headline year"),$B$83),_xll.TM1RPTTITLE((db_name&amp;":scenario"),$B$84),_xll.TM1RPTTITLE((db_name&amp;":status"),$B$85),_xll.TM1RPTTITLE((db_name&amp;":outcome"),$B$86),_xll.TM1RPTTITLE((db_name&amp;":related entity"),$B$93),_xll.TM1RPTTITLE((db_name&amp;":function"),$B$87),_xll.TM1RPTTITLE((db_name&amp;":reason"),$B$88),_xll.TM1RPTTITLE((db_name&amp;":spp"),$B$95),_xll.TM1RPTTITLE((db_name&amp;":measure code"),$B$89),_xll.TM1RPTTITLE((db_name&amp;":appropriation type"),$B$90),_xll.TM1RPTTITLE((db_name&amp;":appropriation item"),$B$91),_xll.TM1RPTTITLE((db_name&amp;":jurisdiction"),$B$94),TM1RPTFMTRNG,TM1RPTFMTIDCOL)</f>
        <v>dcceew_geus:AE adjustments:1</v>
      </c>
      <c r="B82" s="32" t="str">
        <f ca="1">_xll.TM1RPTVIEW((db_name&amp;":AE adjustments:ARPT1"),0,_xll.TM1RPTTITLE((db_name&amp;":headline year"),$B$83),_xll.TM1RPTTITLE((db_name&amp;":scenario"),$B$84),_xll.TM1RPTTITLE((db_name&amp;":status"),$B$85),_xll.TM1RPTTITLE((db_name&amp;":outcome"),$B$86),_xll.TM1RPTTITLE((db_name&amp;":related entity"),$B$93),_xll.TM1RPTTITLE((db_name&amp;":function"),$B$87),_xll.TM1RPTTITLE((db_name&amp;":reason"),$B$88),_xll.TM1RPTTITLE((db_name&amp;":spp"),$B$95),_xll.TM1RPTTITLE((db_name&amp;":measure code"),$B$89),_xll.TM1RPTTITLE((db_name&amp;":appropriation type"),$B$90),_xll.TM1RPTTITLE((db_name&amp;":appropriation item"),$B$91),_xll.TM1RPTTITLE((db_name&amp;":jurisdiction"),$B$94),TM1RPTFMTRNG,TM1RPTFMTIDCOL)</f>
        <v>dcceew_geus:AE adjustments:ARPT1</v>
      </c>
      <c r="C82" s="32"/>
    </row>
    <row r="83" spans="1:3" ht="14.4" hidden="1" customHeight="1" outlineLevel="1" x14ac:dyDescent="0.3">
      <c r="A83" s="4" t="s">
        <v>84</v>
      </c>
      <c r="B83" s="8" t="str">
        <f ca="1">_xll.SUBNM((db_name&amp;":headline year"),"",curHLYr)</f>
        <v/>
      </c>
      <c r="C83" s="8"/>
    </row>
    <row r="84" spans="1:3" ht="14.4" hidden="1" customHeight="1" outlineLevel="1" x14ac:dyDescent="0.3">
      <c r="A84" s="4" t="s">
        <v>32</v>
      </c>
      <c r="B84" s="8" t="str">
        <f ca="1">_xll.SUBNM((db_name&amp;":scenario"),"",curScenario)</f>
        <v/>
      </c>
      <c r="C84" s="8"/>
    </row>
    <row r="85" spans="1:3" ht="14.4" hidden="1" customHeight="1" outlineLevel="1" x14ac:dyDescent="0.3">
      <c r="A85" s="4" t="s">
        <v>31</v>
      </c>
      <c r="B85" s="8" t="str">
        <f ca="1">_xll.SUBNM((db_name&amp;":status"),"","Total approved","alt")</f>
        <v/>
      </c>
      <c r="C85" s="8"/>
    </row>
    <row r="86" spans="1:3" ht="14.4" hidden="1" customHeight="1" outlineLevel="1" x14ac:dyDescent="0.3">
      <c r="A86" s="4" t="s">
        <v>30</v>
      </c>
      <c r="B86" s="8" t="str">
        <f ca="1">_xll.SUBNM((db_name&amp;":outcome"),"","Total outcomes")</f>
        <v/>
      </c>
      <c r="C86" s="8"/>
    </row>
    <row r="87" spans="1:3" ht="14.4" hidden="1" customHeight="1" outlineLevel="1" x14ac:dyDescent="0.3">
      <c r="A87" s="4" t="s">
        <v>29</v>
      </c>
      <c r="B87" s="8" t="str">
        <f ca="1">_xll.SUBNM((db_name&amp;":function"),"","Total functions")</f>
        <v/>
      </c>
      <c r="C87" s="8"/>
    </row>
    <row r="88" spans="1:3" ht="14.4" hidden="1" customHeight="1" outlineLevel="1" x14ac:dyDescent="0.3">
      <c r="A88" s="4" t="s">
        <v>28</v>
      </c>
      <c r="B88" s="8" t="str">
        <f ca="1">_xll.SUBNM((db_name&amp;":reason"),"","Total reason")</f>
        <v/>
      </c>
      <c r="C88" s="8"/>
    </row>
    <row r="89" spans="1:3" ht="14.4" hidden="1" customHeight="1" outlineLevel="1" x14ac:dyDescent="0.3">
      <c r="A89" s="4" t="s">
        <v>27</v>
      </c>
      <c r="B89" s="8" t="str">
        <f ca="1">_xll.SUBNM((db_name&amp;":measure code"),"","Total Measures","CBMS")</f>
        <v/>
      </c>
      <c r="C89" s="8"/>
    </row>
    <row r="90" spans="1:3" ht="14.4" hidden="1" customHeight="1" outlineLevel="1" x14ac:dyDescent="0.3">
      <c r="A90" s="4" t="s">
        <v>26</v>
      </c>
      <c r="B90" s="8" t="str">
        <f ca="1">_xll.SUBNM((db_name&amp;":appropriation type"),"","Total approp types")</f>
        <v/>
      </c>
      <c r="C90" s="8"/>
    </row>
    <row r="91" spans="1:3" ht="14.4" hidden="1" customHeight="1" outlineLevel="1" x14ac:dyDescent="0.3">
      <c r="A91" s="4" t="s">
        <v>25</v>
      </c>
      <c r="B91" s="8" t="str">
        <f ca="1">_xll.SUBNM((db_name&amp;":appropriation item"),"","Total approp item")</f>
        <v/>
      </c>
      <c r="C91" s="8"/>
    </row>
    <row r="92" spans="1:3" ht="14.4" hidden="1" customHeight="1" outlineLevel="1" x14ac:dyDescent="0.3">
      <c r="A92" s="4" t="s">
        <v>24</v>
      </c>
      <c r="B92" s="8" t="str">
        <f ca="1">_xll.SUBNM((db_name&amp;":id"),"","Total IDs")</f>
        <v/>
      </c>
      <c r="C92" s="8"/>
    </row>
    <row r="93" spans="1:3" ht="14.4" hidden="1" customHeight="1" outlineLevel="1" x14ac:dyDescent="0.3">
      <c r="A93" s="4" t="s">
        <v>23</v>
      </c>
      <c r="B93" s="8" t="str">
        <f ca="1">_xll.SUBNM((db_name&amp;":related entity"),"","Total related entity")</f>
        <v/>
      </c>
      <c r="C93" s="8"/>
    </row>
    <row r="94" spans="1:3" ht="14.4" hidden="1" customHeight="1" outlineLevel="1" x14ac:dyDescent="0.3">
      <c r="A94" s="4" t="s">
        <v>22</v>
      </c>
      <c r="B94" s="8" t="str">
        <f ca="1">_xll.SUBNM((db_name&amp;":jurisdiction"),"","Total jurisdictions")</f>
        <v/>
      </c>
      <c r="C94" s="8"/>
    </row>
    <row r="95" spans="1:3" ht="14.4" hidden="1" customHeight="1" outlineLevel="1" x14ac:dyDescent="0.3">
      <c r="A95" s="4" t="s">
        <v>21</v>
      </c>
      <c r="B95" s="8" t="str">
        <f ca="1">_xll.SUBNM((db_name&amp;":spp"),"","Total SPP")</f>
        <v/>
      </c>
      <c r="C95" s="8"/>
    </row>
    <row r="96" spans="1:3" ht="14.4" hidden="1" customHeight="1" outlineLevel="1" x14ac:dyDescent="0.3"/>
    <row r="97" spans="1:15" ht="14.4" hidden="1" customHeight="1" outlineLevel="1" x14ac:dyDescent="0.3"/>
    <row r="98" spans="1:15" ht="14.4" hidden="1" customHeight="1" outlineLevel="1" x14ac:dyDescent="0.3">
      <c r="A98" s="33" t="s">
        <v>20</v>
      </c>
      <c r="B98" s="34"/>
    </row>
    <row r="99" spans="1:15" ht="14.4" hidden="1" customHeight="1" outlineLevel="1" x14ac:dyDescent="0.3">
      <c r="A99" s="8" t="str">
        <f ca="1">_xll.DIMNM((db_name&amp;":Period"),(_xll.DIMIX((db_name&amp;":period"),$A$100)+$B99))</f>
        <v/>
      </c>
      <c r="B99" s="8">
        <v>-1</v>
      </c>
    </row>
    <row r="100" spans="1:15" ht="14.4" hidden="1" customHeight="1" outlineLevel="1" x14ac:dyDescent="0.3">
      <c r="A100" s="8" t="str">
        <f ca="1">$B$28</f>
        <v>EY_ERR</v>
      </c>
      <c r="B100" s="8">
        <v>0</v>
      </c>
    </row>
    <row r="101" spans="1:15" ht="14.4" hidden="1" customHeight="1" outlineLevel="1" x14ac:dyDescent="0.3">
      <c r="A101" s="8" t="str">
        <f ca="1">_xll.DIMNM((db_name&amp;":Period"),(_xll.DIMIX((db_name&amp;":period"),$A$100)+$B101))</f>
        <v/>
      </c>
      <c r="B101" s="8">
        <v>1</v>
      </c>
    </row>
    <row r="102" spans="1:15" ht="14.4" hidden="1" customHeight="1" outlineLevel="1" x14ac:dyDescent="0.3">
      <c r="A102" s="8" t="str">
        <f ca="1">_xll.DIMNM((db_name&amp;":Period"),(_xll.DIMIX((db_name&amp;":period"),$A$100)+$B102))</f>
        <v/>
      </c>
      <c r="B102" s="8">
        <v>2</v>
      </c>
    </row>
    <row r="103" spans="1:15" ht="14.4" hidden="1" customHeight="1" outlineLevel="1" x14ac:dyDescent="0.3">
      <c r="A103" s="8" t="str">
        <f ca="1">_xll.DIMNM((db_name&amp;":Period"),(_xll.DIMIX((db_name&amp;":period"),$A$100)+$B103))</f>
        <v/>
      </c>
      <c r="B103" s="8">
        <v>3</v>
      </c>
    </row>
    <row r="104" spans="1:15" ht="14.4" hidden="1" customHeight="1" outlineLevel="1" x14ac:dyDescent="0.3"/>
    <row r="105" spans="1:15" ht="14.4" hidden="1" customHeight="1" outlineLevel="1" x14ac:dyDescent="0.3"/>
    <row r="106" spans="1:15" ht="14.4" hidden="1" customHeight="1" outlineLevel="1" x14ac:dyDescent="0.3"/>
    <row r="107" spans="1:15" ht="14.4" hidden="1" customHeight="1" outlineLevel="1" x14ac:dyDescent="0.3"/>
    <row r="108" spans="1:15" ht="36" customHeight="1" collapsed="1" x14ac:dyDescent="0.3">
      <c r="G108" s="16"/>
      <c r="H108" s="16"/>
      <c r="I108" s="16"/>
      <c r="J108" s="16"/>
      <c r="K108" s="16"/>
      <c r="L108" s="16"/>
      <c r="M108" s="16"/>
      <c r="N108" s="16"/>
      <c r="O108" s="16" t="s">
        <v>19</v>
      </c>
    </row>
    <row r="109" spans="1:15" ht="4.5" customHeight="1" x14ac:dyDescent="0.3"/>
    <row r="110" spans="1:15" ht="24" customHeight="1" x14ac:dyDescent="0.3">
      <c r="J110" s="39" t="s">
        <v>18</v>
      </c>
      <c r="K110" s="58" t="s">
        <v>108</v>
      </c>
      <c r="L110" s="58"/>
      <c r="M110" s="58"/>
      <c r="N110" s="58"/>
      <c r="O110" s="40"/>
    </row>
    <row r="111" spans="1:15" ht="1.5" customHeight="1" x14ac:dyDescent="0.3">
      <c r="G111" s="16"/>
      <c r="H111" s="16"/>
      <c r="I111" s="16"/>
      <c r="J111" s="16"/>
      <c r="K111" s="16"/>
      <c r="L111" s="16"/>
      <c r="M111" s="16"/>
      <c r="N111" s="16"/>
      <c r="O111" s="16"/>
    </row>
    <row r="112" spans="1:15" ht="3" customHeight="1" x14ac:dyDescent="0.3">
      <c r="J112" s="17"/>
      <c r="L112" s="18"/>
    </row>
    <row r="113" spans="7:15" ht="15" customHeight="1" x14ac:dyDescent="0.3">
      <c r="H113" s="52" t="s">
        <v>17</v>
      </c>
      <c r="I113" s="53"/>
      <c r="J113" s="53"/>
      <c r="K113" s="53"/>
      <c r="L113" s="53"/>
      <c r="N113" s="50" t="s">
        <v>16</v>
      </c>
      <c r="O113" s="51"/>
    </row>
    <row r="114" spans="7:15" ht="15" customHeight="1" x14ac:dyDescent="0.3">
      <c r="H114" s="35" t="s">
        <v>15</v>
      </c>
      <c r="I114" s="37" t="str">
        <f ca="1">_xll.SUBNM((db_name&amp;":headline year"),"",$B$18)</f>
        <v/>
      </c>
      <c r="J114" s="35" t="s">
        <v>14</v>
      </c>
      <c r="K114" s="64" t="str">
        <f ca="1">_xll.SUBNM((db_name&amp;":scenario"),"",$B$19)</f>
        <v/>
      </c>
      <c r="L114" s="64"/>
      <c r="N114" s="38" t="s">
        <v>13</v>
      </c>
      <c r="O114" s="46" t="str">
        <f ca="1">_xll.SUBNM((db_name&amp;":sys_YesNo"),"","Yes",)</f>
        <v/>
      </c>
    </row>
    <row r="115" spans="7:15" ht="19.95" customHeight="1" x14ac:dyDescent="0.3">
      <c r="H115" s="36" t="s">
        <v>10</v>
      </c>
      <c r="I115" s="57" t="str">
        <f ca="1">_xll.SUBNM((db_name&amp;":Programme"),"sys_all-n","Total Programmes","code and description")</f>
        <v/>
      </c>
      <c r="J115" s="57"/>
      <c r="K115" s="57"/>
      <c r="L115" s="57"/>
      <c r="M115" s="63" t="str">
        <f ca="1">IF(OR($B$51&lt;&gt;0,$C$51&lt;&gt;0),"Please select valid 'Posting level' programs for both the Source and Target","All Source program estimates from the selected First Year will be cleared to zero and transferred to the Target program.")</f>
        <v>All Source program estimates from the selected First Year will be cleared to zero and transferred to the Target program.</v>
      </c>
      <c r="N115" s="63"/>
      <c r="O115" s="63"/>
    </row>
    <row r="116" spans="7:15" ht="19.95" customHeight="1" x14ac:dyDescent="0.3">
      <c r="H116" s="36" t="s">
        <v>9</v>
      </c>
      <c r="I116" s="57" t="str">
        <f ca="1">_xll.SUBNM((db_name&amp;":Programme"),"sys_all-n","Total Programmes","code and description")</f>
        <v/>
      </c>
      <c r="J116" s="57"/>
      <c r="K116" s="57"/>
      <c r="L116" s="57"/>
      <c r="M116" s="63"/>
      <c r="N116" s="63"/>
      <c r="O116" s="63"/>
    </row>
    <row r="117" spans="7:15" ht="14.4" customHeight="1" x14ac:dyDescent="0.3">
      <c r="H117" s="30" t="s">
        <v>8</v>
      </c>
      <c r="I117" s="59" t="str">
        <f ca="1">_xll.SUBNM((db_name&amp;":Period"),"",$B$28)</f>
        <v/>
      </c>
      <c r="J117" s="60"/>
      <c r="K117" s="60"/>
      <c r="L117" s="61"/>
      <c r="M117" s="65" t="s">
        <v>131</v>
      </c>
      <c r="N117" s="66"/>
      <c r="O117" s="66"/>
    </row>
    <row r="118" spans="7:15" ht="14.4" customHeight="1" x14ac:dyDescent="0.3">
      <c r="H118" s="30" t="s">
        <v>7</v>
      </c>
      <c r="I118" s="54" t="str">
        <f ca="1">_xll.SUBNM((db_name&amp;":movement account"),"",$B$23,"Code and Description")</f>
        <v/>
      </c>
      <c r="J118" s="55"/>
      <c r="K118" s="55"/>
      <c r="L118" s="56"/>
    </row>
    <row r="119" spans="7:15" ht="14.4" customHeight="1" x14ac:dyDescent="0.3">
      <c r="H119" s="30" t="s">
        <v>6</v>
      </c>
      <c r="I119" s="54" t="str">
        <f ca="1">_xll.SUBNM((db_name&amp;":movement account"),"",$B$24,"Code and Description")</f>
        <v/>
      </c>
      <c r="J119" s="55"/>
      <c r="K119" s="55"/>
      <c r="L119" s="56"/>
      <c r="M119" s="62" t="s">
        <v>5</v>
      </c>
    </row>
    <row r="120" spans="7:15" ht="14.4" customHeight="1" x14ac:dyDescent="0.3">
      <c r="H120" s="30" t="s">
        <v>3</v>
      </c>
      <c r="I120" s="54" t="str">
        <f ca="1">_xll.SUBNM((db_name&amp;":movement account"),"",$B$25,"Code and Description")</f>
        <v/>
      </c>
      <c r="J120" s="55"/>
      <c r="K120" s="55"/>
      <c r="L120" s="56"/>
      <c r="M120" s="62"/>
    </row>
    <row r="121" spans="7:15" ht="14.4" customHeight="1" x14ac:dyDescent="0.3">
      <c r="H121" s="30" t="s">
        <v>4</v>
      </c>
      <c r="I121" s="54" t="str">
        <f ca="1">_xll.SUBNM((db_name&amp;":movement account"),"",$B$26,"Code and Description")</f>
        <v/>
      </c>
      <c r="J121" s="55"/>
      <c r="K121" s="55"/>
      <c r="L121" s="56"/>
      <c r="M121" s="62"/>
    </row>
    <row r="122" spans="7:15" ht="14.4" customHeight="1" x14ac:dyDescent="0.3">
      <c r="H122" s="30" t="s">
        <v>2</v>
      </c>
      <c r="I122" s="54" t="str">
        <f ca="1">_xll.SUBNM((db_name&amp;":movement account"),"",$B$27,"Code and Description")</f>
        <v/>
      </c>
      <c r="J122" s="55"/>
      <c r="K122" s="55"/>
      <c r="L122" s="56"/>
      <c r="M122" s="62"/>
    </row>
    <row r="123" spans="7:15" ht="4.5" customHeight="1" x14ac:dyDescent="0.3">
      <c r="J123" s="20"/>
      <c r="L123" s="18"/>
    </row>
    <row r="124" spans="7:15" ht="3" customHeight="1" x14ac:dyDescent="0.3">
      <c r="G124" s="16"/>
      <c r="H124" s="16"/>
      <c r="I124" s="16"/>
      <c r="J124" s="16"/>
      <c r="K124" s="16"/>
      <c r="L124" s="16"/>
      <c r="M124" s="16"/>
      <c r="N124" s="16"/>
      <c r="O124" s="16"/>
    </row>
    <row r="125" spans="7:15" ht="4.5" customHeight="1" x14ac:dyDescent="0.3"/>
    <row r="126" spans="7:15" ht="45.6" customHeight="1" x14ac:dyDescent="0.3">
      <c r="H126" s="36" t="s">
        <v>1</v>
      </c>
      <c r="I126" s="73" t="str">
        <f ca="1">$I$115</f>
        <v/>
      </c>
      <c r="J126" s="73"/>
      <c r="L126" s="20" t="s">
        <v>0</v>
      </c>
      <c r="M126" s="69" t="str">
        <f ca="1">("Estimates Clearing adjustment IDs :    "&amp;$B$52)</f>
        <v xml:space="preserve">Estimates Clearing adjustment IDs :    </v>
      </c>
      <c r="N126" s="69"/>
      <c r="O126" s="69"/>
    </row>
    <row r="127" spans="7:15" ht="3" customHeight="1" x14ac:dyDescent="0.3"/>
    <row r="128" spans="7:15" ht="14.4" customHeight="1" x14ac:dyDescent="0.3">
      <c r="H128" s="25" t="s">
        <v>97</v>
      </c>
      <c r="I128" s="25" t="s">
        <v>98</v>
      </c>
      <c r="J128" s="27" t="s">
        <v>99</v>
      </c>
      <c r="K128" s="25" t="str">
        <f ca="1">$A$99</f>
        <v/>
      </c>
      <c r="L128" s="25" t="str">
        <f ca="1">$A$100</f>
        <v>EY_ERR</v>
      </c>
      <c r="M128" s="25" t="str">
        <f ca="1">$A$101</f>
        <v/>
      </c>
      <c r="N128" s="25" t="str">
        <f ca="1">$A$102</f>
        <v/>
      </c>
      <c r="O128" s="25" t="str">
        <f ca="1">$A$103</f>
        <v/>
      </c>
    </row>
    <row r="129" spans="1:15" ht="14.4" customHeight="1" x14ac:dyDescent="0.3">
      <c r="H129" s="25"/>
      <c r="I129" s="25"/>
      <c r="J129" s="27"/>
      <c r="K129" s="31" t="s">
        <v>100</v>
      </c>
      <c r="L129" s="31" t="s">
        <v>101</v>
      </c>
      <c r="M129" s="31" t="s">
        <v>102</v>
      </c>
      <c r="N129" s="31" t="s">
        <v>103</v>
      </c>
      <c r="O129" s="31" t="s">
        <v>104</v>
      </c>
    </row>
    <row r="130" spans="1:15" ht="14.4" customHeight="1" x14ac:dyDescent="0.3">
      <c r="A130" t="str">
        <f ca="1">IF(_xll.TM1RPTELISCONSOLIDATED($J$130,$J130),IF((_xll.TM1RPTELLEV($J$130,$J130)&lt;=3),_xll.TM1RPTELLEV($J$130,$J130),"D"),"N")</f>
        <v>N</v>
      </c>
      <c r="H130" s="43" t="str">
        <f ca="1">_xll.TM1RPTROW($A$82,(db_name&amp;":account"),"Financial Statements")</f>
        <v/>
      </c>
      <c r="I130" s="44" t="str">
        <f ca="1">_xll.TM1RPTROW($A$82,(db_name&amp;":ID"),,,,,$B$36)</f>
        <v/>
      </c>
      <c r="J130" s="45" t="str">
        <f ca="1">_xll.TM1RPTROW($A$82,(db_name&amp;":movement account"),"",,"code and description",0,transfer!$B$39)</f>
        <v/>
      </c>
      <c r="K130" s="21" t="str">
        <f ca="1">_xll.DBRW($A$82,$B$83,$B$84,$B$85,$B$86,$B$93,$B$87,$B$88,$B$95,$B$89,$B$90,$J130,$B$91,$I$126,$H130,$I130,$B$94,K$128)</f>
        <v/>
      </c>
      <c r="L130" s="22" t="str">
        <f ca="1">_xll.DBRW($A$82,$B$83,$B$84,$B$85,$B$86,$B$93,$B$87,$B$88,$B$95,$B$89,$B$90,$J130,$B$91,$I$126,$H130,$I130,$B$94,L$128)</f>
        <v/>
      </c>
      <c r="M130" s="22" t="str">
        <f ca="1">_xll.DBRW($A$82,$B$83,$B$84,$B$85,$B$86,$B$93,$B$87,$B$88,$B$95,$B$89,$B$90,$J130,$B$91,$I$126,$H130,$I130,$B$94,M$128)</f>
        <v/>
      </c>
      <c r="N130" s="22" t="str">
        <f ca="1">_xll.DBRW($A$82,$B$83,$B$84,$B$85,$B$86,$B$93,$B$87,$B$88,$B$95,$B$89,$B$90,$J130,$B$91,$I$126,$H130,$I130,$B$94,N$128)</f>
        <v/>
      </c>
      <c r="O130" s="23" t="str">
        <f ca="1">_xll.DBRW($A$82,$B$83,$B$84,$B$85,$B$86,$B$93,$B$87,$B$88,$B$95,$B$89,$B$90,$J130,$B$91,$I$126,$H130,$I130,$B$94,O$128)</f>
        <v/>
      </c>
    </row>
    <row r="131" spans="1:15" ht="15" customHeight="1" x14ac:dyDescent="0.3">
      <c r="H131" s="29"/>
      <c r="I131" s="29"/>
      <c r="J131" s="29"/>
      <c r="K131" s="29"/>
      <c r="L131" s="29"/>
      <c r="M131" s="29"/>
      <c r="N131" s="29"/>
      <c r="O131" s="29"/>
    </row>
    <row r="132" spans="1:15" ht="3" customHeight="1" x14ac:dyDescent="0.3">
      <c r="G132" s="16"/>
      <c r="H132" s="16"/>
      <c r="I132" s="16"/>
      <c r="J132" s="16"/>
      <c r="K132" s="16"/>
      <c r="L132" s="16"/>
      <c r="M132" s="16"/>
      <c r="N132" s="16"/>
      <c r="O132" s="16"/>
    </row>
    <row r="133" spans="1:15" ht="45.6" customHeight="1" x14ac:dyDescent="0.3">
      <c r="H133" s="41" t="s">
        <v>105</v>
      </c>
      <c r="I133" s="67" t="str">
        <f ca="1">$I$116</f>
        <v/>
      </c>
      <c r="J133" s="68"/>
      <c r="K133" s="29"/>
      <c r="L133" s="42" t="s">
        <v>106</v>
      </c>
      <c r="M133" s="70" t="str">
        <f ca="1">("Estimates Transfer adjustment IDs :     "&amp;$B$53)</f>
        <v xml:space="preserve">Estimates Transfer adjustment IDs :     </v>
      </c>
      <c r="N133" s="71"/>
      <c r="O133" s="72"/>
    </row>
    <row r="134" spans="1:15" ht="3" customHeight="1" x14ac:dyDescent="0.3">
      <c r="H134" s="19"/>
      <c r="I134" s="28"/>
    </row>
    <row r="135" spans="1:15" ht="14.4" customHeight="1" x14ac:dyDescent="0.3">
      <c r="H135" s="25" t="s">
        <v>97</v>
      </c>
      <c r="I135" s="25" t="s">
        <v>98</v>
      </c>
      <c r="J135" s="27" t="s">
        <v>99</v>
      </c>
      <c r="K135" s="25" t="str">
        <f ca="1">$A$99</f>
        <v/>
      </c>
      <c r="L135" s="25" t="str">
        <f ca="1">$A$100</f>
        <v>EY_ERR</v>
      </c>
      <c r="M135" s="25" t="str">
        <f ca="1">$A$101</f>
        <v/>
      </c>
      <c r="N135" s="25" t="str">
        <f ca="1">$A$102</f>
        <v/>
      </c>
      <c r="O135" s="25" t="str">
        <f ca="1">$A$103</f>
        <v/>
      </c>
    </row>
    <row r="136" spans="1:15" ht="14.4" customHeight="1" x14ac:dyDescent="0.3">
      <c r="H136" s="25"/>
      <c r="I136" s="25"/>
      <c r="J136" s="27"/>
      <c r="K136" s="31" t="s">
        <v>100</v>
      </c>
      <c r="L136" s="31" t="s">
        <v>101</v>
      </c>
      <c r="M136" s="31" t="s">
        <v>102</v>
      </c>
      <c r="N136" s="31" t="s">
        <v>103</v>
      </c>
      <c r="O136" s="31" t="s">
        <v>104</v>
      </c>
    </row>
    <row r="137" spans="1:15" ht="14.4" customHeight="1" x14ac:dyDescent="0.3">
      <c r="A137" t="str">
        <f ca="1">IF(_xll.TM1RPTELISCONSOLIDATED($J$137,$J137),IF((_xll.TM1RPTELLEV($J$137,$J137)&lt;=3),_xll.TM1RPTELLEV($J$137,$J137),"D"),"N")</f>
        <v>N</v>
      </c>
      <c r="H137" s="43" t="str">
        <f ca="1">_xll.TM1RPTROW($B$82,(db_name&amp;":account"),"Financial Statements")</f>
        <v/>
      </c>
      <c r="I137" s="44" t="str">
        <f ca="1">_xll.TM1RPTROW($B$82,(db_name&amp;":ID"),,,,,$B$36)</f>
        <v/>
      </c>
      <c r="J137" s="45" t="str">
        <f ca="1">_xll.TM1RPTROW($B$82,(db_name&amp;":movement account"),,,"code and description",0,$B$39)</f>
        <v/>
      </c>
      <c r="K137" s="21" t="str">
        <f ca="1">_xll.DBRW($B$82,$B$83,$B$84,$B$85,$B$86,$B$93,$B$87,$B$88,$B$95,$B$89,$B$90,$J137,$B$91,$I$133,$H137,$I137,$B$94,K$128)</f>
        <v/>
      </c>
      <c r="L137" s="22" t="str">
        <f ca="1">_xll.DBRW($B$82,$B$83,$B$84,$B$85,$B$86,$B$93,$B$87,$B$88,$B$95,$B$89,$B$90,$J137,$B$91,$I$133,$H137,$I137,$B$94,L$128)</f>
        <v/>
      </c>
      <c r="M137" s="22" t="str">
        <f ca="1">_xll.DBRW($B$82,$B$83,$B$84,$B$85,$B$86,$B$93,$B$87,$B$88,$B$95,$B$89,$B$90,$J137,$B$91,$I$133,$H137,$I137,$B$94,M$128)</f>
        <v/>
      </c>
      <c r="N137" s="22" t="str">
        <f ca="1">_xll.DBRW($B$82,$B$83,$B$84,$B$85,$B$86,$B$93,$B$87,$B$88,$B$95,$B$89,$B$90,$J137,$B$91,$I$133,$H137,$I137,$B$94,N$128)</f>
        <v/>
      </c>
      <c r="O137" s="23" t="str">
        <f ca="1">_xll.DBRW($B$82,$B$83,$B$84,$B$85,$B$86,$B$93,$B$87,$B$88,$B$95,$B$89,$B$90,$J137,$B$91,$I$133,$H137,$I137,$B$94,O$128)</f>
        <v/>
      </c>
    </row>
    <row r="138" spans="1:15" ht="14.4" customHeight="1" x14ac:dyDescent="0.3">
      <c r="H138" s="29"/>
      <c r="I138" s="29"/>
      <c r="J138" s="29"/>
      <c r="K138" s="29"/>
      <c r="L138" s="29"/>
      <c r="M138" s="29"/>
      <c r="N138" s="29"/>
      <c r="O138" s="29"/>
    </row>
  </sheetData>
  <sheetProtection sheet="1" objects="1" scenarios="1"/>
  <mergeCells count="24">
    <mergeCell ref="I133:J133"/>
    <mergeCell ref="M126:O126"/>
    <mergeCell ref="M133:O133"/>
    <mergeCell ref="I120:L120"/>
    <mergeCell ref="I122:L122"/>
    <mergeCell ref="I126:J126"/>
    <mergeCell ref="I119:L119"/>
    <mergeCell ref="I121:L121"/>
    <mergeCell ref="I115:L115"/>
    <mergeCell ref="I116:L116"/>
    <mergeCell ref="K110:N110"/>
    <mergeCell ref="I117:L117"/>
    <mergeCell ref="M119:M122"/>
    <mergeCell ref="M115:O116"/>
    <mergeCell ref="K114:L114"/>
    <mergeCell ref="I118:L118"/>
    <mergeCell ref="M117:O117"/>
    <mergeCell ref="A41:C41"/>
    <mergeCell ref="A55:C55"/>
    <mergeCell ref="A65:C65"/>
    <mergeCell ref="A74:C74"/>
    <mergeCell ref="N113:O113"/>
    <mergeCell ref="H113:L113"/>
    <mergeCell ref="A47:B47"/>
  </mergeCells>
  <conditionalFormatting sqref="H116 L112 K114">
    <cfRule type="containsText" dxfId="8" priority="14" operator="containsText" text="approve">
      <formula>NOT(ISERROR(SEARCH("approve",H112)))</formula>
    </cfRule>
    <cfRule type="beginsWith" dxfId="7" priority="15" operator="beginsWith" text="un">
      <formula>LEFT(H112,LEN("un"))="un"</formula>
    </cfRule>
  </conditionalFormatting>
  <conditionalFormatting sqref="L123">
    <cfRule type="containsText" dxfId="6" priority="6" operator="containsText" text="approve">
      <formula>NOT(ISERROR(SEARCH("approve",L123)))</formula>
    </cfRule>
    <cfRule type="beginsWith" dxfId="5" priority="7" operator="beginsWith" text="un">
      <formula>LEFT(L123,LEN("un"))="un"</formula>
    </cfRule>
  </conditionalFormatting>
  <conditionalFormatting sqref="H133">
    <cfRule type="containsText" dxfId="4" priority="4" operator="containsText" text="approve">
      <formula>NOT(ISERROR(SEARCH("approve",H133)))</formula>
    </cfRule>
    <cfRule type="beginsWith" dxfId="3" priority="5" operator="beginsWith" text="un">
      <formula>LEFT(H133,LEN("un"))="un"</formula>
    </cfRule>
  </conditionalFormatting>
  <conditionalFormatting sqref="H126">
    <cfRule type="containsText" dxfId="2" priority="2" operator="containsText" text="approve">
      <formula>NOT(ISERROR(SEARCH("approve",H126)))</formula>
    </cfRule>
    <cfRule type="beginsWith" dxfId="1" priority="3" operator="beginsWith" text="un">
      <formula>LEFT(H126,LEN("un"))="un"</formula>
    </cfRule>
  </conditionalFormatting>
  <conditionalFormatting sqref="M115:O116">
    <cfRule type="beginsWith" dxfId="0" priority="1" operator="beginsWith" text="Please select">
      <formula>LEFT(M115,LEN("Please select"))="Please select"</formula>
    </cfRule>
  </conditionalFormatting>
  <pageMargins left="0.7" right="0.7" top="0.75" bottom="0.75" header="0.3" footer="0.3"/>
  <pageSetup paperSize="9" orientation="portrait" r:id="rId1"/>
  <drawing r:id="rId2"/>
  <legacyDrawing r:id="rId3"/>
  <controls>
    <mc:AlternateContent xmlns:mc="http://schemas.openxmlformats.org/markup-compatibility/2006">
      <mc:Choice Requires="x14">
        <control shapeId="1025" r:id="rId4" name="TIButton1">
          <controlPr defaultSize="0" print="0" autoLine="0" r:id="rId5">
            <anchor moveWithCells="1" sizeWithCells="1">
              <from>
                <xdr:col>8</xdr:col>
                <xdr:colOff>1059180</xdr:colOff>
                <xdr:row>109</xdr:row>
                <xdr:rowOff>0</xdr:rowOff>
              </from>
              <to>
                <xdr:col>9</xdr:col>
                <xdr:colOff>647700</xdr:colOff>
                <xdr:row>109</xdr:row>
                <xdr:rowOff>243840</xdr:rowOff>
              </to>
            </anchor>
          </controlPr>
        </control>
      </mc:Choice>
      <mc:Fallback>
        <control shapeId="1025" r:id="rId4" name="TIButton1"/>
      </mc:Fallback>
    </mc:AlternateContent>
    <mc:AlternateContent xmlns:mc="http://schemas.openxmlformats.org/markup-compatibility/2006">
      <mc:Choice Requires="x14">
        <control shapeId="1026" r:id="rId6" name="TIButton3">
          <controlPr defaultSize="0" print="0" autoLine="0" r:id="rId7">
            <anchor moveWithCells="1" sizeWithCells="1">
              <from>
                <xdr:col>7</xdr:col>
                <xdr:colOff>60960</xdr:colOff>
                <xdr:row>109</xdr:row>
                <xdr:rowOff>0</xdr:rowOff>
              </from>
              <to>
                <xdr:col>7</xdr:col>
                <xdr:colOff>746760</xdr:colOff>
                <xdr:row>109</xdr:row>
                <xdr:rowOff>251460</xdr:rowOff>
              </to>
            </anchor>
          </controlPr>
        </control>
      </mc:Choice>
      <mc:Fallback>
        <control shapeId="1026" r:id="rId6" name="TIButton3"/>
      </mc:Fallback>
    </mc:AlternateContent>
    <mc:AlternateContent xmlns:mc="http://schemas.openxmlformats.org/markup-compatibility/2006">
      <mc:Choice Requires="x14">
        <control shapeId="1027" r:id="rId8" name="TIButton2">
          <controlPr defaultSize="0" print="0" autoLine="0" r:id="rId9">
            <anchor moveWithCells="1" sizeWithCells="1">
              <from>
                <xdr:col>7</xdr:col>
                <xdr:colOff>792480</xdr:colOff>
                <xdr:row>109</xdr:row>
                <xdr:rowOff>0</xdr:rowOff>
              </from>
              <to>
                <xdr:col>7</xdr:col>
                <xdr:colOff>2209800</xdr:colOff>
                <xdr:row>109</xdr:row>
                <xdr:rowOff>251460</xdr:rowOff>
              </to>
            </anchor>
          </controlPr>
        </control>
      </mc:Choice>
      <mc:Fallback>
        <control shapeId="1027" r:id="rId8" name="TIButton2"/>
      </mc:Fallback>
    </mc:AlternateContent>
    <mc:AlternateContent xmlns:mc="http://schemas.openxmlformats.org/markup-compatibility/2006">
      <mc:Choice Requires="x14">
        <control shapeId="1028" r:id="rId10" name="TIButton4">
          <controlPr defaultSize="0" print="0" autoLine="0" r:id="rId11">
            <anchor moveWithCells="1" sizeWithCells="1">
              <from>
                <xdr:col>7</xdr:col>
                <xdr:colOff>2255520</xdr:colOff>
                <xdr:row>109</xdr:row>
                <xdr:rowOff>0</xdr:rowOff>
              </from>
              <to>
                <xdr:col>7</xdr:col>
                <xdr:colOff>2887980</xdr:colOff>
                <xdr:row>109</xdr:row>
                <xdr:rowOff>251460</xdr:rowOff>
              </to>
            </anchor>
          </controlPr>
        </control>
      </mc:Choice>
      <mc:Fallback>
        <control shapeId="1028" r:id="rId10" name="TIButton4"/>
      </mc:Fallback>
    </mc:AlternateContent>
    <mc:AlternateContent xmlns:mc="http://schemas.openxmlformats.org/markup-compatibility/2006">
      <mc:Choice Requires="x14">
        <control shapeId="1030" r:id="rId12" name="TIButton6">
          <controlPr defaultSize="0" print="0" autoLine="0" r:id="rId13">
            <anchor moveWithCells="1" sizeWithCells="1">
              <from>
                <xdr:col>14</xdr:col>
                <xdr:colOff>1112520</xdr:colOff>
                <xdr:row>108</xdr:row>
                <xdr:rowOff>30480</xdr:rowOff>
              </from>
              <to>
                <xdr:col>15</xdr:col>
                <xdr:colOff>7620</xdr:colOff>
                <xdr:row>109</xdr:row>
                <xdr:rowOff>297180</xdr:rowOff>
              </to>
            </anchor>
          </controlPr>
        </control>
      </mc:Choice>
      <mc:Fallback>
        <control shapeId="1030" r:id="rId12" name="TIButton6"/>
      </mc:Fallback>
    </mc:AlternateContent>
    <mc:AlternateContent xmlns:mc="http://schemas.openxmlformats.org/markup-compatibility/2006">
      <mc:Choice Requires="x14">
        <control shapeId="1040" r:id="rId14" name="TIButton5">
          <controlPr defaultSize="0" print="0" autoLine="0" autoPict="0" r:id="rId15">
            <anchor moveWithCells="1" sizeWithCells="1">
              <from>
                <xdr:col>7</xdr:col>
                <xdr:colOff>2918460</xdr:colOff>
                <xdr:row>109</xdr:row>
                <xdr:rowOff>0</xdr:rowOff>
              </from>
              <to>
                <xdr:col>8</xdr:col>
                <xdr:colOff>22860</xdr:colOff>
                <xdr:row>109</xdr:row>
                <xdr:rowOff>251460</xdr:rowOff>
              </to>
            </anchor>
          </controlPr>
        </control>
      </mc:Choice>
      <mc:Fallback>
        <control shapeId="1040" r:id="rId14" name="TIButton5"/>
      </mc:Fallback>
    </mc:AlternateContent>
    <mc:AlternateContent xmlns:mc="http://schemas.openxmlformats.org/markup-compatibility/2006">
      <mc:Choice Requires="x14">
        <control shapeId="1041" r:id="rId16" name="TIButton7">
          <controlPr defaultSize="0" print="0" autoLine="0" r:id="rId17">
            <anchor moveWithCells="1" sizeWithCells="1">
              <from>
                <xdr:col>8</xdr:col>
                <xdr:colOff>45720</xdr:colOff>
                <xdr:row>109</xdr:row>
                <xdr:rowOff>0</xdr:rowOff>
              </from>
              <to>
                <xdr:col>8</xdr:col>
                <xdr:colOff>1028700</xdr:colOff>
                <xdr:row>109</xdr:row>
                <xdr:rowOff>243840</xdr:rowOff>
              </to>
            </anchor>
          </controlPr>
        </control>
      </mc:Choice>
      <mc:Fallback>
        <control shapeId="1041" r:id="rId16" name="TIButton7"/>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DFCEA-3680-4A61-A3F2-875C772FE235}">
  <sheetPr codeName="Sheet2"/>
  <dimension ref="A1:A8"/>
  <sheetViews>
    <sheetView workbookViewId="0"/>
  </sheetViews>
  <sheetFormatPr defaultRowHeight="14.4" x14ac:dyDescent="0.3"/>
  <sheetData>
    <row r="1" spans="1:1" x14ac:dyDescent="0.3">
      <c r="A1" t="s">
        <v>113</v>
      </c>
    </row>
    <row r="2" spans="1:1" x14ac:dyDescent="0.3">
      <c r="A2" t="s">
        <v>114</v>
      </c>
    </row>
    <row r="3" spans="1:1" x14ac:dyDescent="0.3">
      <c r="A3" t="s">
        <v>115</v>
      </c>
    </row>
    <row r="4" spans="1:1" x14ac:dyDescent="0.3">
      <c r="A4" t="s">
        <v>116</v>
      </c>
    </row>
    <row r="5" spans="1:1" x14ac:dyDescent="0.3">
      <c r="A5" t="s">
        <v>117</v>
      </c>
    </row>
    <row r="6" spans="1:1" x14ac:dyDescent="0.3">
      <c r="A6" t="s">
        <v>118</v>
      </c>
    </row>
    <row r="7" spans="1:1" x14ac:dyDescent="0.3">
      <c r="A7" t="s">
        <v>119</v>
      </c>
    </row>
    <row r="8" spans="1:1" x14ac:dyDescent="0.3">
      <c r="A8" t="s">
        <v>120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2</vt:i4>
      </vt:variant>
      <vt:variant>
        <vt:lpstr>Named Ranges</vt:lpstr>
      </vt:variant>
      <vt:variant>
        <vt:i4>42</vt:i4>
      </vt:variant>
    </vt:vector>
  </HeadingPairs>
  <TitlesOfParts>
    <vt:vector size="44" baseType="lpstr">
      <vt:lpstr>transfer</vt:lpstr>
      <vt:lpstr>{PL}PickLst</vt:lpstr>
      <vt:lpstr>curHLYr</vt:lpstr>
      <vt:lpstr>curScenario</vt:lpstr>
      <vt:lpstr>db_name</vt:lpstr>
      <vt:lpstr>Freeze_here</vt:lpstr>
      <vt:lpstr>psApp</vt:lpstr>
      <vt:lpstr>psCreateAdjByMeasures</vt:lpstr>
      <vt:lpstr>psFFType</vt:lpstr>
      <vt:lpstr>psHLyear</vt:lpstr>
      <vt:lpstr>psScenario</vt:lpstr>
      <vt:lpstr>psSrcProg</vt:lpstr>
      <vt:lpstr>psStartYr</vt:lpstr>
      <vt:lpstr>psTrgAccDepnMA</vt:lpstr>
      <vt:lpstr>psTrgAccDepnROUMA</vt:lpstr>
      <vt:lpstr>psTrgEQTMA</vt:lpstr>
      <vt:lpstr>psTrgGrossValMA</vt:lpstr>
      <vt:lpstr>psTrgGrossValROUMA</vt:lpstr>
      <vt:lpstr>psTrgProg</vt:lpstr>
      <vt:lpstr>psUser</vt:lpstr>
      <vt:lpstr>TM1AdjIDListCAP</vt:lpstr>
      <vt:lpstr>TM1AdjIDListWB</vt:lpstr>
      <vt:lpstr>TM1AdjIDListWS</vt:lpstr>
      <vt:lpstr>TM1CLEARAB_Confirm</vt:lpstr>
      <vt:lpstr>TM1CLEARAB_Success</vt:lpstr>
      <vt:lpstr>TM1HomeAECAP</vt:lpstr>
      <vt:lpstr>TM1HomeAEDataEntryCAP</vt:lpstr>
      <vt:lpstr>TM1HomeAEDataEntryWB</vt:lpstr>
      <vt:lpstr>TM1HomeAEDataEntryWS</vt:lpstr>
      <vt:lpstr>TM1HomeAEWB</vt:lpstr>
      <vt:lpstr>TM1HomeAEWS</vt:lpstr>
      <vt:lpstr>TM1HomeCAP</vt:lpstr>
      <vt:lpstr>TM1HomeWB</vt:lpstr>
      <vt:lpstr>TM1HomeWS</vt:lpstr>
      <vt:lpstr>transfer!TM1RPTDATARNG1</vt:lpstr>
      <vt:lpstr>transfer!TM1RPTDATARNGARPT1</vt:lpstr>
      <vt:lpstr>transfer!TM1RPTFMTIDCOL</vt:lpstr>
      <vt:lpstr>transfer!TM1RPTFMTRNG</vt:lpstr>
      <vt:lpstr>TM1UploadAB_Confirm</vt:lpstr>
      <vt:lpstr>TM1UploadAB_Fail</vt:lpstr>
      <vt:lpstr>TM1UploadAB_Success</vt:lpstr>
      <vt:lpstr>TM1UploadTempCAP</vt:lpstr>
      <vt:lpstr>TM1UploadTempWB</vt:lpstr>
      <vt:lpstr>TM1UploadTempWS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Bill Looyen</dc:creator>
  <cp:keywords/>
  <dc:description/>
  <cp:lastModifiedBy>blooyen</cp:lastModifiedBy>
  <cp:lastPrinted>2021-02-04T06:25:22Z</cp:lastPrinted>
  <dcterms:created xsi:type="dcterms:W3CDTF">2021-02-03T03:50:40Z</dcterms:created>
  <dcterms:modified xsi:type="dcterms:W3CDTF">2023-02-14T22:32:07Z</dcterms:modified>
  <cp:category/>
  <cp:contentStatus/>
</cp:coreProperties>
</file>