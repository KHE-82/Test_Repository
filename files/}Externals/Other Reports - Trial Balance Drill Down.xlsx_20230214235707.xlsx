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TM1_Common\finance_geus\}Externals\"/>
    </mc:Choice>
  </mc:AlternateContent>
  <xr:revisionPtr revIDLastSave="0" documentId="13_ncr:1_{02EC7CEC-29E7-49B4-920B-99DF725B8E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BAL" sheetId="1" r:id="rId1"/>
  </sheets>
  <definedNames>
    <definedName name="db_name">TBAL!$C$12</definedName>
    <definedName name="psApp">TBAL!$C$29</definedName>
    <definedName name="psHLYear">TBAL!$L$72</definedName>
    <definedName name="psScenario">TBAL!$L$73</definedName>
    <definedName name="psUser">TBAL!$C$14</definedName>
    <definedName name="TM1HomeAdminCAP">TBAL!$D$34</definedName>
    <definedName name="TM1HomeAdminWB">TBAL!$F$34</definedName>
    <definedName name="TM1HomeAdminWS">TBAL!$H$34</definedName>
    <definedName name="TM1HomeAECAP">TBAL!$D$32</definedName>
    <definedName name="TM1HomeAEWB">TBAL!$F$32</definedName>
    <definedName name="TM1HomeAEWS">TBAL!$H$32</definedName>
    <definedName name="TM1HomeCAP">TBAL!$D$31</definedName>
    <definedName name="TM1HomeRepAnalyticalCAP">TBAL!$D$36</definedName>
    <definedName name="TM1HomeRepAnalyticalWB">TBAL!$F$36</definedName>
    <definedName name="TM1HomeRepAnalyticalWS">TBAL!$H$36</definedName>
    <definedName name="TM1HomeRepCAP">TBAL!$D$33</definedName>
    <definedName name="TM1HomeRepOtherCAP">TBAL!$D$35</definedName>
    <definedName name="TM1HomeRepOtherWB">TBAL!$F$35</definedName>
    <definedName name="TM1HomeRepOtherWS">TBAL!$H$35</definedName>
    <definedName name="TM1HomeRepWB">TBAL!$F$33</definedName>
    <definedName name="TM1HomeRepWS">TBAL!$H$33</definedName>
    <definedName name="TM1HomeWB">TBAL!$F$31</definedName>
    <definedName name="TM1HomeWS">TBAL!$H$31</definedName>
    <definedName name="TM1OthRprTBalAccCAP">TBAL!$D$38</definedName>
    <definedName name="TM1OthRprTBalAccWB">TBAL!$F$38</definedName>
    <definedName name="TM1OthRprTBalAccWS">TBAL!$H$38</definedName>
    <definedName name="TM1OthRprTBalCAP">TBAL!$D$37</definedName>
    <definedName name="TM1OthRprTBalDetailCAP">TBAL!$D$39</definedName>
    <definedName name="TM1OthRprTBalDetailWB">TBAL!$F$39</definedName>
    <definedName name="TM1OthRprTBalDetailWS">TBAL!$H$39</definedName>
    <definedName name="TM1OthRprTBalDrillCAP">TBAL!$D$40</definedName>
    <definedName name="TM1OthRprTBalDrillWB">TBAL!$F$40</definedName>
    <definedName name="TM1OthRprTBalDrillWS">TBAL!$H$40</definedName>
    <definedName name="TM1OthRprTBalWB">TBAL!$F$37</definedName>
    <definedName name="TM1OthRprTBalWS">TBAL!$H$37</definedName>
    <definedName name="TM1REBUILDOPTION">1</definedName>
    <definedName name="TM1RPTDATARNG7" localSheetId="0">TBAL!$85:$85</definedName>
    <definedName name="TM1RPTFMTIDCOL" localSheetId="0">TBAL!$A$1:$A$8</definedName>
    <definedName name="TM1RPTFMTRNG" localSheetId="0">TBAL!$B$1:$R$8</definedName>
    <definedName name="TM1ViewAdj01HeaderCAP">TBAL!$D$41</definedName>
    <definedName name="TM1ViewAdj01HeaderWB">TBAL!$F$41</definedName>
    <definedName name="TM1ViewAdj01HeaderWS">TBAL!$H$41</definedName>
  </definedName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4" i="1" l="1" a="1"/>
  <c r="N74" i="1"/>
  <c r="C46" i="1" a="1"/>
  <c r="C46" i="1"/>
  <c r="H46" i="1" a="1"/>
  <c r="H46" i="1"/>
  <c r="D54" i="1"/>
  <c r="C54" i="1"/>
  <c r="G85" i="1" a="1"/>
  <c r="G85" i="1"/>
  <c r="L78" i="1" a="1"/>
  <c r="L78" i="1"/>
  <c r="D53" i="1"/>
  <c r="C53" i="1"/>
  <c r="F85" i="1" a="1"/>
  <c r="F85" i="1"/>
  <c r="L77" i="1" a="1"/>
  <c r="L77" i="1"/>
  <c r="D52" i="1"/>
  <c r="C52" i="1"/>
  <c r="E85" i="1" a="1"/>
  <c r="E85" i="1"/>
  <c r="L76" i="1" a="1"/>
  <c r="L76" i="1"/>
  <c r="D51" i="1"/>
  <c r="C51" i="1"/>
  <c r="D85" i="1" a="1"/>
  <c r="D85" i="1"/>
  <c r="L75" i="1" a="1"/>
  <c r="L75" i="1"/>
  <c r="D50" i="1"/>
  <c r="C50" i="1"/>
  <c r="C85" i="1" a="1"/>
  <c r="C85" i="1"/>
  <c r="N72" i="1" a="1"/>
  <c r="N72" i="1"/>
  <c r="D49" i="1"/>
  <c r="C49" i="1"/>
  <c r="B85" i="1" a="1"/>
  <c r="B85" i="1"/>
  <c r="N76" i="1" a="1"/>
  <c r="N76" i="1"/>
  <c r="N75" i="1" a="1"/>
  <c r="N75" i="1"/>
  <c r="L74" i="1" a="1"/>
  <c r="L74" i="1"/>
  <c r="N73" i="1" a="1"/>
  <c r="N73" i="1"/>
  <c r="C20" i="1" a="1"/>
  <c r="C20" i="1"/>
  <c r="C22" i="1" a="1"/>
  <c r="C22" i="1"/>
  <c r="L73" i="1" a="1"/>
  <c r="L73" i="1"/>
  <c r="C21" i="1" a="1"/>
  <c r="C21" i="1"/>
  <c r="L72" i="1" a="1"/>
  <c r="L72" i="1"/>
  <c r="C63" i="1" a="1"/>
  <c r="C63" i="1"/>
  <c r="C59" i="1" a="1"/>
  <c r="C59" i="1"/>
  <c r="C58" i="1" a="1"/>
  <c r="C58" i="1"/>
  <c r="C57" i="1" a="1"/>
  <c r="C57" i="1"/>
  <c r="M56" i="1"/>
  <c r="R56" i="1" a="1"/>
  <c r="R56" i="1"/>
  <c r="Q56" i="1" a="1"/>
  <c r="Q56" i="1"/>
  <c r="P56" i="1" a="1"/>
  <c r="P56" i="1"/>
  <c r="O56" i="1" a="1"/>
  <c r="O56" i="1"/>
  <c r="N56" i="1" a="1"/>
  <c r="N56" i="1"/>
  <c r="C28" i="1" a="1"/>
  <c r="C28" i="1"/>
  <c r="G57" i="1" a="1"/>
  <c r="G57" i="1"/>
  <c r="C47" i="1" a="1"/>
  <c r="C47" i="1"/>
  <c r="F87" i="1"/>
  <c r="D87" i="1"/>
  <c r="B87" i="1"/>
  <c r="C87" i="1"/>
  <c r="R87" i="1" a="1"/>
  <c r="R87" i="1"/>
  <c r="Q87" i="1" a="1"/>
  <c r="Q87" i="1"/>
  <c r="P87" i="1" a="1"/>
  <c r="P87" i="1"/>
  <c r="O87" i="1" a="1"/>
  <c r="O87" i="1"/>
  <c r="N87" i="1" a="1"/>
  <c r="N87" i="1"/>
  <c r="R85" i="1" a="1"/>
  <c r="R85" i="1"/>
  <c r="Q85" i="1" a="1"/>
  <c r="Q85" i="1"/>
  <c r="P85" i="1" a="1"/>
  <c r="P85" i="1"/>
  <c r="O85" i="1" a="1"/>
  <c r="O85" i="1"/>
  <c r="N85" i="1" a="1"/>
  <c r="N85" i="1"/>
  <c r="I85" i="1" a="1"/>
  <c r="I85" i="1"/>
  <c r="H85" i="1" a="1"/>
  <c r="H85" i="1"/>
  <c r="A85" i="1" a="1"/>
  <c r="A85" i="1"/>
  <c r="F83" i="1"/>
  <c r="D83" i="1"/>
  <c r="B83" i="1"/>
  <c r="C83" i="1"/>
  <c r="R83" i="1" a="1"/>
  <c r="R83" i="1"/>
  <c r="Q83" i="1" a="1"/>
  <c r="Q83" i="1"/>
  <c r="P83" i="1" a="1"/>
  <c r="P83" i="1"/>
  <c r="O83" i="1" a="1"/>
  <c r="O83" i="1"/>
  <c r="N83" i="1" a="1"/>
  <c r="N83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R81" i="1"/>
  <c r="Q81" i="1"/>
  <c r="P81" i="1"/>
  <c r="O81" i="1"/>
  <c r="N81" i="1"/>
  <c r="M85" i="1"/>
  <c r="L85" i="1"/>
  <c r="K85" i="1"/>
  <c r="E52" i="1"/>
  <c r="E53" i="1"/>
  <c r="E51" i="1"/>
  <c r="E49" i="1"/>
  <c r="E50" i="1"/>
  <c r="E54" i="1"/>
  <c r="F51" i="1"/>
  <c r="R89" i="1"/>
  <c r="R78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<sst xmlns="http://schemas.openxmlformats.org/spreadsheetml/2006/main" count="103" uniqueCount="93">
  <si>
    <t>headline year</t>
  </si>
  <si>
    <t>related entity</t>
  </si>
  <si>
    <t>function</t>
  </si>
  <si>
    <t>spp</t>
  </si>
  <si>
    <t>jurisdiction</t>
  </si>
  <si>
    <t>D</t>
  </si>
  <si>
    <t>N</t>
  </si>
  <si>
    <t>[Begin Format Range]</t>
  </si>
  <si>
    <t>[End Format Range]</t>
  </si>
  <si>
    <t>Programme</t>
  </si>
  <si>
    <t>Account</t>
  </si>
  <si>
    <t>Movement Account</t>
  </si>
  <si>
    <t>Measure Code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</si>
  <si>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</si>
  <si>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</si>
  <si>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</si>
  <si>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</si>
  <si>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</si>
  <si>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</si>
  <si>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</si>
  <si>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</si>
  <si>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</si>
  <si>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</si>
  <si>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</si>
  <si>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</si>
  <si>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</si>
  <si>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</si>
  <si>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</si>
  <si>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</si>
  <si>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</si>
  <si>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</si>
  <si>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</si>
  <si>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</si>
  <si>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</si>
  <si>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</si>
  <si>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</si>
  <si>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</si>
  <si>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</si>
  <si>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</si>
  <si>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Application Formula (DO NOT DELETE)</t>
  </si>
  <si>
    <t>=DBR($C$28,$B35,C$30)</t>
  </si>
  <si>
    <t>Active Form</t>
  </si>
  <si>
    <t>Slice</t>
  </si>
  <si>
    <t>Programme  MDX</t>
  </si>
  <si>
    <t>Account MDX</t>
  </si>
  <si>
    <t>Movement Account MDX</t>
  </si>
  <si>
    <t>Measure Code MDX</t>
  </si>
  <si>
    <t>To Use</t>
  </si>
  <si>
    <t>Collapse</t>
  </si>
  <si>
    <t>Expand</t>
  </si>
  <si>
    <t>Headline Year :</t>
  </si>
  <si>
    <t>Scenario :</t>
  </si>
  <si>
    <t>Status :</t>
  </si>
  <si>
    <t>Outcome :</t>
  </si>
  <si>
    <t>Reason :</t>
  </si>
  <si>
    <t>Appropriation Type :</t>
  </si>
  <si>
    <t>Appropriation Item :</t>
  </si>
  <si>
    <t>Measure Code :</t>
  </si>
  <si>
    <t>Program :</t>
  </si>
  <si>
    <t>AE Adjustments</t>
  </si>
  <si>
    <t>AE Adjustments - Header Titles</t>
  </si>
  <si>
    <t>Related Entity</t>
  </si>
  <si>
    <t>REPORT PARAMETERS</t>
  </si>
  <si>
    <t xml:space="preserve"> DISPLAY SETTINGS</t>
  </si>
  <si>
    <t>Report Display :</t>
  </si>
  <si>
    <t>Index Change</t>
  </si>
  <si>
    <t>Homepage - Reports - Other</t>
  </si>
  <si>
    <t>Other Reports - Trial Balance</t>
  </si>
  <si>
    <t>Other Reports - Trial Balance Detail</t>
  </si>
  <si>
    <t>Other Reports - Trial Balance Drill</t>
  </si>
  <si>
    <t>As at</t>
  </si>
  <si>
    <t>Total related entity</t>
  </si>
  <si>
    <t>Account :</t>
  </si>
  <si>
    <t>Movement Account :</t>
  </si>
  <si>
    <t>Other Reports - Trial Balance Acc By Prog</t>
  </si>
  <si>
    <t>Trial Balance Drill Down</t>
  </si>
  <si>
    <t>Opening Balance</t>
  </si>
  <si>
    <t>Closing Balance</t>
  </si>
  <si>
    <t>Opening Balance ID</t>
  </si>
  <si>
    <t>Closing Balance ID</t>
  </si>
  <si>
    <t>New Adjustments</t>
  </si>
  <si>
    <t>ID</t>
  </si>
  <si>
    <t>ID MDX</t>
  </si>
  <si>
    <t>Related Entity :</t>
  </si>
  <si>
    <t>Title</t>
  </si>
  <si>
    <t>AE ID Details</t>
  </si>
  <si>
    <t>CBMS ID</t>
  </si>
  <si>
    <t>Total IDs</t>
  </si>
  <si>
    <t>Homepage - Reports - Analytical</t>
  </si>
  <si>
    <t>Data Entry - View Adj 01 - Header Details</t>
  </si>
  <si>
    <t xml:space="preserve">Note : Click along these columns to drill/view an adjustment. </t>
  </si>
  <si>
    <t>0BASE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</si>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</sst>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 &quot;@"/>
    <numFmt numFmtId="165" formatCode="_(* #,##0_);[Red]_(* \(#,##0\);_(* &quot;-&quot;??_);_(@_)"/>
    <numFmt numFmtId="166" formatCode="dd\ mmmm\ yyyy\ h:mm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3" borderId="5" xfId="0" applyFill="1" applyBorder="1"/>
    <xf numFmtId="0" fontId="0" fillId="3" borderId="5" xfId="0" quotePrefix="1" applyFill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indent="1"/>
    </xf>
    <xf numFmtId="0" fontId="2" fillId="4" borderId="5" xfId="0" applyFont="1" applyFill="1" applyBorder="1" applyAlignment="1">
      <alignment horizontal="center"/>
    </xf>
    <xf numFmtId="165" fontId="3" fillId="0" borderId="5" xfId="0" applyNumberFormat="1" applyFont="1" applyBorder="1"/>
    <xf numFmtId="0" fontId="2" fillId="0" borderId="1" xfId="0" applyFont="1" applyBorder="1"/>
    <xf numFmtId="0" fontId="0" fillId="0" borderId="1" xfId="0" applyBorder="1"/>
    <xf numFmtId="49" fontId="0" fillId="0" borderId="0" xfId="0" applyNumberFormat="1"/>
    <xf numFmtId="164" fontId="0" fillId="0" borderId="0" xfId="0" applyNumberFormat="1"/>
    <xf numFmtId="0" fontId="1" fillId="5" borderId="0" xfId="0" applyFont="1" applyFill="1" applyAlignment="1">
      <alignment horizontal="center" vertical="center"/>
    </xf>
    <xf numFmtId="0" fontId="0" fillId="7" borderId="8" xfId="0" applyFill="1" applyBorder="1" applyAlignment="1" applyProtection="1">
      <alignment horizontal="center" vertical="center"/>
      <protection locked="0"/>
    </xf>
    <xf numFmtId="0" fontId="5" fillId="5" borderId="0" xfId="0" applyFont="1" applyFill="1" applyAlignment="1">
      <alignment horizontal="right" vertical="center"/>
    </xf>
    <xf numFmtId="165" fontId="7" fillId="0" borderId="9" xfId="0" applyNumberFormat="1" applyFont="1" applyBorder="1"/>
    <xf numFmtId="0" fontId="0" fillId="0" borderId="5" xfId="0" applyBorder="1" applyAlignment="1" applyProtection="1">
      <alignment horizontal="left" indent="1"/>
      <protection locked="0"/>
    </xf>
    <xf numFmtId="0" fontId="4" fillId="0" borderId="5" xfId="0" applyFont="1" applyBorder="1" applyAlignment="1" applyProtection="1">
      <alignment horizontal="left" indent="1"/>
      <protection locked="0"/>
    </xf>
    <xf numFmtId="0" fontId="1" fillId="6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3" fillId="8" borderId="5" xfId="0" applyFont="1" applyFill="1" applyBorder="1"/>
    <xf numFmtId="0" fontId="3" fillId="8" borderId="5" xfId="0" applyFont="1" applyFill="1" applyBorder="1" applyAlignment="1">
      <alignment horizontal="center"/>
    </xf>
    <xf numFmtId="164" fontId="2" fillId="0" borderId="1" xfId="0" applyNumberFormat="1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6" fontId="2" fillId="0" borderId="0" xfId="0" applyNumberFormat="1" applyFont="1" applyAlignment="1">
      <alignment horizontal="left" indent="1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4.emf"/><Relationship Id="rId7" Type="http://schemas.openxmlformats.org/officeDocument/2006/relationships/image" Target="../media/image7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65</xdr:row>
      <xdr:rowOff>19050</xdr:rowOff>
    </xdr:from>
    <xdr:to>
      <xdr:col>11</xdr:col>
      <xdr:colOff>400050</xdr:colOff>
      <xdr:row>65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66</xdr:row>
          <xdr:rowOff>47625</xdr:rowOff>
        </xdr:from>
        <xdr:to>
          <xdr:col>10</xdr:col>
          <xdr:colOff>619125</xdr:colOff>
          <xdr:row>67</xdr:row>
          <xdr:rowOff>238125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657225</xdr:colOff>
          <xdr:row>66</xdr:row>
          <xdr:rowOff>47625</xdr:rowOff>
        </xdr:from>
        <xdr:to>
          <xdr:col>11</xdr:col>
          <xdr:colOff>95250</xdr:colOff>
          <xdr:row>67</xdr:row>
          <xdr:rowOff>238125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123825</xdr:colOff>
          <xdr:row>66</xdr:row>
          <xdr:rowOff>47625</xdr:rowOff>
        </xdr:from>
        <xdr:to>
          <xdr:col>11</xdr:col>
          <xdr:colOff>1476375</xdr:colOff>
          <xdr:row>67</xdr:row>
          <xdr:rowOff>238125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695325</xdr:colOff>
          <xdr:row>66</xdr:row>
          <xdr:rowOff>47625</xdr:rowOff>
        </xdr:from>
        <xdr:to>
          <xdr:col>14</xdr:col>
          <xdr:colOff>628650</xdr:colOff>
          <xdr:row>67</xdr:row>
          <xdr:rowOff>238125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314325</xdr:colOff>
          <xdr:row>66</xdr:row>
          <xdr:rowOff>47625</xdr:rowOff>
        </xdr:from>
        <xdr:to>
          <xdr:col>12</xdr:col>
          <xdr:colOff>1447800</xdr:colOff>
          <xdr:row>67</xdr:row>
          <xdr:rowOff>238125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533400</xdr:colOff>
          <xdr:row>66</xdr:row>
          <xdr:rowOff>19050</xdr:rowOff>
        </xdr:from>
        <xdr:to>
          <xdr:col>18</xdr:col>
          <xdr:colOff>0</xdr:colOff>
          <xdr:row>67</xdr:row>
          <xdr:rowOff>276225</xdr:rowOff>
        </xdr:to>
        <xdr:sp macro="" textlink="">
          <xdr:nvSpPr>
            <xdr:cNvPr id="1031" name="TIButton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3076575</xdr:colOff>
          <xdr:row>66</xdr:row>
          <xdr:rowOff>47625</xdr:rowOff>
        </xdr:from>
        <xdr:to>
          <xdr:col>12</xdr:col>
          <xdr:colOff>285750</xdr:colOff>
          <xdr:row>67</xdr:row>
          <xdr:rowOff>238125</xdr:rowOff>
        </xdr:to>
        <xdr:sp macro="" textlink="">
          <xdr:nvSpPr>
            <xdr:cNvPr id="1032" name="TIButton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1495425</xdr:colOff>
          <xdr:row>66</xdr:row>
          <xdr:rowOff>47625</xdr:rowOff>
        </xdr:from>
        <xdr:to>
          <xdr:col>11</xdr:col>
          <xdr:colOff>3048000</xdr:colOff>
          <xdr:row>67</xdr:row>
          <xdr:rowOff>238125</xdr:rowOff>
        </xdr:to>
        <xdr:sp macro="" textlink="">
          <xdr:nvSpPr>
            <xdr:cNvPr id="1033" name="TIButton5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1476375</xdr:colOff>
          <xdr:row>66</xdr:row>
          <xdr:rowOff>47625</xdr:rowOff>
        </xdr:from>
        <xdr:to>
          <xdr:col>13</xdr:col>
          <xdr:colOff>647700</xdr:colOff>
          <xdr:row>67</xdr:row>
          <xdr:rowOff>238125</xdr:rowOff>
        </xdr:to>
        <xdr:sp macro="" textlink="">
          <xdr:nvSpPr>
            <xdr:cNvPr id="1034" name="TIButton9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S89"/>
  <sheetViews>
    <sheetView showGridLines="0" tabSelected="1" showOutlineSymbols="0" topLeftCell="J66" workbookViewId="0">
      <pane ySplit="19" topLeftCell="A85" activePane="bottomLeft" state="frozen"/>
      <selection activeCell="J66" sqref="J66"/>
      <selection pane="bottomLeft"/>
    </sheetView>
  </sheetViews>
  <sheetFormatPr defaultRowHeight="15" outlineLevelRow="1" outlineLevelCol="1" x14ac:dyDescent="0.25"/>
  <cols>
    <col min="1" max="1" width="2.7109375" hidden="1" customWidth="1" outlineLevel="1"/>
    <col min="2" max="2" width="29.140625" hidden="1" customWidth="1" outlineLevel="1"/>
    <col min="3" max="3" width="24.5703125" hidden="1" customWidth="1" outlineLevel="1"/>
    <col min="4" max="4" width="17.28515625" hidden="1" customWidth="1" outlineLevel="1"/>
    <col min="5" max="7" width="16" hidden="1" customWidth="1" outlineLevel="1"/>
    <col min="8" max="9" width="29.85546875" hidden="1" customWidth="1" outlineLevel="1"/>
    <col min="10" max="10" width="0.85546875" customWidth="1" collapsed="1"/>
    <col min="11" max="11" width="20.7109375" customWidth="1"/>
    <col min="12" max="12" width="57.5703125" customWidth="1"/>
    <col min="13" max="13" width="25.7109375" customWidth="1"/>
    <col min="14" max="18" width="12.7109375" customWidth="1"/>
    <col min="19" max="19" width="16.85546875" customWidth="1"/>
  </cols>
  <sheetData>
    <row r="1" spans="1:18" hidden="1" outlineLevel="1" x14ac:dyDescent="0.25">
      <c r="A1" t="s">
        <v>7</v>
      </c>
    </row>
    <row r="2" spans="1:18" hidden="1" outlineLevel="1" x14ac:dyDescent="0.25">
      <c r="A2">
        <f>0</f>
        <v>0</v>
      </c>
      <c r="B2" s="13"/>
      <c r="K2" s="25"/>
      <c r="L2" s="26"/>
      <c r="M2" s="27"/>
      <c r="N2" s="12"/>
      <c r="O2" s="12"/>
      <c r="P2" s="12"/>
      <c r="Q2" s="12"/>
      <c r="R2" s="12"/>
    </row>
    <row r="3" spans="1:18" hidden="1" outlineLevel="1" x14ac:dyDescent="0.25">
      <c r="A3">
        <f>1</f>
        <v>1</v>
      </c>
      <c r="B3" s="14"/>
      <c r="K3" s="25"/>
      <c r="L3" s="26"/>
      <c r="M3" s="27"/>
      <c r="N3" s="12"/>
      <c r="O3" s="12"/>
      <c r="P3" s="12"/>
      <c r="Q3" s="12"/>
      <c r="R3" s="12"/>
    </row>
    <row r="4" spans="1:18" hidden="1" outlineLevel="1" x14ac:dyDescent="0.25">
      <c r="A4">
        <f>2</f>
        <v>2</v>
      </c>
      <c r="B4" s="14"/>
      <c r="K4" s="25"/>
      <c r="L4" s="26"/>
      <c r="M4" s="27"/>
      <c r="N4" s="12"/>
      <c r="O4" s="12"/>
      <c r="P4" s="12"/>
      <c r="Q4" s="12"/>
      <c r="R4" s="12"/>
    </row>
    <row r="5" spans="1:18" hidden="1" outlineLevel="1" x14ac:dyDescent="0.25">
      <c r="A5">
        <f>3</f>
        <v>3</v>
      </c>
      <c r="B5" s="14"/>
      <c r="K5" s="25"/>
      <c r="L5" s="26"/>
      <c r="M5" s="27"/>
      <c r="N5" s="12"/>
      <c r="O5" s="12"/>
      <c r="P5" s="12"/>
      <c r="Q5" s="12"/>
      <c r="R5" s="12"/>
    </row>
    <row r="6" spans="1:18" hidden="1" outlineLevel="1" x14ac:dyDescent="0.25">
      <c r="A6" t="s">
        <v>5</v>
      </c>
      <c r="B6" s="14"/>
      <c r="K6" s="25"/>
      <c r="L6" s="26"/>
      <c r="M6" s="27"/>
      <c r="N6" s="12"/>
      <c r="O6" s="12"/>
      <c r="P6" s="12"/>
      <c r="Q6" s="12"/>
      <c r="R6" s="12"/>
    </row>
    <row r="7" spans="1:18" hidden="1" outlineLevel="1" x14ac:dyDescent="0.25">
      <c r="A7" t="s">
        <v>6</v>
      </c>
      <c r="B7" s="14"/>
      <c r="K7" s="25"/>
      <c r="L7" s="26"/>
      <c r="M7" s="27"/>
      <c r="N7" s="12"/>
      <c r="O7" s="12"/>
      <c r="P7" s="12"/>
      <c r="Q7" s="12"/>
      <c r="R7" s="12"/>
    </row>
    <row r="8" spans="1:18" hidden="1" outlineLevel="1" x14ac:dyDescent="0.25">
      <c r="A8" t="s">
        <v>8</v>
      </c>
    </row>
    <row r="9" spans="1:18" hidden="1" outlineLevel="1" x14ac:dyDescent="0.25"/>
    <row r="10" spans="1:18" hidden="1" outlineLevel="1" x14ac:dyDescent="0.25"/>
    <row r="11" spans="1:18" hidden="1" outlineLevel="1" x14ac:dyDescent="0.25">
      <c r="B11" s="29" t="s">
        <v>13</v>
      </c>
      <c r="C11" s="30"/>
      <c r="D11" s="31"/>
    </row>
    <row r="12" spans="1:18" hidden="1" outlineLevel="1" x14ac:dyDescent="0.25">
      <c r="B12" s="2" t="s">
        <v>14</v>
      </c>
      <c r="C12" s="3" t="s">
        <v>92</v>
      </c>
      <c r="D12" s="4"/>
    </row>
    <row r="13" spans="1:18" hidden="1" outlineLevel="1" x14ac:dyDescent="0.25">
      <c r="B13" s="2" t="s">
        <v>15</v>
      </c>
      <c r="C13" s="5" t="e" cm="1">
        <f t="array" aca="1" ref="C13" ca="1">_xll.VIEW(db_name&amp;":}ElementAttributes_}Clients","!","!")</f>
        <v>#NAME?</v>
      </c>
      <c r="D13" s="4"/>
    </row>
    <row r="14" spans="1:18" hidden="1" outlineLevel="1" x14ac:dyDescent="0.25">
      <c r="B14" s="2" t="s">
        <v>16</v>
      </c>
      <c r="C14" s="3" t="e" cm="1">
        <f t="array" aca="1" ref="C14" ca="1">_xll.TM1USER(db_name)</f>
        <v>#NAME?</v>
      </c>
      <c r="D14" s="4"/>
    </row>
    <row r="15" spans="1:18" hidden="1" outlineLevel="1" x14ac:dyDescent="0.25">
      <c r="B15" s="2" t="s">
        <v>17</v>
      </c>
      <c r="C15" s="3" t="e" cm="1">
        <f t="array" aca="1" ref="C15" ca="1">_xll.DBR($C$13,$C$14,$B15)</f>
        <v>#NAME?</v>
      </c>
      <c r="D15" s="4"/>
    </row>
    <row r="16" spans="1:18" hidden="1" outlineLevel="1" x14ac:dyDescent="0.25">
      <c r="B16" s="2" t="s">
        <v>18</v>
      </c>
      <c r="C16" s="3" t="e" cm="1">
        <f t="array" aca="1" ref="C16" ca="1">_xll.DBR($C$13,$C$14,$B16)</f>
        <v>#NAME?</v>
      </c>
      <c r="D16" s="4"/>
    </row>
    <row r="17" spans="2:9" hidden="1" outlineLevel="1" x14ac:dyDescent="0.25">
      <c r="B17" s="2" t="s">
        <v>19</v>
      </c>
      <c r="C17" s="3" t="e">
        <f ca="1">IF(LEFT($C$15,6)="CAM_AD",$C$16,$C$15)</f>
        <v>#NAME?</v>
      </c>
      <c r="D17" s="6"/>
    </row>
    <row r="18" spans="2:9" hidden="1" outlineLevel="1" x14ac:dyDescent="0.25"/>
    <row r="19" spans="2:9" hidden="1" outlineLevel="1" x14ac:dyDescent="0.25">
      <c r="B19" s="29" t="s">
        <v>20</v>
      </c>
      <c r="C19" s="30"/>
      <c r="D19" s="31"/>
    </row>
    <row r="20" spans="2:9" hidden="1" outlineLevel="1" x14ac:dyDescent="0.25">
      <c r="B20" s="2" t="s">
        <v>21</v>
      </c>
      <c r="C20" s="6" t="e" cm="1">
        <f t="array" aca="1" ref="C20" ca="1">_xll.VIEW(db_name&amp;":}ElementAttributes_variables","!","!")</f>
        <v>#NAME?</v>
      </c>
      <c r="D20" s="6"/>
    </row>
    <row r="21" spans="2:9" hidden="1" outlineLevel="1" x14ac:dyDescent="0.25">
      <c r="B21" s="2" t="s">
        <v>0</v>
      </c>
      <c r="C21" s="6" t="e" cm="1">
        <f t="array" aca="1" ref="C21" ca="1">_xll.DBR($C$20,$B21,"value")</f>
        <v>#NAME?</v>
      </c>
      <c r="D21" s="6"/>
    </row>
    <row r="22" spans="2:9" hidden="1" outlineLevel="1" x14ac:dyDescent="0.25">
      <c r="B22" s="2" t="s">
        <v>22</v>
      </c>
      <c r="C22" s="6" t="e" cm="1">
        <f t="array" aca="1" ref="C22" ca="1">_xll.DBR($C$20,$B22,"value")</f>
        <v>#NAME?</v>
      </c>
      <c r="D22" s="6"/>
    </row>
    <row r="23" spans="2:9" hidden="1" outlineLevel="1" x14ac:dyDescent="0.25">
      <c r="B23" s="2" t="s">
        <v>23</v>
      </c>
      <c r="C23" s="6" t="e" cm="1">
        <f t="array" aca="1" ref="C23" ca="1">_xll.DBR($C$20,$B23,"value")</f>
        <v>#NAME?</v>
      </c>
      <c r="D23" s="6"/>
    </row>
    <row r="24" spans="2:9" hidden="1" outlineLevel="1" x14ac:dyDescent="0.25">
      <c r="B24" s="2" t="s">
        <v>24</v>
      </c>
      <c r="C24" s="6" t="e" cm="1">
        <f t="array" aca="1" ref="C24" ca="1">_xll.DBR($C$20,$B24,"value")</f>
        <v>#NAME?</v>
      </c>
      <c r="D24" s="6"/>
    </row>
    <row r="25" spans="2:9" hidden="1" outlineLevel="1" x14ac:dyDescent="0.25">
      <c r="B25" s="2" t="s">
        <v>25</v>
      </c>
      <c r="C25" s="6" t="e" cm="1">
        <f t="array" aca="1" ref="C25" ca="1">_xll.DBR($C$20,$B25,"value")</f>
        <v>#NAME?</v>
      </c>
      <c r="D25" s="6"/>
    </row>
    <row r="26" spans="2:9" hidden="1" outlineLevel="1" x14ac:dyDescent="0.25"/>
    <row r="27" spans="2:9" hidden="1" outlineLevel="1" x14ac:dyDescent="0.25">
      <c r="B27" s="29" t="s">
        <v>26</v>
      </c>
      <c r="C27" s="30"/>
      <c r="D27" s="31"/>
    </row>
    <row r="28" spans="2:9" hidden="1" outlineLevel="1" x14ac:dyDescent="0.25">
      <c r="B28" s="2" t="s">
        <v>27</v>
      </c>
      <c r="C28" s="6" t="e">
        <f t="array" aca="1" ref="C28" ca="1">_xll.VIEW(db_name&amp;":sys_application","!","!")</f>
        <v>#NAME?</v>
      </c>
      <c r="D28" s="6"/>
    </row>
    <row r="29" spans="2:9" hidden="1" outlineLevel="1" x14ac:dyDescent="0.25">
      <c r="B29" s="2" t="s">
        <v>28</v>
      </c>
      <c r="C29" s="6" t="s">
        <v>69</v>
      </c>
      <c r="D29" s="6"/>
    </row>
    <row r="30" spans="2:9" hidden="1" outlineLevel="1" x14ac:dyDescent="0.25">
      <c r="B30" s="6"/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34</v>
      </c>
      <c r="I30" s="1"/>
    </row>
    <row r="31" spans="2:9" hidden="1" outlineLevel="1" x14ac:dyDescent="0.25">
      <c r="B31" s="6" t="s">
        <v>35</v>
      </c>
      <c r="C31" s="6" t="e" cm="1">
        <f t="array" aca="1" ref="C31" ca="1">_xll.DBR($C$28,$B31,C$30)</f>
        <v>#NAME?</v>
      </c>
      <c r="D31" s="6" t="e" cm="1">
        <f t="array" aca="1" ref="D31" ca="1">_xll.DBR($C$28,$B31,D$30)</f>
        <v>#NAME?</v>
      </c>
      <c r="E31" s="6" t="e" cm="1">
        <f t="array" aca="1" ref="E31" ca="1">_xll.DBR($C$28,$B31,E$30)</f>
        <v>#NAME?</v>
      </c>
      <c r="F31" s="6" t="e" cm="1">
        <f t="array" aca="1" ref="F31" ca="1">_xll.DBR($C$28,$B31,F$30)</f>
        <v>#NAME?</v>
      </c>
      <c r="G31" s="6" t="e" cm="1">
        <f t="array" aca="1" ref="G31" ca="1">_xll.DBR($C$28,$B31,G$30)</f>
        <v>#NAME?</v>
      </c>
      <c r="H31" s="6" t="e" cm="1">
        <f t="array" aca="1" ref="H31" ca="1">_xll.DBR($C$28,$B31,H$30)</f>
        <v>#NAME?</v>
      </c>
    </row>
    <row r="32" spans="2:9" hidden="1" outlineLevel="1" x14ac:dyDescent="0.25">
      <c r="B32" s="6" t="s">
        <v>36</v>
      </c>
      <c r="C32" s="6" t="e" cm="1">
        <f t="array" aca="1" ref="C32" ca="1">_xll.DBR($C$28,$B32,C$30)</f>
        <v>#NAME?</v>
      </c>
      <c r="D32" s="6" t="e" cm="1">
        <f t="array" aca="1" ref="D32" ca="1">_xll.DBR($C$28,$B32,D$30)</f>
        <v>#NAME?</v>
      </c>
      <c r="E32" s="6" t="e" cm="1">
        <f t="array" aca="1" ref="E32" ca="1">_xll.DBR($C$28,$B32,E$30)</f>
        <v>#NAME?</v>
      </c>
      <c r="F32" s="6" t="e" cm="1">
        <f t="array" aca="1" ref="F32" ca="1">_xll.DBR($C$28,$B32,F$30)</f>
        <v>#NAME?</v>
      </c>
      <c r="G32" s="6" t="e" cm="1">
        <f t="array" aca="1" ref="G32" ca="1">_xll.DBR($C$28,$B32,G$30)</f>
        <v>#NAME?</v>
      </c>
      <c r="H32" s="6" t="e" cm="1">
        <f t="array" aca="1" ref="H32" ca="1">_xll.DBR($C$28,$B32,H$30)</f>
        <v>#NAME?</v>
      </c>
    </row>
    <row r="33" spans="2:8" hidden="1" outlineLevel="1" x14ac:dyDescent="0.25">
      <c r="B33" s="6" t="s">
        <v>37</v>
      </c>
      <c r="C33" s="6" t="e" cm="1">
        <f t="array" aca="1" ref="C33" ca="1">_xll.DBR($C$28,$B33,C$30)</f>
        <v>#NAME?</v>
      </c>
      <c r="D33" s="6" t="e" cm="1">
        <f t="array" aca="1" ref="D33" ca="1">_xll.DBR($C$28,$B33,D$30)</f>
        <v>#NAME?</v>
      </c>
      <c r="E33" s="6" t="e" cm="1">
        <f t="array" aca="1" ref="E33" ca="1">_xll.DBR($C$28,$B33,E$30)</f>
        <v>#NAME?</v>
      </c>
      <c r="F33" s="6" t="e" cm="1">
        <f t="array" aca="1" ref="F33" ca="1">_xll.DBR($C$28,$B33,F$30)</f>
        <v>#NAME?</v>
      </c>
      <c r="G33" s="6" t="e" cm="1">
        <f t="array" aca="1" ref="G33" ca="1">_xll.DBR($C$28,$B33,G$30)</f>
        <v>#NAME?</v>
      </c>
      <c r="H33" s="6" t="e" cm="1">
        <f t="array" aca="1" ref="H33" ca="1">_xll.DBR($C$28,$B33,H$30)</f>
        <v>#NAME?</v>
      </c>
    </row>
    <row r="34" spans="2:8" hidden="1" outlineLevel="1" x14ac:dyDescent="0.25">
      <c r="B34" s="6" t="s">
        <v>38</v>
      </c>
      <c r="C34" s="6" t="e" cm="1">
        <f t="array" aca="1" ref="C34" ca="1">_xll.DBR($C$28,$B34,C$30)</f>
        <v>#NAME?</v>
      </c>
      <c r="D34" s="6" t="e" cm="1">
        <f t="array" aca="1" ref="D34" ca="1">_xll.DBR($C$28,$B34,D$30)</f>
        <v>#NAME?</v>
      </c>
      <c r="E34" s="6" t="e" cm="1">
        <f t="array" aca="1" ref="E34" ca="1">_xll.DBR($C$28,$B34,E$30)</f>
        <v>#NAME?</v>
      </c>
      <c r="F34" s="6" t="e" cm="1">
        <f t="array" aca="1" ref="F34" ca="1">_xll.DBR($C$28,$B34,F$30)</f>
        <v>#NAME?</v>
      </c>
      <c r="G34" s="6" t="e" cm="1">
        <f t="array" aca="1" ref="G34" ca="1">_xll.DBR($C$28,$B34,G$30)</f>
        <v>#NAME?</v>
      </c>
      <c r="H34" s="6" t="e" cm="1">
        <f t="array" aca="1" ref="H34" ca="1">_xll.DBR($C$28,$B34,H$30)</f>
        <v>#NAME?</v>
      </c>
    </row>
    <row r="35" spans="2:8" hidden="1" outlineLevel="1" x14ac:dyDescent="0.25">
      <c r="B35" s="6" t="s">
        <v>66</v>
      </c>
      <c r="C35" s="6" t="e" cm="1">
        <f t="array" aca="1" ref="C35" ca="1">_xll.DBR($C$28,$B35,C$30)</f>
        <v>#NAME?</v>
      </c>
      <c r="D35" s="6" t="e" cm="1">
        <f t="array" aca="1" ref="D35" ca="1">_xll.DBR($C$28,$B35,D$30)</f>
        <v>#NAME?</v>
      </c>
      <c r="E35" s="6" t="e" cm="1">
        <f t="array" aca="1" ref="E35" ca="1">_xll.DBR($C$28,$B35,E$30)</f>
        <v>#NAME?</v>
      </c>
      <c r="F35" s="6" t="e" cm="1">
        <f t="array" aca="1" ref="F35" ca="1">_xll.DBR($C$28,$B35,F$30)</f>
        <v>#NAME?</v>
      </c>
      <c r="G35" s="6" t="e" cm="1">
        <f t="array" aca="1" ref="G35" ca="1">_xll.DBR($C$28,$B35,G$30)</f>
        <v>#NAME?</v>
      </c>
      <c r="H35" s="6" t="e" cm="1">
        <f t="array" aca="1" ref="H35" ca="1">_xll.DBR($C$28,$B35,H$30)</f>
        <v>#NAME?</v>
      </c>
    </row>
    <row r="36" spans="2:8" hidden="1" outlineLevel="1" x14ac:dyDescent="0.25">
      <c r="B36" s="6" t="s">
        <v>88</v>
      </c>
      <c r="C36" s="6" t="e" cm="1">
        <f t="array" aca="1" ref="C36" ca="1">_xll.DBR($C$28,$B36,C$30)</f>
        <v>#NAME?</v>
      </c>
      <c r="D36" s="6" t="e" cm="1">
        <f t="array" aca="1" ref="D36" ca="1">_xll.DBR($C$28,$B36,D$30)</f>
        <v>#NAME?</v>
      </c>
      <c r="E36" s="6" t="e" cm="1">
        <f t="array" aca="1" ref="E36" ca="1">_xll.DBR($C$28,$B36,E$30)</f>
        <v>#NAME?</v>
      </c>
      <c r="F36" s="6" t="e" cm="1">
        <f t="array" aca="1" ref="F36" ca="1">_xll.DBR($C$28,$B36,F$30)</f>
        <v>#NAME?</v>
      </c>
      <c r="G36" s="6" t="e" cm="1">
        <f t="array" aca="1" ref="G36" ca="1">_xll.DBR($C$28,$B36,G$30)</f>
        <v>#NAME?</v>
      </c>
      <c r="H36" s="6" t="e" cm="1">
        <f t="array" aca="1" ref="H36" ca="1">_xll.DBR($C$28,$B36,H$30)</f>
        <v>#NAME?</v>
      </c>
    </row>
    <row r="37" spans="2:8" hidden="1" outlineLevel="1" x14ac:dyDescent="0.25">
      <c r="B37" s="6" t="s">
        <v>67</v>
      </c>
      <c r="C37" s="6" t="e" cm="1">
        <f t="array" aca="1" ref="C37" ca="1">_xll.DBR($C$28,$B37,C$30)</f>
        <v>#NAME?</v>
      </c>
      <c r="D37" s="6" t="e" cm="1">
        <f t="array" aca="1" ref="D37" ca="1">_xll.DBR($C$28,$B37,D$30)</f>
        <v>#NAME?</v>
      </c>
      <c r="E37" s="6" t="e" cm="1">
        <f t="array" aca="1" ref="E37" ca="1">_xll.DBR($C$28,$B37,E$30)</f>
        <v>#NAME?</v>
      </c>
      <c r="F37" s="6" t="e" cm="1">
        <f t="array" aca="1" ref="F37" ca="1">_xll.DBR($C$28,$B37,F$30)</f>
        <v>#NAME?</v>
      </c>
      <c r="G37" s="6" t="e" cm="1">
        <f t="array" aca="1" ref="G37" ca="1">_xll.DBR($C$28,$B37,G$30)</f>
        <v>#NAME?</v>
      </c>
      <c r="H37" s="6" t="e" cm="1">
        <f t="array" aca="1" ref="H37" ca="1">_xll.DBR($C$28,$B37,H$30)</f>
        <v>#NAME?</v>
      </c>
    </row>
    <row r="38" spans="2:8" hidden="1" outlineLevel="1" x14ac:dyDescent="0.25">
      <c r="B38" s="6" t="s">
        <v>74</v>
      </c>
      <c r="C38" s="6" t="e" cm="1">
        <f t="array" aca="1" ref="C38" ca="1">_xll.DBR($C$28,$B38,C$30)</f>
        <v>#NAME?</v>
      </c>
      <c r="D38" s="6" t="e" cm="1">
        <f t="array" aca="1" ref="D38" ca="1">_xll.DBR($C$28,$B38,D$30)</f>
        <v>#NAME?</v>
      </c>
      <c r="E38" s="6" t="e" cm="1">
        <f t="array" aca="1" ref="E38" ca="1">_xll.DBR($C$28,$B38,E$30)</f>
        <v>#NAME?</v>
      </c>
      <c r="F38" s="6" t="e" cm="1">
        <f t="array" aca="1" ref="F38" ca="1">_xll.DBR($C$28,$B38,F$30)</f>
        <v>#NAME?</v>
      </c>
      <c r="G38" s="6" t="e" cm="1">
        <f t="array" aca="1" ref="G38" ca="1">_xll.DBR($C$28,$B38,G$30)</f>
        <v>#NAME?</v>
      </c>
      <c r="H38" s="6" t="e" cm="1">
        <f t="array" aca="1" ref="H38" ca="1">_xll.DBR($C$28,$B38,H$30)</f>
        <v>#NAME?</v>
      </c>
    </row>
    <row r="39" spans="2:8" hidden="1" outlineLevel="1" x14ac:dyDescent="0.25">
      <c r="B39" s="6" t="s">
        <v>68</v>
      </c>
      <c r="C39" s="6" t="e" cm="1">
        <f t="array" aca="1" ref="C39" ca="1">_xll.DBR($C$28,$B39,C$30)</f>
        <v>#NAME?</v>
      </c>
      <c r="D39" s="6" t="e" cm="1">
        <f t="array" aca="1" ref="D39" ca="1">_xll.DBR($C$28,$B39,D$30)</f>
        <v>#NAME?</v>
      </c>
      <c r="E39" s="6" t="e" cm="1">
        <f t="array" aca="1" ref="E39" ca="1">_xll.DBR($C$28,$B39,E$30)</f>
        <v>#NAME?</v>
      </c>
      <c r="F39" s="6" t="e" cm="1">
        <f t="array" aca="1" ref="F39" ca="1">_xll.DBR($C$28,$B39,F$30)</f>
        <v>#NAME?</v>
      </c>
      <c r="G39" s="6" t="e" cm="1">
        <f t="array" aca="1" ref="G39" ca="1">_xll.DBR($C$28,$B39,G$30)</f>
        <v>#NAME?</v>
      </c>
      <c r="H39" s="6" t="e" cm="1">
        <f t="array" aca="1" ref="H39" ca="1">_xll.DBR($C$28,$B39,H$30)</f>
        <v>#NAME?</v>
      </c>
    </row>
    <row r="40" spans="2:8" hidden="1" outlineLevel="1" x14ac:dyDescent="0.25">
      <c r="B40" s="6" t="s">
        <v>69</v>
      </c>
      <c r="C40" s="6" t="e" cm="1">
        <f t="array" aca="1" ref="C40" ca="1">_xll.DBR($C$28,$B40,C$30)</f>
        <v>#NAME?</v>
      </c>
      <c r="D40" s="6" t="e" cm="1">
        <f t="array" aca="1" ref="D40" ca="1">_xll.DBR($C$28,$B40,D$30)</f>
        <v>#NAME?</v>
      </c>
      <c r="E40" s="6" t="e" cm="1">
        <f t="array" aca="1" ref="E40" ca="1">_xll.DBR($C$28,$B40,E$30)</f>
        <v>#NAME?</v>
      </c>
      <c r="F40" s="6" t="e" cm="1">
        <f t="array" aca="1" ref="F40" ca="1">_xll.DBR($C$28,$B40,F$30)</f>
        <v>#NAME?</v>
      </c>
      <c r="G40" s="6" t="e" cm="1">
        <f t="array" aca="1" ref="G40" ca="1">_xll.DBR($C$28,$B40,G$30)</f>
        <v>#NAME?</v>
      </c>
      <c r="H40" s="6" t="e" cm="1">
        <f t="array" aca="1" ref="H40" ca="1">_xll.DBR($C$28,$B40,H$30)</f>
        <v>#NAME?</v>
      </c>
    </row>
    <row r="41" spans="2:8" hidden="1" outlineLevel="1" x14ac:dyDescent="0.25">
      <c r="B41" s="6" t="s">
        <v>89</v>
      </c>
      <c r="C41" s="6" t="e" cm="1">
        <f t="array" aca="1" ref="C41" ca="1">_xll.DBR($C$28,$B41,C$30)</f>
        <v>#NAME?</v>
      </c>
      <c r="D41" s="6" t="e" cm="1">
        <f t="array" aca="1" ref="D41" ca="1">_xll.DBR($C$28,$B41,D$30)</f>
        <v>#NAME?</v>
      </c>
      <c r="E41" s="6" t="e" cm="1">
        <f t="array" aca="1" ref="E41" ca="1">_xll.DBR($C$28,$B41,E$30)</f>
        <v>#NAME?</v>
      </c>
      <c r="F41" s="6" t="e" cm="1">
        <f t="array" aca="1" ref="F41" ca="1">_xll.DBR($C$28,$B41,F$30)</f>
        <v>#NAME?</v>
      </c>
      <c r="G41" s="6" t="e" cm="1">
        <f t="array" aca="1" ref="G41" ca="1">_xll.DBR($C$28,$B41,G$30)</f>
        <v>#NAME?</v>
      </c>
      <c r="H41" s="6" t="e" cm="1">
        <f t="array" aca="1" ref="H41" ca="1">_xll.DBR($C$28,$B41,H$30)</f>
        <v>#NAME?</v>
      </c>
    </row>
    <row r="42" spans="2:8" hidden="1" outlineLevel="1" x14ac:dyDescent="0.25">
      <c r="B42" s="6"/>
      <c r="C42" s="6"/>
    </row>
    <row r="43" spans="2:8" hidden="1" outlineLevel="1" x14ac:dyDescent="0.25">
      <c r="B43" s="7" t="s">
        <v>39</v>
      </c>
      <c r="C43" s="8" t="s">
        <v>40</v>
      </c>
    </row>
    <row r="44" spans="2:8" hidden="1" outlineLevel="1" x14ac:dyDescent="0.25"/>
    <row r="45" spans="2:8" ht="15.75" hidden="1" outlineLevel="1" thickBot="1" x14ac:dyDescent="0.3">
      <c r="B45" s="29" t="s">
        <v>59</v>
      </c>
      <c r="C45" s="30"/>
      <c r="D45" s="31"/>
      <c r="G45" s="33" t="s">
        <v>63</v>
      </c>
      <c r="H45" s="34"/>
    </row>
    <row r="46" spans="2:8" ht="15.75" hidden="1" outlineLevel="1" thickBot="1" x14ac:dyDescent="0.3">
      <c r="B46" s="6" t="s">
        <v>41</v>
      </c>
      <c r="C46" s="6" t="e">
        <f t="array" aca="1" ref="C46" ca="1">_xll.TM1RPTVIEW(db_name&amp;":AE adjustments:7", 1, _xll.TM1RPTTITLE(db_name&amp;":headline year",$L$72), _xll.TM1RPTTITLE(db_name&amp;":scenario",$L$73), _xll.TM1RPTTITLE(db_name&amp;":status",$L$74), _xll.TM1RPTTITLE(db_name&amp;":outcome",$N$73), _xll.TM1RPTTITLE(db_name&amp;":function",$C$58), _xll.TM1RPTTITLE(db_name&amp;":reason",$N$74), _xll.TM1RPTTITLE(db_name&amp;":spp",$C$59), _xll.TM1RPTTITLE(db_name&amp;":appropriation type",$N$75), _xll.TM1RPTTITLE(db_name&amp;":appropriation item",$N$76), _xll.TM1RPTTITLE(db_name&amp;":jurisdiction",$C$63),TM1RPTFMTRNG,TM1RPTFMTIDCOL)</f>
        <v>#NAME?</v>
      </c>
      <c r="D46" s="6"/>
      <c r="G46" s="10" t="s">
        <v>64</v>
      </c>
      <c r="H46" s="18" t="e" cm="1">
        <f t="array" aca="1" ref="H46" ca="1">_xll.SUBNM(db_name&amp;":sys_report display","","Collapse")</f>
        <v>#NAME?</v>
      </c>
    </row>
    <row r="47" spans="2:8" hidden="1" outlineLevel="1" x14ac:dyDescent="0.25">
      <c r="B47" s="6" t="s">
        <v>42</v>
      </c>
      <c r="C47" s="6" t="e" cm="1">
        <f t="array" aca="1" ref="C47" ca="1">_xll.VIEW(db_name&amp;":AE adjustments",$L$72,$L$73,$L$74,$N$73,$C$57,"!",$N$74,$C$59,"!",$N$75,"!",$N$76,"!","!","!",$C$63,"!")</f>
        <v>#NAME?</v>
      </c>
      <c r="D47" s="6"/>
    </row>
    <row r="48" spans="2:8" hidden="1" outlineLevel="1" x14ac:dyDescent="0.25">
      <c r="B48" s="6"/>
      <c r="C48" s="11" t="s">
        <v>47</v>
      </c>
      <c r="D48" s="11" t="s">
        <v>48</v>
      </c>
      <c r="E48" s="11" t="s">
        <v>49</v>
      </c>
    </row>
    <row r="49" spans="2:18" hidden="1" outlineLevel="1" x14ac:dyDescent="0.25">
      <c r="B49" s="6" t="s">
        <v>43</v>
      </c>
      <c r="C49" s="6" t="e">
        <f t="shared" ref="C49:C54" ca="1" si="0">IF($H$46="Collapse",$D49,$E49)</f>
        <v>#NAME?</v>
      </c>
      <c r="D49" s="6" t="e">
        <f ca="1">"{[programme].["&amp;$N$72&amp;"]}"</f>
        <v>#NAME?</v>
      </c>
      <c r="E49" s="6" t="e">
        <f ca="1">"{[programme].["&amp;$N$72&amp;"]}"</f>
        <v>#NAME?</v>
      </c>
    </row>
    <row r="50" spans="2:18" hidden="1" outlineLevel="1" x14ac:dyDescent="0.25">
      <c r="B50" s="6" t="s">
        <v>44</v>
      </c>
      <c r="C50" s="6" t="e">
        <f t="shared" ca="1" si="0"/>
        <v>#NAME?</v>
      </c>
      <c r="D50" s="6" t="e">
        <f ca="1">"{[account].["&amp;$L$75&amp;"]}"</f>
        <v>#NAME?</v>
      </c>
      <c r="E50" s="6" t="e">
        <f ca="1">"{[account].["&amp;$L$75&amp;"]}"</f>
        <v>#NAME?</v>
      </c>
    </row>
    <row r="51" spans="2:18" hidden="1" outlineLevel="1" x14ac:dyDescent="0.25">
      <c r="B51" s="6" t="s">
        <v>45</v>
      </c>
      <c r="C51" s="6" t="e">
        <f t="shared" ca="1" si="0"/>
        <v>#NAME?</v>
      </c>
      <c r="D51" s="6" t="e">
        <f ca="1">"{[movement account].["&amp;$L$76&amp;"]}"</f>
        <v>#NAME?</v>
      </c>
      <c r="E51" s="6" t="e">
        <f ca="1">"{[movement account].["&amp;$L$76&amp;"]}"</f>
        <v>#NAME?</v>
      </c>
      <c r="F51" s="6" t="e">
        <f ca="1">"{TM1FILTERBYLEVEL( {TM1DRILLDOWNMEMBER( {[movement account].["&amp;$L$76&amp;"]}, ALL, RECURSIVE )}, 0)}"</f>
        <v>#NAME?</v>
      </c>
    </row>
    <row r="52" spans="2:18" hidden="1" outlineLevel="1" x14ac:dyDescent="0.25">
      <c r="B52" s="6" t="s">
        <v>61</v>
      </c>
      <c r="C52" s="6" t="e">
        <f t="shared" ca="1" si="0"/>
        <v>#NAME?</v>
      </c>
      <c r="D52" s="6" t="e">
        <f ca="1">"{[related entity].[" &amp; $L$77 &amp; "]}"</f>
        <v>#NAME?</v>
      </c>
      <c r="E52" s="6" t="e">
        <f ca="1">"{[related entity].[" &amp; $L$77 &amp; "]}"</f>
        <v>#NAME?</v>
      </c>
    </row>
    <row r="53" spans="2:18" hidden="1" outlineLevel="1" x14ac:dyDescent="0.25">
      <c r="B53" s="6" t="s">
        <v>46</v>
      </c>
      <c r="C53" s="6" t="e">
        <f t="shared" ca="1" si="0"/>
        <v>#NAME?</v>
      </c>
      <c r="D53" s="6" t="e">
        <f ca="1">"{[measure code].[" &amp; $L$78 &amp; "]}"</f>
        <v>#NAME?</v>
      </c>
      <c r="E53" s="6" t="e">
        <f ca="1">"{[measure code].[" &amp; $L$78 &amp; "]}"</f>
        <v>#NAME?</v>
      </c>
    </row>
    <row r="54" spans="2:18" hidden="1" outlineLevel="1" x14ac:dyDescent="0.25">
      <c r="B54" s="14" t="s">
        <v>82</v>
      </c>
      <c r="C54" s="6" t="e">
        <f t="shared" ca="1" si="0"/>
        <v>#NAME?</v>
      </c>
      <c r="D54" s="6" t="str">
        <f>"{TM1FILTERBYLEVEL( {TM1DRILLDOWNMEMBER( {[id].[" &amp; $C$61 &amp; "]}, ALL, RECURSIVE )}, 0)}"</f>
        <v>{TM1FILTERBYLEVEL( {TM1DRILLDOWNMEMBER( {[id].[New Adjustments]}, ALL, RECURSIVE )}, 0)}</v>
      </c>
      <c r="E54" s="6" t="str">
        <f>"{TM1FILTERBYLEVEL( {TM1DRILLDOWNMEMBER( {[id].[" &amp; $C$61 &amp; "]}, ALL, RECURSIVE )}, 0)}"</f>
        <v>{TM1FILTERBYLEVEL( {TM1DRILLDOWNMEMBER( {[id].[New Adjustments]}, ALL, RECURSIVE )}, 0)}</v>
      </c>
    </row>
    <row r="55" spans="2:18" hidden="1" outlineLevel="1" x14ac:dyDescent="0.25"/>
    <row r="56" spans="2:18" hidden="1" outlineLevel="1" x14ac:dyDescent="0.25">
      <c r="B56" s="29" t="s">
        <v>60</v>
      </c>
      <c r="C56" s="30"/>
      <c r="D56" s="31"/>
      <c r="F56" s="29" t="s">
        <v>85</v>
      </c>
      <c r="G56" s="30"/>
      <c r="H56" s="31"/>
      <c r="I56" s="24"/>
      <c r="M56" s="6" t="e">
        <f ca="1">RIGHT(psHLYear,9)</f>
        <v>#NAME?</v>
      </c>
      <c r="N56" s="6" t="e">
        <f t="array" aca="1" ref="N56" ca="1">_xll.DIMNM(db_name&amp;":period",_xll.DIMIX(db_name&amp;":period",$M$56)+N57)</f>
        <v>#NAME?</v>
      </c>
      <c r="O56" s="6" t="e">
        <f t="array" aca="1" ref="O56" ca="1">_xll.DIMNM(db_name&amp;":period",_xll.DIMIX(db_name&amp;":period",$M$56)+O57)</f>
        <v>#NAME?</v>
      </c>
      <c r="P56" s="6" t="e">
        <f t="array" aca="1" ref="P56" ca="1">_xll.DIMNM(db_name&amp;":period",_xll.DIMIX(db_name&amp;":period",$M$56)+P57)</f>
        <v>#NAME?</v>
      </c>
      <c r="Q56" s="6" t="e">
        <f t="array" aca="1" ref="Q56" ca="1">_xll.DIMNM(db_name&amp;":period",_xll.DIMIX(db_name&amp;":period",$M$56)+Q57)</f>
        <v>#NAME?</v>
      </c>
      <c r="R56" s="6" t="e">
        <f t="array" aca="1" ref="R56" ca="1">_xll.DIMNM(db_name&amp;":period",_xll.DIMIX(db_name&amp;":period",$M$56)+R57)</f>
        <v>#NAME?</v>
      </c>
    </row>
    <row r="57" spans="2:18" hidden="1" outlineLevel="1" x14ac:dyDescent="0.25">
      <c r="B57" s="2" t="s">
        <v>1</v>
      </c>
      <c r="C57" s="6" t="e">
        <f t="array" aca="1" ref="C57" ca="1">_xll.SUBNM(db_name&amp;":related entity","","Total related entity")</f>
        <v>#NAME?</v>
      </c>
      <c r="F57" s="6" t="s">
        <v>42</v>
      </c>
      <c r="G57" t="e" cm="1">
        <f t="array" aca="1" ref="G57" ca="1">_xll.VIEW(db_name&amp;":AE id details",psHLYear,psScenario,"!","!")</f>
        <v>#NAME?</v>
      </c>
      <c r="M57" s="6" t="s">
        <v>65</v>
      </c>
      <c r="N57" s="6">
        <v>-1</v>
      </c>
      <c r="O57" s="6">
        <v>0</v>
      </c>
      <c r="P57" s="6">
        <v>1</v>
      </c>
      <c r="Q57" s="6">
        <v>2</v>
      </c>
      <c r="R57" s="6">
        <v>3</v>
      </c>
    </row>
    <row r="58" spans="2:18" hidden="1" outlineLevel="1" x14ac:dyDescent="0.25">
      <c r="B58" s="2" t="s">
        <v>2</v>
      </c>
      <c r="C58" s="6" t="e">
        <f t="array" aca="1" ref="C58" ca="1">_xll.SUBNM(db_name&amp;":function","","Total functions")</f>
        <v>#NAME?</v>
      </c>
    </row>
    <row r="59" spans="2:18" hidden="1" outlineLevel="1" x14ac:dyDescent="0.25">
      <c r="B59" s="2" t="s">
        <v>3</v>
      </c>
      <c r="C59" s="6" t="e">
        <f t="array" aca="1" ref="C59" ca="1">_xll.SUBNM(db_name&amp;":spp","","Total SPP")</f>
        <v>#NAME?</v>
      </c>
    </row>
    <row r="60" spans="2:18" hidden="1" outlineLevel="1" x14ac:dyDescent="0.25">
      <c r="B60" s="2" t="s">
        <v>78</v>
      </c>
      <c r="C60" s="6" t="s">
        <v>91</v>
      </c>
    </row>
    <row r="61" spans="2:18" hidden="1" outlineLevel="1" x14ac:dyDescent="0.25">
      <c r="B61" s="2" t="s">
        <v>80</v>
      </c>
      <c r="C61" s="6" t="s">
        <v>80</v>
      </c>
    </row>
    <row r="62" spans="2:18" hidden="1" outlineLevel="1" x14ac:dyDescent="0.25">
      <c r="B62" s="2" t="s">
        <v>79</v>
      </c>
      <c r="C62" s="6" t="s">
        <v>87</v>
      </c>
    </row>
    <row r="63" spans="2:18" hidden="1" outlineLevel="1" x14ac:dyDescent="0.25">
      <c r="B63" s="2" t="s">
        <v>4</v>
      </c>
      <c r="C63" s="6" t="e">
        <f t="array" aca="1" ref="C63" ca="1">_xll.SUBNM(db_name&amp;":jurisdiction","","Total jurisdictions")</f>
        <v>#NAME?</v>
      </c>
    </row>
    <row r="64" spans="2:18" hidden="1" outlineLevel="1" x14ac:dyDescent="0.25"/>
    <row r="65" spans="10:19" hidden="1" outlineLevel="1" x14ac:dyDescent="0.25"/>
    <row r="66" spans="10:19" ht="39.75" customHeight="1" collapsed="1" x14ac:dyDescent="0.25">
      <c r="J66" s="19"/>
      <c r="K66" s="19"/>
      <c r="L66" s="19"/>
      <c r="M66" s="19"/>
      <c r="N66" s="19"/>
      <c r="O66" s="19"/>
      <c r="P66" s="19"/>
      <c r="Q66" s="19"/>
      <c r="R66" s="19" t="s">
        <v>75</v>
      </c>
    </row>
    <row r="67" spans="10:19" ht="4.5" customHeight="1" x14ac:dyDescent="0.25"/>
    <row r="68" spans="10:19" ht="24" customHeight="1" x14ac:dyDescent="0.25"/>
    <row r="69" spans="10:19" ht="1.5" customHeight="1" x14ac:dyDescent="0.25">
      <c r="J69" s="19"/>
      <c r="K69" s="19"/>
      <c r="L69" s="19"/>
      <c r="M69" s="19"/>
      <c r="N69" s="19"/>
      <c r="O69" s="19"/>
      <c r="P69" s="19"/>
      <c r="Q69" s="19"/>
      <c r="R69" s="19"/>
    </row>
    <row r="70" spans="10:19" ht="4.5" customHeight="1" x14ac:dyDescent="0.25"/>
    <row r="71" spans="10:19" x14ac:dyDescent="0.25">
      <c r="L71" s="23" t="s">
        <v>62</v>
      </c>
      <c r="N71" s="33" t="s">
        <v>62</v>
      </c>
      <c r="O71" s="34"/>
    </row>
    <row r="72" spans="10:19" x14ac:dyDescent="0.25">
      <c r="K72" s="10" t="s">
        <v>50</v>
      </c>
      <c r="L72" s="21" t="e">
        <f t="array" aca="1" ref="L72" ca="1">_xll.SUBNM(db_name&amp;":headline year","sys_all-n",$C$21)</f>
        <v>#NAME?</v>
      </c>
      <c r="M72" s="10" t="s">
        <v>58</v>
      </c>
      <c r="N72" s="40" t="e">
        <f t="array" aca="1" ref="N72" ca="1">_xll.SUBNM(db_name&amp;":programme","","Total Programmes","code and description")</f>
        <v>#NAME?</v>
      </c>
      <c r="O72" s="41"/>
    </row>
    <row r="73" spans="10:19" x14ac:dyDescent="0.25">
      <c r="K73" s="10" t="s">
        <v>51</v>
      </c>
      <c r="L73" s="21" t="e">
        <f t="array" aca="1" ref="L73" ca="1">_xll.SUBNM(db_name&amp;":scenario","sys_BUdgetRound",$C$22)</f>
        <v>#NAME?</v>
      </c>
      <c r="M73" s="10" t="s">
        <v>53</v>
      </c>
      <c r="N73" s="38" t="e">
        <f t="array" aca="1" ref="N73" ca="1">_xll.SUBNM(db_name&amp;":outcome","","Total outcomes","code and description")</f>
        <v>#NAME?</v>
      </c>
      <c r="O73" s="39"/>
    </row>
    <row r="74" spans="10:19" x14ac:dyDescent="0.25">
      <c r="K74" s="10" t="s">
        <v>52</v>
      </c>
      <c r="L74" s="21" t="e">
        <f t="array" aca="1" ref="L74" ca="1">_xll.SUBNM(db_name&amp;":status","","Total approved")</f>
        <v>#NAME?</v>
      </c>
      <c r="M74" s="10" t="s">
        <v>54</v>
      </c>
      <c r="N74" s="38" t="e" cm="1">
        <f t="array" aca="1" ref="N74" ca="1">_xll.SUBNM(db_name&amp;":reason","","Total reason","CBMS code and description")</f>
        <v>#NAME?</v>
      </c>
      <c r="O74" s="39"/>
    </row>
    <row r="75" spans="10:19" x14ac:dyDescent="0.25">
      <c r="K75" s="10" t="s">
        <v>72</v>
      </c>
      <c r="L75" s="21" t="e">
        <f t="array" aca="1" ref="L75" ca="1">_xll.SUBNM(db_name&amp;":account","","2000000","code and description")</f>
        <v>#NAME?</v>
      </c>
      <c r="M75" s="10" t="s">
        <v>55</v>
      </c>
      <c r="N75" s="38" t="e">
        <f t="array" aca="1" ref="N75" ca="1">_xll.SUBNM(db_name&amp;":appropriation type","","Total approp types","code and description")</f>
        <v>#NAME?</v>
      </c>
      <c r="O75" s="39"/>
    </row>
    <row r="76" spans="10:19" x14ac:dyDescent="0.25">
      <c r="K76" s="10" t="s">
        <v>73</v>
      </c>
      <c r="L76" s="21" t="e">
        <f t="array" aca="1" ref="L76" ca="1">_xll.SUBNM(db_name&amp;":movement account","","Total movement","code and description")</f>
        <v>#NAME?</v>
      </c>
      <c r="M76" s="10" t="s">
        <v>56</v>
      </c>
      <c r="N76" s="38" t="e">
        <f t="array" aca="1" ref="N76" ca="1">_xll.SUBNM(db_name&amp;":appropriation item","","Total approp item","code and description")</f>
        <v>#NAME?</v>
      </c>
      <c r="O76" s="39"/>
    </row>
    <row r="77" spans="10:19" x14ac:dyDescent="0.25">
      <c r="K77" s="10" t="s">
        <v>83</v>
      </c>
      <c r="L77" s="21" t="e">
        <f t="array" aca="1" ref="L77" ca="1">_xll.SUBNM(db_name&amp;":related entity","","Total related entity","code and description")</f>
        <v>#NAME?</v>
      </c>
    </row>
    <row r="78" spans="10:19" x14ac:dyDescent="0.25">
      <c r="K78" s="10" t="s">
        <v>57</v>
      </c>
      <c r="L78" s="22" t="e">
        <f t="array" aca="1" ref="L78" ca="1">_xll.SUBNM(db_name&amp;":measure code","","Total Measures","CBMS code and description")</f>
        <v>#NAME?</v>
      </c>
      <c r="Q78" s="9" t="s">
        <v>70</v>
      </c>
      <c r="R78" s="32">
        <f ca="1">NOW()</f>
        <v>45875.509583680556</v>
      </c>
      <c r="S78" s="32"/>
    </row>
    <row r="79" spans="10:19" ht="4.5" customHeight="1" x14ac:dyDescent="0.25"/>
    <row r="80" spans="10:19" x14ac:dyDescent="0.25">
      <c r="N80" s="35" t="s">
        <v>90</v>
      </c>
      <c r="O80" s="36"/>
      <c r="P80" s="36"/>
      <c r="Q80" s="36"/>
      <c r="R80" s="37"/>
    </row>
    <row r="81" spans="1:19" x14ac:dyDescent="0.25">
      <c r="B81" s="1" t="s">
        <v>9</v>
      </c>
      <c r="C81" t="s">
        <v>10</v>
      </c>
      <c r="D81" t="s">
        <v>11</v>
      </c>
      <c r="E81" t="s">
        <v>61</v>
      </c>
      <c r="F81" t="s">
        <v>12</v>
      </c>
      <c r="G81" t="s">
        <v>81</v>
      </c>
      <c r="H81" t="s">
        <v>84</v>
      </c>
      <c r="I81" t="s">
        <v>86</v>
      </c>
      <c r="K81" s="17" t="s">
        <v>81</v>
      </c>
      <c r="L81" s="17" t="s">
        <v>84</v>
      </c>
      <c r="M81" s="17" t="s">
        <v>86</v>
      </c>
      <c r="N81" s="17" t="e">
        <f ca="1">N$56</f>
        <v>#NAME?</v>
      </c>
      <c r="O81" s="17" t="e">
        <f t="shared" ref="O81:R81" ca="1" si="1">O$56</f>
        <v>#NAME?</v>
      </c>
      <c r="P81" s="17" t="e">
        <f t="shared" ca="1" si="1"/>
        <v>#NAME?</v>
      </c>
      <c r="Q81" s="17" t="e">
        <f t="shared" ca="1" si="1"/>
        <v>#NAME?</v>
      </c>
      <c r="R81" s="17" t="e">
        <f t="shared" ca="1" si="1"/>
        <v>#NAME?</v>
      </c>
    </row>
    <row r="82" spans="1:19" ht="4.5" customHeight="1" x14ac:dyDescent="0.25"/>
    <row r="83" spans="1:19" ht="15.75" thickBot="1" x14ac:dyDescent="0.3">
      <c r="B83" t="e">
        <f ca="1">$N$72</f>
        <v>#NAME?</v>
      </c>
      <c r="C83" t="e">
        <f ca="1">$L$75</f>
        <v>#NAME?</v>
      </c>
      <c r="D83" t="e">
        <f ca="1">$L$76</f>
        <v>#NAME?</v>
      </c>
      <c r="E83" t="s">
        <v>71</v>
      </c>
      <c r="F83" t="e">
        <f ca="1">$L$78</f>
        <v>#NAME?</v>
      </c>
      <c r="M83" s="10" t="s">
        <v>76</v>
      </c>
      <c r="N83" s="20" t="e" cm="1">
        <f t="array" aca="1" ref="N83" ca="1">_xll.DBRW($C$47,$L$72,$L$73,$L$74,$N$73,$E83,$C$58,$N$74,$C$59,$F83,$N$75,$D83,$N$76,$B83,$C83,$C$60,$C$63,N$56)</f>
        <v>#NAME?</v>
      </c>
      <c r="O83" s="20" t="e" cm="1">
        <f t="array" aca="1" ref="O83" ca="1">_xll.DBRW($C$47,$L$72,$L$73,$L$74,$N$73,$E83,$C$58,$N$74,$C$59,$F83,$N$75,$D83,$N$76,$B83,$C83,$C$60,$C$63,O$56)</f>
        <v>#NAME?</v>
      </c>
      <c r="P83" s="20" t="e" cm="1">
        <f t="array" aca="1" ref="P83" ca="1">_xll.DBRW($C$47,$L$72,$L$73,$L$74,$N$73,$E83,$C$58,$N$74,$C$59,$F83,$N$75,$D83,$N$76,$B83,$C83,$C$60,$C$63,P$56)</f>
        <v>#NAME?</v>
      </c>
      <c r="Q83" s="20" t="e" cm="1">
        <f t="array" aca="1" ref="Q83" ca="1">_xll.DBRW($C$47,$L$72,$L$73,$L$74,$N$73,$E83,$C$58,$N$74,$C$59,$F83,$N$75,$D83,$N$76,$B83,$C83,$C$60,$C$63,Q$56)</f>
        <v>#NAME?</v>
      </c>
      <c r="R83" s="20" t="e" cm="1">
        <f t="array" aca="1" ref="R83" ca="1">_xll.DBRW($C$47,$L$72,$L$73,$L$74,$N$73,$E83,$C$58,$N$74,$C$59,$F83,$N$75,$D83,$N$76,$B83,$C83,$C$60,$C$63,R$56)</f>
        <v>#NAME?</v>
      </c>
    </row>
    <row r="84" spans="1:19" ht="4.5" customHeight="1" thickTop="1" x14ac:dyDescent="0.25"/>
    <row r="85" spans="1:19" x14ac:dyDescent="0.25">
      <c r="A85" t="e" cm="1">
        <f t="array" aca="1" ref="A85" ca="1">IF(_xll.TM1RPTELISCONSOLIDATED($C$85,$C85),IF(_xll.TM1RPTELLEV($C$85,$C85)&lt;=3,_xll.TM1RPTELLEV($C$85,$C85),"D"),"N")</f>
        <v>#NAME?</v>
      </c>
      <c r="B85" s="28" t="e">
        <f t="array" aca="1" ref="B85" ca="1">_xll.TM1RPTROW($C$46,db_name&amp;":programme","","","code and description",0,$C$49)</f>
        <v>#NAME?</v>
      </c>
      <c r="C85" s="16" t="e">
        <f t="array" aca="1" ref="C85" ca="1">_xll.TM1RPTROW($C$46,db_name&amp;":account","","","code and description",0,$C$50)</f>
        <v>#NAME?</v>
      </c>
      <c r="D85" s="16" t="e">
        <f t="array" aca="1" ref="D85" ca="1">_xll.TM1RPTROW($C$46,db_name&amp;":movement account","","","code and description",0,$C$51)</f>
        <v>#NAME?</v>
      </c>
      <c r="E85" s="16" t="e">
        <f t="array" aca="1" ref="E85" ca="1">_xll.TM1RPTROW($C$46,db_name&amp;":related entity","","","code and description",0,$C$52)</f>
        <v>#NAME?</v>
      </c>
      <c r="F85" s="16" t="e">
        <f t="array" aca="1" ref="F85" ca="1">_xll.TM1RPTROW($C$46,db_name&amp;":measure code","","","CBMS code and description",0,$C$53)</f>
        <v>#NAME?</v>
      </c>
      <c r="G85" s="15" t="e">
        <f t="array" aca="1" ref="G85" ca="1">_xll.TM1RPTROW($C$46,db_name&amp;":id","","","",0,$C$54)</f>
        <v>#NAME?</v>
      </c>
      <c r="H85" t="e" cm="1">
        <f t="array" aca="1" ref="H85" ca="1">_xll.DBR($G$57,psHLYear,psScenario,$G85,H$81)</f>
        <v>#NAME?</v>
      </c>
      <c r="I85" t="e" cm="1">
        <f t="array" aca="1" ref="I85" ca="1">_xll.DBR($G$57,psHLYear,psScenario,$G85,I$81)</f>
        <v>#NAME?</v>
      </c>
      <c r="K85" s="25" t="e">
        <f ca="1">$G85</f>
        <v>#NAME?</v>
      </c>
      <c r="L85" s="26" t="e">
        <f ca="1">$H85</f>
        <v>#NAME?</v>
      </c>
      <c r="M85" s="27" t="e">
        <f ca="1">$I85</f>
        <v>#NAME?</v>
      </c>
      <c r="N85" s="12" t="e" cm="1">
        <f t="array" aca="1" ref="N85" ca="1">_xll.DBRW($C$46,$L$72,$L$73,$L$74,$N$73,$E85,$C$58,$N$74,$C$59,$F85,$N$75,$D85,$N$76,$B85,$C85,$G85,$C$63,N$56)</f>
        <v>#NAME?</v>
      </c>
      <c r="O85" s="12" t="e" cm="1">
        <f t="array" aca="1" ref="O85" ca="1">_xll.DBRW($C$46,$L$72,$L$73,$L$74,$N$73,$E85,$C$58,$N$74,$C$59,$F85,$N$75,$D85,$N$76,$B85,$C85,$G85,$C$63,O$56)</f>
        <v>#NAME?</v>
      </c>
      <c r="P85" s="12" t="e" cm="1">
        <f t="array" aca="1" ref="P85" ca="1">_xll.DBRW($C$46,$L$72,$L$73,$L$74,$N$73,$E85,$C$58,$N$74,$C$59,$F85,$N$75,$D85,$N$76,$B85,$C85,$G85,$C$63,P$56)</f>
        <v>#NAME?</v>
      </c>
      <c r="Q85" s="12" t="e" cm="1">
        <f t="array" aca="1" ref="Q85" ca="1">_xll.DBRW($C$46,$L$72,$L$73,$L$74,$N$73,$E85,$C$58,$N$74,$C$59,$F85,$N$75,$D85,$N$76,$B85,$C85,$G85,$C$63,Q$56)</f>
        <v>#NAME?</v>
      </c>
      <c r="R85" s="12" t="e" cm="1">
        <f t="array" aca="1" ref="R85" ca="1">_xll.DBRW($C$46,$L$72,$L$73,$L$74,$N$73,$E85,$C$58,$N$74,$C$59,$F85,$N$75,$D85,$N$76,$B85,$C85,$G85,$C$63,R$56)</f>
        <v>#NAME?</v>
      </c>
    </row>
    <row r="86" spans="1:19" ht="4.5" customHeight="1" x14ac:dyDescent="0.25"/>
    <row r="87" spans="1:19" ht="15.75" thickBot="1" x14ac:dyDescent="0.3">
      <c r="B87" t="e">
        <f ca="1">$N$72</f>
        <v>#NAME?</v>
      </c>
      <c r="C87" t="e">
        <f ca="1">$L$75</f>
        <v>#NAME?</v>
      </c>
      <c r="D87" t="e">
        <f ca="1">$L$76</f>
        <v>#NAME?</v>
      </c>
      <c r="E87" t="s">
        <v>71</v>
      </c>
      <c r="F87" t="e">
        <f ca="1">$L$78</f>
        <v>#NAME?</v>
      </c>
      <c r="M87" s="10" t="s">
        <v>77</v>
      </c>
      <c r="N87" s="20" t="e" cm="1">
        <f t="array" aca="1" ref="N87" ca="1">_xll.DBRW($C$47,$L$72,$L$73,$L$74,$N$73,$E87,$C$58,$N$74,$C$59,$F87,$N$75,$D87,$N$76,$B87,$C87,$C$62,$C$63,N$56)</f>
        <v>#NAME?</v>
      </c>
      <c r="O87" s="20" t="e" cm="1">
        <f t="array" aca="1" ref="O87" ca="1">_xll.DBRW($C$47,$L$72,$L$73,$L$74,$N$73,$E87,$C$58,$N$74,$C$59,$F87,$N$75,$D87,$N$76,$B87,$C87,$C$62,$C$63,O$56)</f>
        <v>#NAME?</v>
      </c>
      <c r="P87" s="20" t="e" cm="1">
        <f t="array" aca="1" ref="P87" ca="1">_xll.DBRW($C$47,$L$72,$L$73,$L$74,$N$73,$E87,$C$58,$N$74,$C$59,$F87,$N$75,$D87,$N$76,$B87,$C87,$C$62,$C$63,P$56)</f>
        <v>#NAME?</v>
      </c>
      <c r="Q87" s="20" t="e" cm="1">
        <f t="array" aca="1" ref="Q87" ca="1">_xll.DBRW($C$47,$L$72,$L$73,$L$74,$N$73,$E87,$C$58,$N$74,$C$59,$F87,$N$75,$D87,$N$76,$B87,$C87,$C$62,$C$63,Q$56)</f>
        <v>#NAME?</v>
      </c>
      <c r="R87" s="20" t="e" cm="1">
        <f t="array" aca="1" ref="R87" ca="1">_xll.DBRW($C$47,$L$72,$L$73,$L$74,$N$73,$E87,$C$58,$N$74,$C$59,$F87,$N$75,$D87,$N$76,$B87,$C87,$C$62,$C$63,R$56)</f>
        <v>#NAME?</v>
      </c>
    </row>
    <row r="88" spans="1:19" ht="4.5" customHeight="1" thickTop="1" x14ac:dyDescent="0.25"/>
    <row r="89" spans="1:19" x14ac:dyDescent="0.25">
      <c r="Q89" s="9" t="s">
        <v>70</v>
      </c>
      <c r="R89" s="32">
        <f ca="1">NOW()</f>
        <v>45875.509583680556</v>
      </c>
      <c r="S89" s="32"/>
    </row>
  </sheetData>
  <sheetProtection sheet="1" objects="1" scenarios="1"/>
  <mergeCells count="16">
    <mergeCell ref="R89:S89"/>
    <mergeCell ref="N71:O71"/>
    <mergeCell ref="G45:H45"/>
    <mergeCell ref="N80:R80"/>
    <mergeCell ref="R78:S78"/>
    <mergeCell ref="N74:O74"/>
    <mergeCell ref="N75:O75"/>
    <mergeCell ref="N76:O76"/>
    <mergeCell ref="F56:H56"/>
    <mergeCell ref="N72:O72"/>
    <mergeCell ref="N73:O73"/>
    <mergeCell ref="B11:D11"/>
    <mergeCell ref="B19:D19"/>
    <mergeCell ref="B27:D27"/>
    <mergeCell ref="B45:D45"/>
    <mergeCell ref="B56:D56"/>
  </mergeCells>
  <pageMargins left="0.70866141732283472" right="0.70866141732283472" top="0.74803149606299213" bottom="0.74803149606299213" header="0.31496062992125984" footer="0.31496062992125984"/>
  <pageSetup paperSize="9" scale="40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31" r:id="rId4" name="TIButton7">
          <controlPr defaultSize="0" print="0" autoLine="0" r:id="rId5">
            <anchor moveWithCells="1" sizeWithCells="1">
              <from>
                <xdr:col>17</xdr:col>
                <xdr:colOff>533400</xdr:colOff>
                <xdr:row>66</xdr:row>
                <xdr:rowOff>19050</xdr:rowOff>
              </from>
              <to>
                <xdr:col>18</xdr:col>
                <xdr:colOff>0</xdr:colOff>
                <xdr:row>67</xdr:row>
                <xdr:rowOff>276225</xdr:rowOff>
              </to>
            </anchor>
          </controlPr>
        </control>
      </mc:Choice>
      <mc:Fallback>
        <control shapeId="1031" r:id="rId4" name="TIButton7"/>
      </mc:Fallback>
    </mc:AlternateContent>
    <mc:AlternateContent xmlns:mc="http://schemas.openxmlformats.org/markup-compatibility/2006">
      <mc:Choice Requires="x14">
        <control shapeId="1030" r:id="rId6" name="TIButton6">
          <controlPr defaultSize="0" print="0" autoLine="0" r:id="rId7">
            <anchor moveWithCells="1" sizeWithCells="1">
              <from>
                <xdr:col>12</xdr:col>
                <xdr:colOff>314325</xdr:colOff>
                <xdr:row>66</xdr:row>
                <xdr:rowOff>47625</xdr:rowOff>
              </from>
              <to>
                <xdr:col>12</xdr:col>
                <xdr:colOff>1447800</xdr:colOff>
                <xdr:row>67</xdr:row>
                <xdr:rowOff>238125</xdr:rowOff>
              </to>
            </anchor>
          </controlPr>
        </control>
      </mc:Choice>
      <mc:Fallback>
        <control shapeId="1030" r:id="rId6" name="TIButton6"/>
      </mc:Fallback>
    </mc:AlternateContent>
    <mc:AlternateContent xmlns:mc="http://schemas.openxmlformats.org/markup-compatibility/2006">
      <mc:Choice Requires="x14">
        <control shapeId="1028" r:id="rId8" name="TIButton4">
          <controlPr defaultSize="0" print="0" autoLine="0" r:id="rId9">
            <anchor moveWithCells="1" sizeWithCells="1">
              <from>
                <xdr:col>13</xdr:col>
                <xdr:colOff>695325</xdr:colOff>
                <xdr:row>66</xdr:row>
                <xdr:rowOff>47625</xdr:rowOff>
              </from>
              <to>
                <xdr:col>14</xdr:col>
                <xdr:colOff>628650</xdr:colOff>
                <xdr:row>67</xdr:row>
                <xdr:rowOff>238125</xdr:rowOff>
              </to>
            </anchor>
          </controlPr>
        </control>
      </mc:Choice>
      <mc:Fallback>
        <control shapeId="1028" r:id="rId8" name="TIButton4"/>
      </mc:Fallback>
    </mc:AlternateContent>
    <mc:AlternateContent xmlns:mc="http://schemas.openxmlformats.org/markup-compatibility/2006">
      <mc:Choice Requires="x14">
        <control shapeId="1027" r:id="rId10" name="TIButton3">
          <controlPr defaultSize="0" print="0" autoLine="0" r:id="rId11">
            <anchor moveWithCells="1" sizeWithCells="1">
              <from>
                <xdr:col>11</xdr:col>
                <xdr:colOff>123825</xdr:colOff>
                <xdr:row>66</xdr:row>
                <xdr:rowOff>47625</xdr:rowOff>
              </from>
              <to>
                <xdr:col>11</xdr:col>
                <xdr:colOff>1476375</xdr:colOff>
                <xdr:row>67</xdr:row>
                <xdr:rowOff>238125</xdr:rowOff>
              </to>
            </anchor>
          </controlPr>
        </control>
      </mc:Choice>
      <mc:Fallback>
        <control shapeId="1027" r:id="rId10" name="TIButton3"/>
      </mc:Fallback>
    </mc:AlternateContent>
    <mc:AlternateContent xmlns:mc="http://schemas.openxmlformats.org/markup-compatibility/2006">
      <mc:Choice Requires="x14">
        <control shapeId="1026" r:id="rId12" name="TIButton2">
          <controlPr defaultSize="0" print="0" autoLine="0" r:id="rId13">
            <anchor moveWithCells="1" sizeWithCells="1">
              <from>
                <xdr:col>10</xdr:col>
                <xdr:colOff>657225</xdr:colOff>
                <xdr:row>66</xdr:row>
                <xdr:rowOff>47625</xdr:rowOff>
              </from>
              <to>
                <xdr:col>11</xdr:col>
                <xdr:colOff>95250</xdr:colOff>
                <xdr:row>67</xdr:row>
                <xdr:rowOff>238125</xdr:rowOff>
              </to>
            </anchor>
          </controlPr>
        </control>
      </mc:Choice>
      <mc:Fallback>
        <control shapeId="1026" r:id="rId12" name="TIButton2"/>
      </mc:Fallback>
    </mc:AlternateContent>
    <mc:AlternateContent xmlns:mc="http://schemas.openxmlformats.org/markup-compatibility/2006">
      <mc:Choice Requires="x14">
        <control shapeId="1025" r:id="rId14" name="TIButton1">
          <controlPr defaultSize="0" print="0" autoLine="0" r:id="rId15">
            <anchor moveWithCells="1" sizeWithCells="1">
              <from>
                <xdr:col>9</xdr:col>
                <xdr:colOff>38100</xdr:colOff>
                <xdr:row>66</xdr:row>
                <xdr:rowOff>47625</xdr:rowOff>
              </from>
              <to>
                <xdr:col>10</xdr:col>
                <xdr:colOff>619125</xdr:colOff>
                <xdr:row>67</xdr:row>
                <xdr:rowOff>238125</xdr:rowOff>
              </to>
            </anchor>
          </controlPr>
        </control>
      </mc:Choice>
      <mc:Fallback>
        <control shapeId="1025" r:id="rId14" name="TIButton1"/>
      </mc:Fallback>
    </mc:AlternateContent>
    <mc:AlternateContent xmlns:mc="http://schemas.openxmlformats.org/markup-compatibility/2006">
      <mc:Choice Requires="x14">
        <control shapeId="1032" r:id="rId16" name="TIButton8">
          <controlPr defaultSize="0" print="0" autoLine="0" r:id="rId17">
            <anchor moveWithCells="1" sizeWithCells="1">
              <from>
                <xdr:col>11</xdr:col>
                <xdr:colOff>3076575</xdr:colOff>
                <xdr:row>66</xdr:row>
                <xdr:rowOff>47625</xdr:rowOff>
              </from>
              <to>
                <xdr:col>12</xdr:col>
                <xdr:colOff>285750</xdr:colOff>
                <xdr:row>67</xdr:row>
                <xdr:rowOff>238125</xdr:rowOff>
              </to>
            </anchor>
          </controlPr>
        </control>
      </mc:Choice>
      <mc:Fallback>
        <control shapeId="1032" r:id="rId16" name="TIButton8"/>
      </mc:Fallback>
    </mc:AlternateContent>
    <mc:AlternateContent xmlns:mc="http://schemas.openxmlformats.org/markup-compatibility/2006">
      <mc:Choice Requires="x14">
        <control shapeId="1033" r:id="rId18" name="TIButton5">
          <controlPr defaultSize="0" print="0" autoLine="0" r:id="rId19">
            <anchor moveWithCells="1" sizeWithCells="1">
              <from>
                <xdr:col>11</xdr:col>
                <xdr:colOff>1495425</xdr:colOff>
                <xdr:row>66</xdr:row>
                <xdr:rowOff>47625</xdr:rowOff>
              </from>
              <to>
                <xdr:col>11</xdr:col>
                <xdr:colOff>3048000</xdr:colOff>
                <xdr:row>67</xdr:row>
                <xdr:rowOff>238125</xdr:rowOff>
              </to>
            </anchor>
          </controlPr>
        </control>
      </mc:Choice>
      <mc:Fallback>
        <control shapeId="1033" r:id="rId18" name="TIButton5"/>
      </mc:Fallback>
    </mc:AlternateContent>
    <mc:AlternateContent xmlns:mc="http://schemas.openxmlformats.org/markup-compatibility/2006">
      <mc:Choice Requires="x14">
        <control shapeId="1034" r:id="rId20" name="TIButton9">
          <controlPr defaultSize="0" print="0" autoLine="0" autoPict="0" r:id="rId21">
            <anchor moveWithCells="1" sizeWithCells="1">
              <from>
                <xdr:col>12</xdr:col>
                <xdr:colOff>1476375</xdr:colOff>
                <xdr:row>66</xdr:row>
                <xdr:rowOff>47625</xdr:rowOff>
              </from>
              <to>
                <xdr:col>13</xdr:col>
                <xdr:colOff>647700</xdr:colOff>
                <xdr:row>67</xdr:row>
                <xdr:rowOff>238125</xdr:rowOff>
              </to>
            </anchor>
          </controlPr>
        </control>
      </mc:Choice>
      <mc:Fallback>
        <control shapeId="1034" r:id="rId20" name="TIButton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TBAL</vt:lpstr>
      <vt:lpstr>db_name</vt:lpstr>
      <vt:lpstr>psApp</vt:lpstr>
      <vt:lpstr>psHLYear</vt:lpstr>
      <vt:lpstr>psScenario</vt:lpstr>
      <vt:lpstr>psUser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TM1OthRprTBalAccCAP</vt:lpstr>
      <vt:lpstr>TM1OthRprTBalAccWB</vt:lpstr>
      <vt:lpstr>TM1OthRprTBalAccWS</vt:lpstr>
      <vt:lpstr>TM1OthRprTBalCAP</vt:lpstr>
      <vt:lpstr>TM1OthRprTBalDetailCAP</vt:lpstr>
      <vt:lpstr>TM1OthRprTBalDetailWB</vt:lpstr>
      <vt:lpstr>TM1OthRprTBalDetailWS</vt:lpstr>
      <vt:lpstr>TM1OthRprTBalDrillCAP</vt:lpstr>
      <vt:lpstr>TM1OthRprTBalDrillWB</vt:lpstr>
      <vt:lpstr>TM1OthRprTBalDrillWS</vt:lpstr>
      <vt:lpstr>TM1OthRprTBalWB</vt:lpstr>
      <vt:lpstr>TM1OthRprTBalWS</vt:lpstr>
      <vt:lpstr>TBAL!TM1RPTDATARNG7</vt:lpstr>
      <vt:lpstr>TBAL!TM1RPTFMTIDCOL</vt:lpstr>
      <vt:lpstr>TBAL!TM1RPTFMTRNG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Kevin He</cp:lastModifiedBy>
  <cp:lastPrinted>2019-06-10T08:12:13Z</cp:lastPrinted>
  <dcterms:created xsi:type="dcterms:W3CDTF">2019-06-10T07:32:40Z</dcterms:created>
  <dcterms:modified xsi:type="dcterms:W3CDTF">2025-08-06T02:13:48Z</dcterms:modified>
</cp:coreProperties>
</file>