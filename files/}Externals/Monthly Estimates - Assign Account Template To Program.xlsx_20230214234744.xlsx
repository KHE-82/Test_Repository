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45ACB85-89B1-4608-A29E-52D383BACFE0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assign" sheetId="1" r:id="rId1"/>
    <sheet name="{PL}PickLst" sheetId="3" state="hidden" r:id="rId2"/>
  </sheets>
  <definedNames>
    <definedName name="db_name">assign!$C$12</definedName>
    <definedName name="Freeze_here">assign!$L$64</definedName>
    <definedName name="psApp">assign!$C$29</definedName>
    <definedName name="psHLYear">assign!$L$60</definedName>
    <definedName name="psScenario">assign!$L$61</definedName>
    <definedName name="psUser">assign!$C$14</definedName>
    <definedName name="TM1AdminProgDetCAP">assign!$D$37</definedName>
    <definedName name="TM1AdminProgDetWB">assign!$F$37</definedName>
    <definedName name="TM1AdminProgDetWS">assign!$H$37</definedName>
    <definedName name="TM1AdminRDSAccTempCAP">assign!$D$39</definedName>
    <definedName name="TM1AdminRDSAccTempWB">assign!$F$39</definedName>
    <definedName name="TM1AdminRDSAccTempWS">assign!$H$39</definedName>
    <definedName name="TM1AdminRDSProgCAP">assign!$D$36</definedName>
    <definedName name="TM1AdminRDSProgWB">assign!$F$36</definedName>
    <definedName name="TM1AdminRDSProgWS">assign!$H$36</definedName>
    <definedName name="TM1HomeAdminCAP">assign!$D$34</definedName>
    <definedName name="TM1HomeAdminRDSCAP">assign!$D$35</definedName>
    <definedName name="TM1HomeAdminRDSWB">assign!$F$35</definedName>
    <definedName name="TM1HomeAdminRDSWS">assign!$H$35</definedName>
    <definedName name="TM1HomeAdminWB">assign!$F$34</definedName>
    <definedName name="TM1HomeAdminWS">assign!$H$34</definedName>
    <definedName name="TM1HomeAECAP">assign!$D$32</definedName>
    <definedName name="TM1HomeAEWB">assign!$F$32</definedName>
    <definedName name="TM1HomeAEWS">assign!$H$32</definedName>
    <definedName name="TM1HomeCAP">assign!$D$31</definedName>
    <definedName name="TM1HomeRepCAP">assign!$D$33</definedName>
    <definedName name="TM1HomeRepWB">assign!$F$33</definedName>
    <definedName name="TM1HomeRepWS">assign!$H$33</definedName>
    <definedName name="TM1HomeWB">assign!$F$31</definedName>
    <definedName name="TM1HomeWS">assign!$H$31</definedName>
    <definedName name="TM1MEAccTempCAP">assign!$D$38</definedName>
    <definedName name="TM1MEAccTempWB">assign!$F$38</definedName>
    <definedName name="TM1MEAccTempWS">assign!$H$38</definedName>
    <definedName name="TM1MEHomeCAP">assign!$D$40</definedName>
    <definedName name="TM1MEHomeWB">assign!$F$40</definedName>
    <definedName name="TM1MEHomeWS">assign!$H$40</definedName>
    <definedName name="TM1REBUILDOPTION">0</definedName>
    <definedName name="TM1RPTDATARNG2" localSheetId="0">assign!$65:$65</definedName>
    <definedName name="TM1RPTFMTIDCOL" localSheetId="0">assign!$A$1:$A$8</definedName>
    <definedName name="TM1RPTFMTRNG" localSheetId="0">assign!$B$1:$O$8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  <c r="O60" i="1"/>
  <c r="L62" i="1"/>
  <c r="C48" i="1"/>
  <c r="C49" i="1"/>
  <c r="C46" i="1"/>
  <c r="J65" i="1"/>
  <c r="C20" i="1"/>
  <c r="C21" i="1"/>
  <c r="L60" i="1"/>
  <c r="C22" i="1"/>
  <c r="L61" i="1"/>
  <c r="C45" i="1"/>
  <c r="C28" i="1"/>
  <c r="H39" i="1"/>
  <c r="G39" i="1"/>
  <c r="F39" i="1"/>
  <c r="E39" i="1"/>
  <c r="D39" i="1"/>
  <c r="C39" i="1"/>
  <c r="H40" i="1"/>
  <c r="G40" i="1"/>
  <c r="F40" i="1"/>
  <c r="E40" i="1"/>
  <c r="D40" i="1"/>
  <c r="C40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L65" i="1"/>
  <c r="C25" i="1"/>
  <c r="C24" i="1"/>
  <c r="C23" i="1"/>
  <c r="C13" i="1"/>
  <c r="C14" i="1"/>
  <c r="C15" i="1"/>
  <c r="C17" i="1"/>
  <c r="C16" i="1"/>
  <c r="A5" i="1"/>
  <c r="A4" i="1"/>
  <c r="A3" i="1"/>
  <c r="A2" i="1"/>
  <c r="A65" i="1"/>
</calcChain>
</file>

<file path=xl/sharedStrings.xml><?xml version="1.0" encoding="utf-8"?>
<sst xmlns="http://schemas.openxmlformats.org/spreadsheetml/2006/main" count="405" uniqueCount="404">
  <si>
    <t>headline year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</si>
  <si>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</si>
  <si>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</si>
  <si>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</si>
  <si>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</si>
  <si>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</si>
  <si>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</si>
  <si>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</si>
  <si>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</si>
  <si>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</si>
  <si>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</si>
  <si>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</si>
  <si>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</si>
  <si>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</si>
  <si>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</si>
  <si>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</si>
  <si>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</si>
  <si>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</si>
  <si>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</si>
  <si>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</si>
  <si>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</si>
  <si>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</si>
  <si>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</si>
  <si>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</si>
  <si>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</si>
  <si>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</si>
  <si>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</si>
  <si>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</si>
  <si>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</si>
  <si>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</si>
  <si>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</si>
  <si>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</si>
  <si>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</si>
  <si>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</si>
  <si>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}ElementAttributes_account</t>
  </si>
  <si>
    <t>Active Form</t>
  </si>
  <si>
    <t>Slice</t>
  </si>
  <si>
    <t>Dimension MDX To Use</t>
  </si>
  <si>
    <t>All MDX</t>
  </si>
  <si>
    <t>Attribute Fields</t>
  </si>
  <si>
    <t>REPORT PARAMETERS</t>
  </si>
  <si>
    <t>Scenario  :</t>
  </si>
  <si>
    <t>A002-00005-05005</t>
  </si>
  <si>
    <t>A002-00005-05007</t>
  </si>
  <si>
    <t>A002-00006-05002</t>
  </si>
  <si>
    <t>A002-00006-05003</t>
  </si>
  <si>
    <t>A002-00006-05004</t>
  </si>
  <si>
    <t>A002-00006-05005</t>
  </si>
  <si>
    <t>A002-00006-05007</t>
  </si>
  <si>
    <t>A002-00007-05002</t>
  </si>
  <si>
    <t>A002-00007-05003</t>
  </si>
  <si>
    <t>A002-00007-05004</t>
  </si>
  <si>
    <t>A002-00007-05005</t>
  </si>
  <si>
    <t>A002-00007-05007</t>
  </si>
  <si>
    <t>A002-00008-05002</t>
  </si>
  <si>
    <t>A002-00008-05003</t>
  </si>
  <si>
    <t>A002-00008-05004</t>
  </si>
  <si>
    <t>A002-00008-05005</t>
  </si>
  <si>
    <t>A002-00008-05007</t>
  </si>
  <si>
    <t>A002-00017-05002</t>
  </si>
  <si>
    <t>A002-00017-05003</t>
  </si>
  <si>
    <t>A002-00017-05004</t>
  </si>
  <si>
    <t>A002-00017-05005</t>
  </si>
  <si>
    <t>A002-00017-05007</t>
  </si>
  <si>
    <t>A006-00019-05000</t>
  </si>
  <si>
    <t>A006-00019-05001</t>
  </si>
  <si>
    <t>A007-00020-05002</t>
  </si>
  <si>
    <t>A007-00020-05004</t>
  </si>
  <si>
    <t>A009-00013-05006</t>
  </si>
  <si>
    <t>A010-00014-01436</t>
  </si>
  <si>
    <t>A100-10000-04200</t>
  </si>
  <si>
    <t>A100-10000-04201</t>
  </si>
  <si>
    <t>A100-10000-04271</t>
  </si>
  <si>
    <t>A100-10022-04062</t>
  </si>
  <si>
    <t>A100-10105-04073</t>
  </si>
  <si>
    <t>A100-10196-04061</t>
  </si>
  <si>
    <t>A100-10256-04107</t>
  </si>
  <si>
    <t>A100-10262-04247</t>
  </si>
  <si>
    <t>A200-20061-04076</t>
  </si>
  <si>
    <t>A200-20132-04183</t>
  </si>
  <si>
    <t>A200-20162-04066</t>
  </si>
  <si>
    <t>A300-30029-04202</t>
  </si>
  <si>
    <t>A300-30031-04035</t>
  </si>
  <si>
    <t>A300-30032-04031</t>
  </si>
  <si>
    <t>A300-30056-04047</t>
  </si>
  <si>
    <t>A300-30081-04106</t>
  </si>
  <si>
    <t>1038</t>
  </si>
  <si>
    <t>1039</t>
  </si>
  <si>
    <t>1070</t>
  </si>
  <si>
    <t>1078</t>
  </si>
  <si>
    <t>1085</t>
  </si>
  <si>
    <t>1097</t>
  </si>
  <si>
    <t>1128</t>
  </si>
  <si>
    <t>1139</t>
  </si>
  <si>
    <t>1171</t>
  </si>
  <si>
    <t>1173</t>
  </si>
  <si>
    <t>1208</t>
  </si>
  <si>
    <t>1296</t>
  </si>
  <si>
    <t>1313</t>
  </si>
  <si>
    <t>1314</t>
  </si>
  <si>
    <t>1319</t>
  </si>
  <si>
    <t>1322</t>
  </si>
  <si>
    <t>1331</t>
  </si>
  <si>
    <t>1350</t>
  </si>
  <si>
    <t>1351</t>
  </si>
  <si>
    <t>1352</t>
  </si>
  <si>
    <t>1355</t>
  </si>
  <si>
    <t>1365</t>
  </si>
  <si>
    <t>1373</t>
  </si>
  <si>
    <t>1376</t>
  </si>
  <si>
    <t>1379</t>
  </si>
  <si>
    <t>1380</t>
  </si>
  <si>
    <t>1381</t>
  </si>
  <si>
    <t>1382</t>
  </si>
  <si>
    <t>1383</t>
  </si>
  <si>
    <t>1385</t>
  </si>
  <si>
    <t>1386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</si>
  <si>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</si>
  <si>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</si>
  <si>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</si>
  <si>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</si>
  <si>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</si>
  <si>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</si>
  <si>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</si>
  <si>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</si>
  <si>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</si>
  <si>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</si>
  <si>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</si>
  <si>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</si>
  <si>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</si>
  <si>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</si>
  <si>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1431</t>
  </si>
  <si>
    <t>1436</t>
  </si>
  <si>
    <t>1438</t>
  </si>
  <si>
    <t>1439</t>
  </si>
  <si>
    <t>1468</t>
  </si>
  <si>
    <t>1470</t>
  </si>
  <si>
    <t>1629</t>
  </si>
  <si>
    <t>1633</t>
  </si>
  <si>
    <t>1725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</si>
  <si>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</si>
  <si>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</si>
  <si>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</si>
  <si>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</si>
  <si>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</si>
  <si>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</si>
  <si>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</si>
  <si>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</si>
  <si>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</si>
  <si>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</si>
  <si>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</si>
  <si>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</si>
  <si>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</si>
  <si>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</si>
  <si>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</si>
  <si>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</si>
  <si>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</si>
  <si>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</si>
  <si>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</si>
  <si>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</si>
  <si>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</si>
  <si>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</si>
  <si>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</si>
  <si>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</si>
  <si>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</si>
  <si>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</si>
  <si>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</si>
  <si>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</si>
  <si>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</si>
  <si>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</si>
  <si>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</si>
  <si>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</si>
  <si>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</si>
  <si>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</si>
  <si>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</si>
  <si>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</si>
  <si>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</si>
  <si>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</si>
  <si>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</si>
  <si>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</si>
  <si>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</si>
  <si>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</si>
  <si>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</si>
  <si>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</si>
  <si>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</si>
  <si>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</si>
  <si>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</si>
  <si>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</si>
  <si>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</si>
  <si>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</si>
  <si>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</si>
  <si>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</si>
  <si>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</si>
  <si>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</si>
  <si>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</si>
  <si>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</si>
  <si>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</si>
  <si>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</si>
  <si>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</si>
  <si>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</si>
  <si>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</si>
  <si>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</si>
  <si>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</si>
  <si>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</si>
  <si>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</si>
  <si>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</si>
  <si>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</si>
  <si>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</si>
  <si>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</si>
  <si>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</si>
  <si>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</si>
  <si>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</si>
  <si>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</si>
  <si>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</si>
  <si>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</si>
  <si>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</si>
  <si>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</si>
  <si>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</si>
  <si>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</si>
  <si>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</si>
  <si>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</si>
  <si>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</si>
  <si>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</si>
  <si>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</si>
  <si>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</si>
  <si>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</si>
  <si>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</si>
  <si>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</si>
  <si>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</si>
  <si>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</si>
  <si>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</si>
  <si>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</si>
  <si>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</si>
  <si>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</si>
  <si>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</si>
  <si>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</si>
  <si>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</si>
  <si>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</si>
  <si>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</si>
  <si>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</si>
  <si>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</si>
  <si>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</si>
  <si>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</si>
  <si>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</si>
  <si>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</si>
  <si>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</si>
  <si>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</si>
  <si>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</si>
  <si>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</si>
  <si>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</si>
  <si>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</si>
  <si>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</si>
  <si>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</si>
  <si>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</si>
  <si>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</si>
  <si>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</si>
  <si>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</si>
  <si>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</si>
  <si>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</si>
  <si>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</si>
  <si>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</si>
  <si>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</si>
  <si>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</si>
  <si>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</si>
  <si>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</si>
  <si>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</si>
  <si>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</si>
  <si>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</si>
  <si>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</si>
  <si>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</si>
  <si>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</si>
  <si>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</si>
  <si>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</si>
  <si>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</si>
  <si>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</si>
  <si>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</si>
  <si>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</si>
  <si>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</si>
  <si>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</si>
  <si>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</si>
  <si>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</si>
  <si>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</si>
  <si>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</si>
  <si>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</si>
  <si>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</si>
  <si>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</si>
  <si>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2272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</si>
  <si>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</si>
  <si>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</si>
  <si>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</si>
  <si>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</si>
  <si>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</si>
  <si>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</si>
  <si>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</si>
  <si>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</si>
  <si>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</si>
  <si>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</si>
  <si>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</si>
  <si>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</si>
  <si>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</si>
  <si>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</si>
  <si>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</si>
  <si>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</si>
  <si>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</si>
  <si>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</si>
  <si>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</si>
  <si>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</si>
  <si>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</si>
  <si>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</si>
  <si>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</si>
  <si>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</si>
  <si>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</si>
  <si>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</si>
  <si>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</si>
  <si>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</si>
  <si>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</si>
  <si>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</si>
  <si>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</si>
  <si>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</si>
  <si>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</si>
  <si>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</si>
  <si>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</si>
  <si>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</si>
  <si>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</si>
  <si>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</si>
  <si>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3935</t>
  </si>
  <si>
    <t>3945</t>
  </si>
  <si>
    <t>3953</t>
  </si>
  <si>
    <t>3954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</si>
  <si>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</si>
  <si>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</si>
  <si>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</si>
  <si>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</si>
  <si>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</si>
  <si>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</si>
  <si>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</si>
  <si>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</si>
  <si>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</si>
  <si>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</si>
  <si>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</si>
  <si>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</si>
  <si>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</si>
  <si>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</si>
  <si>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</si>
  <si>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</si>
  <si>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</si>
  <si>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</si>
  <si>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</si>
  <si>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</si>
  <si>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</si>
  <si>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</si>
  <si>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</si>
  <si>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</si>
  <si>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</si>
  <si>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</si>
  <si>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</si>
  <si>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</si>
  <si>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</si>
  <si>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</si>
  <si>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</si>
  <si>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</si>
  <si>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</si>
  <si>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</si>
  <si>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</si>
  <si>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</si>
  <si>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</si>
  <si>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</si>
  <si>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</si>
  <si>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</si>
  <si>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</si>
  <si>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</si>
  <si>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</si>
  <si>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Y</t>
  </si>
  <si>
    <t>A001-00003-05000</t>
  </si>
  <si>
    <t>A001-00003-05001</t>
  </si>
  <si>
    <t>A001-00004-05000</t>
  </si>
  <si>
    <t>A001-00004-05001</t>
  </si>
  <si>
    <t>A001-00016-05000</t>
  </si>
  <si>
    <t>A001-00016-05001</t>
  </si>
  <si>
    <t>A002-00005-05002</t>
  </si>
  <si>
    <t>A002-00005-05003</t>
  </si>
  <si>
    <t>A002-00005-05004</t>
  </si>
  <si>
    <t>12348</t>
  </si>
  <si>
    <t>12389</t>
  </si>
  <si>
    <t>12390</t>
  </si>
  <si>
    <t>Headline Year  :</t>
  </si>
  <si>
    <t xml:space="preserve"> DISPLAY SETTINGS</t>
  </si>
  <si>
    <t>Report Display :</t>
  </si>
  <si>
    <t>Expand MDX</t>
  </si>
  <si>
    <t>Collapse MDX</t>
  </si>
  <si>
    <t>ME balance sheet template</t>
  </si>
  <si>
    <t>ME Account Template (Used For Generating Profiles)</t>
  </si>
  <si>
    <t>ME - Account Template</t>
  </si>
  <si>
    <t>ME - Homepage</t>
  </si>
  <si>
    <t>Admin RDS - Account Template</t>
  </si>
  <si>
    <t>ME - Assign Account Template To programme</t>
  </si>
  <si>
    <t>Admin RDS - programmeme</t>
  </si>
  <si>
    <t>{TM1SUBSETALL( [programme] )}</t>
  </si>
  <si>
    <t>Assign Account Template To programme</t>
  </si>
  <si>
    <t>Note : This screen is used to manage the programme account mapping used for Monthly Estimates - Generate Profiles</t>
  </si>
  <si>
    <t>Programme</t>
  </si>
  <si>
    <t>Programme :</t>
  </si>
  <si>
    <t>Admin - Programme Details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</si>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</sst>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1" xfId="0" quotePrefix="1" applyFill="1" applyBorder="1"/>
    <xf numFmtId="0" fontId="5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Border="1"/>
    <xf numFmtId="0" fontId="7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6" fillId="0" borderId="0" xfId="0" applyFont="1"/>
    <xf numFmtId="0" fontId="0" fillId="6" borderId="7" xfId="0" applyFill="1" applyBorder="1" applyAlignment="1" applyProtection="1">
      <alignment horizontal="center" vertical="center"/>
      <protection locked="0"/>
    </xf>
    <xf numFmtId="0" fontId="2" fillId="0" borderId="8" xfId="0" applyFont="1" applyBorder="1"/>
    <xf numFmtId="164" fontId="4" fillId="2" borderId="1" xfId="0" applyNumberFormat="1" applyFont="1" applyFill="1" applyBorder="1"/>
    <xf numFmtId="0" fontId="1" fillId="5" borderId="5" xfId="0" applyFont="1" applyFill="1" applyBorder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6" fillId="0" borderId="0" xfId="0" applyFont="1" applyAlignment="1">
      <alignment vertical="top" wrapText="1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52</xdr:row>
      <xdr:rowOff>19050</xdr:rowOff>
    </xdr:from>
    <xdr:ext cx="1853565" cy="457200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54</xdr:row>
          <xdr:rowOff>0</xdr:rowOff>
        </xdr:from>
        <xdr:to>
          <xdr:col>9</xdr:col>
          <xdr:colOff>638175</xdr:colOff>
          <xdr:row>54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54</xdr:row>
          <xdr:rowOff>0</xdr:rowOff>
        </xdr:from>
        <xdr:to>
          <xdr:col>9</xdr:col>
          <xdr:colOff>2286000</xdr:colOff>
          <xdr:row>54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3648075</xdr:colOff>
          <xdr:row>54</xdr:row>
          <xdr:rowOff>0</xdr:rowOff>
        </xdr:from>
        <xdr:to>
          <xdr:col>11</xdr:col>
          <xdr:colOff>180975</xdr:colOff>
          <xdr:row>54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428625</xdr:colOff>
          <xdr:row>53</xdr:row>
          <xdr:rowOff>38100</xdr:rowOff>
        </xdr:from>
        <xdr:to>
          <xdr:col>14</xdr:col>
          <xdr:colOff>742950</xdr:colOff>
          <xdr:row>54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2314575</xdr:colOff>
          <xdr:row>54</xdr:row>
          <xdr:rowOff>0</xdr:rowOff>
        </xdr:from>
        <xdr:to>
          <xdr:col>9</xdr:col>
          <xdr:colOff>3552825</xdr:colOff>
          <xdr:row>54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65"/>
  <sheetViews>
    <sheetView showGridLines="0" showRowColHeaders="0" tabSelected="1" showOutlineSymbols="0" topLeftCell="E53" workbookViewId="0">
      <pane ySplit="12" topLeftCell="A65" activePane="bottomLeft" state="frozen"/>
      <selection activeCell="I53" sqref="I53"/>
      <selection pane="bottomLeft" activeCell="L64" sqref="L64"/>
    </sheetView>
  </sheetViews>
  <sheetFormatPr defaultRowHeight="15" outlineLevelRow="1" outlineLevelCol="1" x14ac:dyDescent="0.25"/>
  <cols>
    <col min="1" max="1" width="2.7109375" hidden="1" customWidth="1" outlineLevel="1"/>
    <col min="2" max="2" width="74.5703125" hidden="1" customWidth="1" outlineLevel="1"/>
    <col min="3" max="3" width="11.7109375" hidden="1" customWidth="1" outlineLevel="1"/>
    <col min="4" max="4" width="8.140625" hidden="1" customWidth="1" outlineLevel="1"/>
    <col min="5" max="5" width="8.5703125" hidden="1" customWidth="1" outlineLevel="1"/>
    <col min="6" max="7" width="16.85546875" hidden="1" customWidth="1" outlineLevel="1"/>
    <col min="8" max="8" width="9.7109375" hidden="1" customWidth="1" outlineLevel="1"/>
    <col min="9" max="9" width="0.85546875" customWidth="1" collapsed="1"/>
    <col min="10" max="10" width="68.7109375" customWidth="1"/>
    <col min="11" max="11" width="0.85546875" customWidth="1"/>
    <col min="12" max="12" width="41.42578125" style="15" customWidth="1"/>
    <col min="13" max="13" width="0.85546875" style="15" customWidth="1"/>
    <col min="14" max="14" width="20.7109375" customWidth="1"/>
    <col min="15" max="15" width="11.28515625" bestFit="1" customWidth="1"/>
  </cols>
  <sheetData>
    <row r="1" spans="1:12" hidden="1" outlineLevel="1" collapsed="1" x14ac:dyDescent="0.25">
      <c r="A1" t="s">
        <v>3</v>
      </c>
    </row>
    <row r="2" spans="1:12" hidden="1" outlineLevel="1" x14ac:dyDescent="0.25">
      <c r="A2">
        <f>0</f>
        <v>0</v>
      </c>
      <c r="J2" s="1"/>
      <c r="L2" s="28"/>
    </row>
    <row r="3" spans="1:12" hidden="1" outlineLevel="1" x14ac:dyDescent="0.25">
      <c r="A3">
        <f>1</f>
        <v>1</v>
      </c>
      <c r="J3" s="3"/>
      <c r="L3" s="29"/>
    </row>
    <row r="4" spans="1:12" hidden="1" outlineLevel="1" x14ac:dyDescent="0.25">
      <c r="A4">
        <f>2</f>
        <v>2</v>
      </c>
      <c r="J4" s="3"/>
      <c r="L4" s="29"/>
    </row>
    <row r="5" spans="1:12" hidden="1" outlineLevel="1" x14ac:dyDescent="0.25">
      <c r="A5">
        <f>3</f>
        <v>3</v>
      </c>
      <c r="J5" s="3"/>
      <c r="L5" s="29"/>
    </row>
    <row r="6" spans="1:12" hidden="1" outlineLevel="1" x14ac:dyDescent="0.25">
      <c r="A6" t="s">
        <v>1</v>
      </c>
      <c r="J6" s="3"/>
      <c r="L6" s="29"/>
    </row>
    <row r="7" spans="1:12" hidden="1" outlineLevel="1" x14ac:dyDescent="0.25">
      <c r="A7" t="s">
        <v>2</v>
      </c>
      <c r="J7" s="17"/>
      <c r="L7" s="30"/>
    </row>
    <row r="8" spans="1:12" hidden="1" outlineLevel="1" x14ac:dyDescent="0.25">
      <c r="A8" t="s">
        <v>4</v>
      </c>
    </row>
    <row r="9" spans="1:12" hidden="1" outlineLevel="1" x14ac:dyDescent="0.25"/>
    <row r="10" spans="1:12" hidden="1" outlineLevel="1" x14ac:dyDescent="0.25"/>
    <row r="11" spans="1:12" hidden="1" outlineLevel="1" x14ac:dyDescent="0.25">
      <c r="B11" s="33" t="s">
        <v>5</v>
      </c>
      <c r="C11" s="34"/>
      <c r="D11" s="35"/>
    </row>
    <row r="12" spans="1:12" hidden="1" outlineLevel="1" x14ac:dyDescent="0.25">
      <c r="B12" s="4" t="s">
        <v>6</v>
      </c>
      <c r="C12" s="5" t="s">
        <v>403</v>
      </c>
      <c r="D12" s="6"/>
    </row>
    <row r="13" spans="1:12" hidden="1" outlineLevel="1" x14ac:dyDescent="0.25">
      <c r="B13" s="4" t="s">
        <v>7</v>
      </c>
      <c r="C13" s="7" t="str">
        <f ca="1">_xll.VIEW(db_name&amp;":}ElementAttributes_}Clients","!","!")</f>
        <v>dcceew_geus:}ElementAttributes_}Clients</v>
      </c>
      <c r="D13" s="6"/>
    </row>
    <row r="14" spans="1:12" hidden="1" outlineLevel="1" x14ac:dyDescent="0.25">
      <c r="B14" s="4" t="s">
        <v>8</v>
      </c>
      <c r="C14" s="5" t="str">
        <f ca="1">_xll.TM1USER(db_name)</f>
        <v/>
      </c>
      <c r="D14" s="6"/>
    </row>
    <row r="15" spans="1:12" hidden="1" outlineLevel="1" x14ac:dyDescent="0.25">
      <c r="B15" s="4" t="s">
        <v>9</v>
      </c>
      <c r="C15" s="5" t="str">
        <f ca="1">_xll.DBR($C$13,$C$14,$B15)</f>
        <v>*KEY_ERR</v>
      </c>
      <c r="D15" s="6"/>
    </row>
    <row r="16" spans="1:12" hidden="1" outlineLevel="1" x14ac:dyDescent="0.25">
      <c r="B16" s="4" t="s">
        <v>10</v>
      </c>
      <c r="C16" s="5" t="str">
        <f ca="1">_xll.DBR($C$13,$C$14,$B16)</f>
        <v>*KEY_ERR</v>
      </c>
      <c r="D16" s="6"/>
    </row>
    <row r="17" spans="2:8" hidden="1" outlineLevel="1" x14ac:dyDescent="0.25">
      <c r="B17" s="4" t="s">
        <v>11</v>
      </c>
      <c r="C17" s="5" t="str">
        <f ca="1">IF(LEFT($C$15,6)="CAM_AD",$C$16,$C$15)</f>
        <v>*KEY_ERR</v>
      </c>
      <c r="D17" s="8"/>
    </row>
    <row r="18" spans="2:8" hidden="1" outlineLevel="1" x14ac:dyDescent="0.25"/>
    <row r="19" spans="2:8" hidden="1" outlineLevel="1" x14ac:dyDescent="0.25">
      <c r="B19" s="33" t="s">
        <v>12</v>
      </c>
      <c r="C19" s="34"/>
      <c r="D19" s="35"/>
    </row>
    <row r="20" spans="2:8" hidden="1" outlineLevel="1" x14ac:dyDescent="0.25">
      <c r="B20" s="4" t="s">
        <v>13</v>
      </c>
      <c r="C20" s="8" t="str">
        <f ca="1">_xll.VIEW(db_name&amp;":}ElementAttributes_variables","!","!")</f>
        <v>dcceew_geus:}ElementAttributes_variables</v>
      </c>
      <c r="D20" s="8"/>
    </row>
    <row r="21" spans="2:8" hidden="1" outlineLevel="1" x14ac:dyDescent="0.25">
      <c r="B21" s="4" t="s">
        <v>0</v>
      </c>
      <c r="C21" s="8" t="str">
        <f ca="1">_xll.DBR($C$20,$B21,"value")</f>
        <v>*KEY_ERR</v>
      </c>
      <c r="D21" s="8"/>
    </row>
    <row r="22" spans="2:8" hidden="1" outlineLevel="1" x14ac:dyDescent="0.25">
      <c r="B22" s="4" t="s">
        <v>14</v>
      </c>
      <c r="C22" s="8" t="str">
        <f ca="1">_xll.DBR($C$20,$B22,"value")</f>
        <v>*KEY_ERR</v>
      </c>
      <c r="D22" s="8"/>
    </row>
    <row r="23" spans="2:8" hidden="1" outlineLevel="1" x14ac:dyDescent="0.25">
      <c r="B23" s="4" t="s">
        <v>15</v>
      </c>
      <c r="C23" s="8" t="str">
        <f ca="1">_xll.DBR($C$20,$B23,"value")</f>
        <v>*KEY_ERR</v>
      </c>
      <c r="D23" s="8"/>
    </row>
    <row r="24" spans="2:8" hidden="1" outlineLevel="1" x14ac:dyDescent="0.25">
      <c r="B24" s="4" t="s">
        <v>16</v>
      </c>
      <c r="C24" s="8" t="str">
        <f ca="1">_xll.DBR($C$20,$B24,"value")</f>
        <v>*KEY_ERR</v>
      </c>
      <c r="D24" s="8"/>
    </row>
    <row r="25" spans="2:8" hidden="1" outlineLevel="1" x14ac:dyDescent="0.25">
      <c r="B25" s="4" t="s">
        <v>17</v>
      </c>
      <c r="C25" s="8" t="str">
        <f ca="1">_xll.DBR($C$20,$B25,"value")</f>
        <v>*KEY_ERR</v>
      </c>
      <c r="D25" s="8"/>
    </row>
    <row r="26" spans="2:8" hidden="1" outlineLevel="1" x14ac:dyDescent="0.25"/>
    <row r="27" spans="2:8" hidden="1" outlineLevel="1" x14ac:dyDescent="0.25">
      <c r="B27" s="33" t="s">
        <v>18</v>
      </c>
      <c r="C27" s="34"/>
      <c r="D27" s="35"/>
    </row>
    <row r="28" spans="2:8" hidden="1" outlineLevel="1" x14ac:dyDescent="0.25">
      <c r="B28" s="4" t="s">
        <v>19</v>
      </c>
      <c r="C28" s="8" t="str">
        <f ca="1">_xll.VIEW(db_name&amp;":sys_application","!","!")</f>
        <v>dcceew_geus:sys_application</v>
      </c>
      <c r="D28" s="8"/>
    </row>
    <row r="29" spans="2:8" hidden="1" outlineLevel="1" x14ac:dyDescent="0.25">
      <c r="B29" s="4" t="s">
        <v>20</v>
      </c>
      <c r="C29" s="8" t="s">
        <v>395</v>
      </c>
      <c r="D29" s="8"/>
    </row>
    <row r="30" spans="2:8" hidden="1" outlineLevel="1" x14ac:dyDescent="0.25">
      <c r="B30" s="8"/>
      <c r="C30" s="4" t="s">
        <v>21</v>
      </c>
      <c r="D30" s="4" t="s">
        <v>22</v>
      </c>
      <c r="E30" s="4" t="s">
        <v>23</v>
      </c>
      <c r="F30" s="4" t="s">
        <v>24</v>
      </c>
      <c r="G30" s="4" t="s">
        <v>25</v>
      </c>
      <c r="H30" s="4" t="s">
        <v>26</v>
      </c>
    </row>
    <row r="31" spans="2:8" hidden="1" outlineLevel="1" x14ac:dyDescent="0.25">
      <c r="B31" s="8" t="s">
        <v>27</v>
      </c>
      <c r="C31" s="8" t="str">
        <f ca="1">_xll.DBR($C$28,$B31,C$30)</f>
        <v>*KEY_ERR</v>
      </c>
      <c r="D31" s="8" t="str">
        <f ca="1">_xll.DBR($C$28,$B31,D$30)</f>
        <v>*KEY_ERR</v>
      </c>
      <c r="E31" s="8" t="str">
        <f ca="1">_xll.DBR($C$28,$B31,E$30)</f>
        <v>*KEY_ERR</v>
      </c>
      <c r="F31" s="8" t="str">
        <f ca="1">_xll.DBR($C$28,$B31,F$30)</f>
        <v>*KEY_ERR</v>
      </c>
      <c r="G31" s="8" t="str">
        <f ca="1">_xll.DBR($C$28,$B31,G$30)</f>
        <v>*KEY_ERR</v>
      </c>
      <c r="H31" s="8" t="str">
        <f ca="1">_xll.DBR($C$28,$B31,H$30)</f>
        <v>*KEY_ERR</v>
      </c>
    </row>
    <row r="32" spans="2:8" hidden="1" outlineLevel="1" x14ac:dyDescent="0.25">
      <c r="B32" s="8" t="s">
        <v>28</v>
      </c>
      <c r="C32" s="8" t="str">
        <f ca="1">_xll.DBR($C$28,$B32,C$30)</f>
        <v>*KEY_ERR</v>
      </c>
      <c r="D32" s="8" t="str">
        <f ca="1">_xll.DBR($C$28,$B32,D$30)</f>
        <v>*KEY_ERR</v>
      </c>
      <c r="E32" s="8" t="str">
        <f ca="1">_xll.DBR($C$28,$B32,E$30)</f>
        <v>*KEY_ERR</v>
      </c>
      <c r="F32" s="8" t="str">
        <f ca="1">_xll.DBR($C$28,$B32,F$30)</f>
        <v>*KEY_ERR</v>
      </c>
      <c r="G32" s="8" t="str">
        <f ca="1">_xll.DBR($C$28,$B32,G$30)</f>
        <v>*KEY_ERR</v>
      </c>
      <c r="H32" s="8" t="str">
        <f ca="1">_xll.DBR($C$28,$B32,H$30)</f>
        <v>*KEY_ERR</v>
      </c>
    </row>
    <row r="33" spans="2:8" hidden="1" outlineLevel="1" x14ac:dyDescent="0.25">
      <c r="B33" s="8" t="s">
        <v>29</v>
      </c>
      <c r="C33" s="8" t="str">
        <f ca="1">_xll.DBR($C$28,$B33,C$30)</f>
        <v>*KEY_ERR</v>
      </c>
      <c r="D33" s="8" t="str">
        <f ca="1">_xll.DBR($C$28,$B33,D$30)</f>
        <v>*KEY_ERR</v>
      </c>
      <c r="E33" s="8" t="str">
        <f ca="1">_xll.DBR($C$28,$B33,E$30)</f>
        <v>*KEY_ERR</v>
      </c>
      <c r="F33" s="8" t="str">
        <f ca="1">_xll.DBR($C$28,$B33,F$30)</f>
        <v>*KEY_ERR</v>
      </c>
      <c r="G33" s="8" t="str">
        <f ca="1">_xll.DBR($C$28,$B33,G$30)</f>
        <v>*KEY_ERR</v>
      </c>
      <c r="H33" s="8" t="str">
        <f ca="1">_xll.DBR($C$28,$B33,H$30)</f>
        <v>*KEY_ERR</v>
      </c>
    </row>
    <row r="34" spans="2:8" hidden="1" outlineLevel="1" x14ac:dyDescent="0.25">
      <c r="B34" s="8" t="s">
        <v>30</v>
      </c>
      <c r="C34" s="8" t="str">
        <f ca="1">_xll.DBR($C$28,$B34,C$30)</f>
        <v>*KEY_ERR</v>
      </c>
      <c r="D34" s="8" t="str">
        <f ca="1">_xll.DBR($C$28,$B34,D$30)</f>
        <v>*KEY_ERR</v>
      </c>
      <c r="E34" s="8" t="str">
        <f ca="1">_xll.DBR($C$28,$B34,E$30)</f>
        <v>*KEY_ERR</v>
      </c>
      <c r="F34" s="8" t="str">
        <f ca="1">_xll.DBR($C$28,$B34,F$30)</f>
        <v>*KEY_ERR</v>
      </c>
      <c r="G34" s="8" t="str">
        <f ca="1">_xll.DBR($C$28,$B34,G$30)</f>
        <v>*KEY_ERR</v>
      </c>
      <c r="H34" s="8" t="str">
        <f ca="1">_xll.DBR($C$28,$B34,H$30)</f>
        <v>*KEY_ERR</v>
      </c>
    </row>
    <row r="35" spans="2:8" hidden="1" outlineLevel="1" x14ac:dyDescent="0.25">
      <c r="B35" s="8" t="s">
        <v>31</v>
      </c>
      <c r="C35" s="8" t="str">
        <f ca="1">_xll.DBR($C$28,$B35,C$30)</f>
        <v>*KEY_ERR</v>
      </c>
      <c r="D35" s="8" t="str">
        <f ca="1">_xll.DBR($C$28,$B35,D$30)</f>
        <v>*KEY_ERR</v>
      </c>
      <c r="E35" s="8" t="str">
        <f ca="1">_xll.DBR($C$28,$B35,E$30)</f>
        <v>*KEY_ERR</v>
      </c>
      <c r="F35" s="8" t="str">
        <f ca="1">_xll.DBR($C$28,$B35,F$30)</f>
        <v>*KEY_ERR</v>
      </c>
      <c r="G35" s="8" t="str">
        <f ca="1">_xll.DBR($C$28,$B35,G$30)</f>
        <v>*KEY_ERR</v>
      </c>
      <c r="H35" s="8" t="str">
        <f ca="1">_xll.DBR($C$28,$B35,H$30)</f>
        <v>*KEY_ERR</v>
      </c>
    </row>
    <row r="36" spans="2:8" hidden="1" outlineLevel="1" x14ac:dyDescent="0.25">
      <c r="B36" s="8" t="s">
        <v>396</v>
      </c>
      <c r="C36" s="8" t="str">
        <f ca="1">_xll.DBR($C$28,$B36,C$30)</f>
        <v>*KEY_ERR</v>
      </c>
      <c r="D36" s="8" t="str">
        <f ca="1">_xll.DBR($C$28,$B36,D$30)</f>
        <v>*KEY_ERR</v>
      </c>
      <c r="E36" s="8" t="str">
        <f ca="1">_xll.DBR($C$28,$B36,E$30)</f>
        <v>*KEY_ERR</v>
      </c>
      <c r="F36" s="8" t="str">
        <f ca="1">_xll.DBR($C$28,$B36,F$30)</f>
        <v>*KEY_ERR</v>
      </c>
      <c r="G36" s="8" t="str">
        <f ca="1">_xll.DBR($C$28,$B36,G$30)</f>
        <v>*KEY_ERR</v>
      </c>
      <c r="H36" s="8" t="str">
        <f ca="1">_xll.DBR($C$28,$B36,H$30)</f>
        <v>*KEY_ERR</v>
      </c>
    </row>
    <row r="37" spans="2:8" hidden="1" outlineLevel="1" x14ac:dyDescent="0.25">
      <c r="B37" s="8" t="s">
        <v>402</v>
      </c>
      <c r="C37" s="8" t="str">
        <f ca="1">_xll.DBR($C$28,$B37,C$30)</f>
        <v>*KEY_ERR</v>
      </c>
      <c r="D37" s="8" t="str">
        <f ca="1">_xll.DBR($C$28,$B37,D$30)</f>
        <v>*KEY_ERR</v>
      </c>
      <c r="E37" s="8" t="str">
        <f ca="1">_xll.DBR($C$28,$B37,E$30)</f>
        <v>*KEY_ERR</v>
      </c>
      <c r="F37" s="8" t="str">
        <f ca="1">_xll.DBR($C$28,$B37,F$30)</f>
        <v>*KEY_ERR</v>
      </c>
      <c r="G37" s="8" t="str">
        <f ca="1">_xll.DBR($C$28,$B37,G$30)</f>
        <v>*KEY_ERR</v>
      </c>
      <c r="H37" s="8" t="str">
        <f ca="1">_xll.DBR($C$28,$B37,H$30)</f>
        <v>*KEY_ERR</v>
      </c>
    </row>
    <row r="38" spans="2:8" hidden="1" outlineLevel="1" x14ac:dyDescent="0.25">
      <c r="B38" s="8" t="s">
        <v>392</v>
      </c>
      <c r="C38" s="8" t="str">
        <f ca="1">_xll.DBR($C$28,$B38,C$30)</f>
        <v>*KEY_ERR</v>
      </c>
      <c r="D38" s="8" t="str">
        <f ca="1">_xll.DBR($C$28,$B38,D$30)</f>
        <v>*KEY_ERR</v>
      </c>
      <c r="E38" s="8" t="str">
        <f ca="1">_xll.DBR($C$28,$B38,E$30)</f>
        <v>*KEY_ERR</v>
      </c>
      <c r="F38" s="8" t="str">
        <f ca="1">_xll.DBR($C$28,$B38,F$30)</f>
        <v>*KEY_ERR</v>
      </c>
      <c r="G38" s="8" t="str">
        <f ca="1">_xll.DBR($C$28,$B38,G$30)</f>
        <v>*KEY_ERR</v>
      </c>
      <c r="H38" s="8" t="str">
        <f ca="1">_xll.DBR($C$28,$B38,H$30)</f>
        <v>*KEY_ERR</v>
      </c>
    </row>
    <row r="39" spans="2:8" hidden="1" outlineLevel="1" x14ac:dyDescent="0.25">
      <c r="B39" s="8" t="s">
        <v>394</v>
      </c>
      <c r="C39" s="8" t="str">
        <f ca="1">_xll.DBR($C$28,$B39,C$30)</f>
        <v>*KEY_ERR</v>
      </c>
      <c r="D39" s="8" t="str">
        <f ca="1">_xll.DBR($C$28,$B39,D$30)</f>
        <v>*KEY_ERR</v>
      </c>
      <c r="E39" s="8" t="str">
        <f ca="1">_xll.DBR($C$28,$B39,E$30)</f>
        <v>*KEY_ERR</v>
      </c>
      <c r="F39" s="8" t="str">
        <f ca="1">_xll.DBR($C$28,$B39,F$30)</f>
        <v>*KEY_ERR</v>
      </c>
      <c r="G39" s="8" t="str">
        <f ca="1">_xll.DBR($C$28,$B39,G$30)</f>
        <v>*KEY_ERR</v>
      </c>
      <c r="H39" s="8" t="str">
        <f ca="1">_xll.DBR($C$28,$B39,H$30)</f>
        <v>*KEY_ERR</v>
      </c>
    </row>
    <row r="40" spans="2:8" hidden="1" outlineLevel="1" x14ac:dyDescent="0.25">
      <c r="B40" s="8" t="s">
        <v>393</v>
      </c>
      <c r="C40" s="8" t="str">
        <f ca="1">_xll.DBR($C$28,$B40,C$30)</f>
        <v>*KEY_ERR</v>
      </c>
      <c r="D40" s="8" t="str">
        <f ca="1">_xll.DBR($C$28,$B40,D$30)</f>
        <v>*KEY_ERR</v>
      </c>
      <c r="E40" s="8" t="str">
        <f ca="1">_xll.DBR($C$28,$B40,E$30)</f>
        <v>*KEY_ERR</v>
      </c>
      <c r="F40" s="8" t="str">
        <f ca="1">_xll.DBR($C$28,$B40,F$30)</f>
        <v>*KEY_ERR</v>
      </c>
      <c r="G40" s="8" t="str">
        <f ca="1">_xll.DBR($C$28,$B40,G$30)</f>
        <v>*KEY_ERR</v>
      </c>
      <c r="H40" s="8" t="str">
        <f ca="1">_xll.DBR($C$28,$B40,H$30)</f>
        <v>*KEY_ERR</v>
      </c>
    </row>
    <row r="41" spans="2:8" hidden="1" outlineLevel="1" x14ac:dyDescent="0.25">
      <c r="B41" s="9" t="s">
        <v>32</v>
      </c>
      <c r="C41" s="10" t="s">
        <v>33</v>
      </c>
    </row>
    <row r="42" spans="2:8" ht="17.25" hidden="1" customHeight="1" outlineLevel="1" x14ac:dyDescent="0.25"/>
    <row r="43" spans="2:8" hidden="1" outlineLevel="1" x14ac:dyDescent="0.25">
      <c r="B43" s="33" t="s">
        <v>34</v>
      </c>
      <c r="C43" s="34"/>
      <c r="D43" s="35"/>
    </row>
    <row r="44" spans="2:8" hidden="1" outlineLevel="1" x14ac:dyDescent="0.25">
      <c r="B44" s="4" t="s">
        <v>35</v>
      </c>
      <c r="C44" s="8" t="str">
        <f ca="1">_xll.TM1RPTVIEW(db_name&amp;":programme details:2", 0, _xll.TM1RPTTITLE(db_name&amp;":headline year",$L$60), _xll.TM1RPTTITLE(db_name&amp;":scenario",$L$61),TM1RPTFMTRNG,TM1RPTFMTIDCOL)</f>
        <v>dcceew_geus:programme details:2</v>
      </c>
    </row>
    <row r="45" spans="2:8" hidden="1" outlineLevel="1" x14ac:dyDescent="0.25">
      <c r="B45" s="4" t="s">
        <v>36</v>
      </c>
      <c r="C45" s="8" t="str">
        <f ca="1">_xll.VIEW(db_name&amp;":programme details",psHLYear,psScenario,"!","!")</f>
        <v>dcceew_geus:programme details</v>
      </c>
    </row>
    <row r="46" spans="2:8" hidden="1" outlineLevel="1" x14ac:dyDescent="0.25">
      <c r="B46" s="4" t="s">
        <v>37</v>
      </c>
      <c r="C46" s="8" t="str">
        <f ca="1">IF($O$60="Expand",$C48,$C49)</f>
        <v>{[programme].[]}</v>
      </c>
      <c r="D46" s="6"/>
    </row>
    <row r="47" spans="2:8" hidden="1" outlineLevel="1" x14ac:dyDescent="0.25">
      <c r="B47" s="4" t="s">
        <v>38</v>
      </c>
      <c r="C47" s="8" t="s">
        <v>397</v>
      </c>
    </row>
    <row r="48" spans="2:8" hidden="1" outlineLevel="1" x14ac:dyDescent="0.25">
      <c r="B48" s="4" t="s">
        <v>388</v>
      </c>
      <c r="C48" s="8" t="str">
        <f ca="1">"{TM1DRILLDOWNMEMBER( {[programme].[" &amp; $L$62 &amp; "]}, ALL, RECURSIVE )}"</f>
        <v>{TM1DRILLDOWNMEMBER( {[programme].[]}, ALL, RECURSIVE )}</v>
      </c>
    </row>
    <row r="49" spans="2:15" hidden="1" outlineLevel="1" x14ac:dyDescent="0.25">
      <c r="B49" s="23" t="s">
        <v>389</v>
      </c>
      <c r="C49" t="str">
        <f ca="1">"{[programme].[" &amp; $L$62 &amp; "]}"</f>
        <v>{[programme].[]}</v>
      </c>
    </row>
    <row r="50" spans="2:15" s="13" customFormat="1" hidden="1" outlineLevel="1" x14ac:dyDescent="0.25">
      <c r="J50" s="14" t="s">
        <v>39</v>
      </c>
      <c r="L50" s="18" t="s">
        <v>390</v>
      </c>
      <c r="M50" s="15"/>
      <c r="N50"/>
      <c r="O50"/>
    </row>
    <row r="51" spans="2:15" hidden="1" outlineLevel="1" x14ac:dyDescent="0.25"/>
    <row r="52" spans="2:15" hidden="1" outlineLevel="1" x14ac:dyDescent="0.25"/>
    <row r="53" spans="2:15" ht="39.75" customHeight="1" collapsed="1" x14ac:dyDescent="0.25">
      <c r="I53" s="11"/>
      <c r="J53" s="11"/>
      <c r="K53" s="11"/>
      <c r="L53" s="16"/>
      <c r="M53" s="16"/>
      <c r="N53" s="11"/>
      <c r="O53" s="11" t="s">
        <v>398</v>
      </c>
    </row>
    <row r="54" spans="2:15" ht="4.5" customHeight="1" x14ac:dyDescent="0.25"/>
    <row r="55" spans="2:15" ht="24" customHeight="1" x14ac:dyDescent="0.25"/>
    <row r="56" spans="2:15" ht="1.5" customHeight="1" x14ac:dyDescent="0.25">
      <c r="I56" s="11"/>
      <c r="J56" s="11"/>
      <c r="K56" s="11"/>
      <c r="L56" s="16"/>
      <c r="M56" s="16"/>
      <c r="N56" s="11"/>
      <c r="O56" s="11"/>
    </row>
    <row r="57" spans="2:15" ht="15" customHeight="1" collapsed="1" x14ac:dyDescent="0.25">
      <c r="J57" s="36" t="s">
        <v>399</v>
      </c>
      <c r="K57" s="36"/>
      <c r="L57" s="36"/>
      <c r="M57" s="36"/>
      <c r="N57" s="36"/>
      <c r="O57" s="36"/>
    </row>
    <row r="58" spans="2:15" ht="4.5" customHeight="1" x14ac:dyDescent="0.25">
      <c r="J58" s="27"/>
      <c r="M58" s="21"/>
    </row>
    <row r="59" spans="2:15" ht="15.75" thickBot="1" x14ac:dyDescent="0.3">
      <c r="J59" s="27"/>
      <c r="L59" s="25" t="s">
        <v>40</v>
      </c>
      <c r="M59" s="21"/>
      <c r="N59" s="31" t="s">
        <v>386</v>
      </c>
      <c r="O59" s="32"/>
    </row>
    <row r="60" spans="2:15" ht="15.75" thickBot="1" x14ac:dyDescent="0.3">
      <c r="J60" s="12" t="s">
        <v>385</v>
      </c>
      <c r="L60" s="26" t="str">
        <f ca="1">_xll.SUBNM(db_name&amp;":headline year","sys_all-n",$C$21)</f>
        <v/>
      </c>
      <c r="M60" s="21"/>
      <c r="N60" s="12" t="s">
        <v>387</v>
      </c>
      <c r="O60" s="22" t="str">
        <f ca="1">_xll.SUBNM(db_name&amp;":sys_report display","","Expand")</f>
        <v/>
      </c>
    </row>
    <row r="61" spans="2:15" x14ac:dyDescent="0.25">
      <c r="J61" s="12" t="s">
        <v>41</v>
      </c>
      <c r="L61" s="26" t="str">
        <f ca="1">_xll.SUBNM(db_name&amp;":scenario","sys_Budget Round",$C$22)</f>
        <v/>
      </c>
      <c r="M61" s="21"/>
    </row>
    <row r="62" spans="2:15" x14ac:dyDescent="0.25">
      <c r="J62" s="12" t="s">
        <v>401</v>
      </c>
      <c r="L62" s="26" t="str">
        <f ca="1">_xll.SUBNM(db_name&amp;":programme","","Total programmes","code and description")</f>
        <v/>
      </c>
      <c r="M62" s="21"/>
    </row>
    <row r="63" spans="2:15" ht="4.5" customHeight="1" x14ac:dyDescent="0.25">
      <c r="M63" s="21"/>
    </row>
    <row r="64" spans="2:15" ht="30" x14ac:dyDescent="0.25">
      <c r="J64" s="19" t="s">
        <v>400</v>
      </c>
      <c r="L64" s="20" t="s">
        <v>391</v>
      </c>
      <c r="M64" s="21"/>
    </row>
    <row r="65" spans="1:13" x14ac:dyDescent="0.25">
      <c r="A65" t="str">
        <f ca="1">IF(_xll.TM1RPTELISCONSOLIDATED($J$65,$J65),IF(_xll.TM1RPTELLEV($J$65,$J65)&lt;=3,_xll.TM1RPTELLEV($J$65,$J65),"D"),"N")</f>
        <v>N</v>
      </c>
      <c r="J65" s="24" t="str">
        <f ca="1">_xll.TM1RPTROW($C$44,db_name&amp;":programme","",,"code and description",0,$C$46)</f>
        <v/>
      </c>
      <c r="L65" s="2" t="str">
        <f ca="1">_xll.DBRW($C$44,$L$60,$L$61,$J65,L$50)</f>
        <v/>
      </c>
      <c r="M65" s="21"/>
    </row>
  </sheetData>
  <sheetProtection sheet="1" objects="1" scenarios="1"/>
  <mergeCells count="6">
    <mergeCell ref="N59:O59"/>
    <mergeCell ref="B11:D11"/>
    <mergeCell ref="B19:D19"/>
    <mergeCell ref="B27:D27"/>
    <mergeCell ref="B43:D43"/>
    <mergeCell ref="J57:O57"/>
  </mergeCells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9</xdr:col>
                <xdr:colOff>0</xdr:colOff>
                <xdr:row>54</xdr:row>
                <xdr:rowOff>0</xdr:rowOff>
              </from>
              <to>
                <xdr:col>9</xdr:col>
                <xdr:colOff>638175</xdr:colOff>
                <xdr:row>54</xdr:row>
                <xdr:rowOff>247650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9</xdr:col>
                <xdr:colOff>676275</xdr:colOff>
                <xdr:row>54</xdr:row>
                <xdr:rowOff>0</xdr:rowOff>
              </from>
              <to>
                <xdr:col>9</xdr:col>
                <xdr:colOff>2286000</xdr:colOff>
                <xdr:row>54</xdr:row>
                <xdr:rowOff>247650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8" r:id="rId8" name="TIButton4">
          <controlPr defaultSize="0" print="0" autoLine="0" r:id="rId9">
            <anchor moveWithCells="1" sizeWithCells="1">
              <from>
                <xdr:col>9</xdr:col>
                <xdr:colOff>3648075</xdr:colOff>
                <xdr:row>54</xdr:row>
                <xdr:rowOff>0</xdr:rowOff>
              </from>
              <to>
                <xdr:col>11</xdr:col>
                <xdr:colOff>180975</xdr:colOff>
                <xdr:row>54</xdr:row>
                <xdr:rowOff>247650</xdr:rowOff>
              </to>
            </anchor>
          </controlPr>
        </control>
      </mc:Choice>
      <mc:Fallback>
        <control shapeId="1028" r:id="rId8" name="TIButton4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14</xdr:col>
                <xdr:colOff>428625</xdr:colOff>
                <xdr:row>53</xdr:row>
                <xdr:rowOff>38100</xdr:rowOff>
              </from>
              <to>
                <xdr:col>14</xdr:col>
                <xdr:colOff>742950</xdr:colOff>
                <xdr:row>54</xdr:row>
                <xdr:rowOff>295275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30" r:id="rId12" name="TIButton6">
          <controlPr defaultSize="0" print="0" autoLine="0" r:id="rId13">
            <anchor moveWithCells="1" sizeWithCells="1">
              <from>
                <xdr:col>9</xdr:col>
                <xdr:colOff>2314575</xdr:colOff>
                <xdr:row>54</xdr:row>
                <xdr:rowOff>0</xdr:rowOff>
              </from>
              <to>
                <xdr:col>9</xdr:col>
                <xdr:colOff>3552825</xdr:colOff>
                <xdr:row>54</xdr:row>
                <xdr:rowOff>247650</xdr:rowOff>
              </to>
            </anchor>
          </controlPr>
        </control>
      </mc:Choice>
      <mc:Fallback>
        <control shapeId="1030" r:id="rId12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44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372</v>
      </c>
    </row>
    <row r="3" spans="1:1" x14ac:dyDescent="0.25">
      <c r="A3" t="s">
        <v>382</v>
      </c>
    </row>
    <row r="4" spans="1:1" x14ac:dyDescent="0.25">
      <c r="A4" t="s">
        <v>383</v>
      </c>
    </row>
    <row r="5" spans="1:1" x14ac:dyDescent="0.25">
      <c r="A5" t="s">
        <v>384</v>
      </c>
    </row>
    <row r="6" spans="1:1" x14ac:dyDescent="0.25">
      <c r="A6" t="s">
        <v>373</v>
      </c>
    </row>
    <row r="7" spans="1:1" x14ac:dyDescent="0.25">
      <c r="A7" t="s">
        <v>374</v>
      </c>
    </row>
    <row r="8" spans="1:1" x14ac:dyDescent="0.25">
      <c r="A8" t="s">
        <v>375</v>
      </c>
    </row>
    <row r="9" spans="1:1" x14ac:dyDescent="0.25">
      <c r="A9" t="s">
        <v>376</v>
      </c>
    </row>
    <row r="10" spans="1:1" x14ac:dyDescent="0.25">
      <c r="A10" t="s">
        <v>377</v>
      </c>
    </row>
    <row r="11" spans="1:1" x14ac:dyDescent="0.25">
      <c r="A11" t="s">
        <v>378</v>
      </c>
    </row>
    <row r="12" spans="1:1" x14ac:dyDescent="0.25">
      <c r="A12" t="s">
        <v>379</v>
      </c>
    </row>
    <row r="13" spans="1:1" x14ac:dyDescent="0.25">
      <c r="A13" t="s">
        <v>380</v>
      </c>
    </row>
    <row r="14" spans="1:1" x14ac:dyDescent="0.25">
      <c r="A14" t="s">
        <v>381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  <row r="52" spans="1:1" x14ac:dyDescent="0.25">
      <c r="A52" t="s">
        <v>79</v>
      </c>
    </row>
    <row r="53" spans="1:1" x14ac:dyDescent="0.25">
      <c r="A53" t="s">
        <v>80</v>
      </c>
    </row>
    <row r="54" spans="1:1" x14ac:dyDescent="0.25">
      <c r="A54" t="s">
        <v>81</v>
      </c>
    </row>
    <row r="55" spans="1:1" x14ac:dyDescent="0.25">
      <c r="A55" t="s">
        <v>82</v>
      </c>
    </row>
    <row r="56" spans="1:1" x14ac:dyDescent="0.25">
      <c r="A56" t="s">
        <v>83</v>
      </c>
    </row>
    <row r="57" spans="1:1" x14ac:dyDescent="0.25">
      <c r="A57" t="s">
        <v>84</v>
      </c>
    </row>
    <row r="58" spans="1:1" x14ac:dyDescent="0.25">
      <c r="A58" t="s">
        <v>85</v>
      </c>
    </row>
    <row r="59" spans="1:1" x14ac:dyDescent="0.25">
      <c r="A59" t="s">
        <v>86</v>
      </c>
    </row>
    <row r="60" spans="1:1" x14ac:dyDescent="0.25">
      <c r="A60" t="s">
        <v>87</v>
      </c>
    </row>
    <row r="61" spans="1:1" x14ac:dyDescent="0.25">
      <c r="A61" t="s">
        <v>88</v>
      </c>
    </row>
    <row r="62" spans="1:1" x14ac:dyDescent="0.25">
      <c r="A62" t="s">
        <v>89</v>
      </c>
    </row>
    <row r="63" spans="1:1" x14ac:dyDescent="0.25">
      <c r="A63" t="s">
        <v>90</v>
      </c>
    </row>
    <row r="64" spans="1:1" x14ac:dyDescent="0.25">
      <c r="A64" t="s">
        <v>91</v>
      </c>
    </row>
    <row r="65" spans="1:1" x14ac:dyDescent="0.25">
      <c r="A65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0" spans="1:1" x14ac:dyDescent="0.25">
      <c r="A70" t="s">
        <v>97</v>
      </c>
    </row>
    <row r="71" spans="1:1" x14ac:dyDescent="0.25">
      <c r="A71" t="s">
        <v>98</v>
      </c>
    </row>
    <row r="72" spans="1:1" x14ac:dyDescent="0.25">
      <c r="A72" t="s">
        <v>99</v>
      </c>
    </row>
    <row r="73" spans="1:1" x14ac:dyDescent="0.25">
      <c r="A73" t="s">
        <v>100</v>
      </c>
    </row>
    <row r="74" spans="1:1" x14ac:dyDescent="0.25">
      <c r="A74" t="s">
        <v>101</v>
      </c>
    </row>
    <row r="75" spans="1:1" x14ac:dyDescent="0.25">
      <c r="A75" t="s">
        <v>102</v>
      </c>
    </row>
    <row r="76" spans="1:1" x14ac:dyDescent="0.25">
      <c r="A76" t="s">
        <v>103</v>
      </c>
    </row>
    <row r="77" spans="1:1" x14ac:dyDescent="0.25">
      <c r="A77" t="s">
        <v>104</v>
      </c>
    </row>
    <row r="78" spans="1:1" x14ac:dyDescent="0.25">
      <c r="A78" t="s">
        <v>105</v>
      </c>
    </row>
    <row r="79" spans="1:1" x14ac:dyDescent="0.25">
      <c r="A79" t="s">
        <v>106</v>
      </c>
    </row>
    <row r="80" spans="1:1" x14ac:dyDescent="0.25">
      <c r="A80" t="s">
        <v>107</v>
      </c>
    </row>
    <row r="81" spans="1:1" x14ac:dyDescent="0.25">
      <c r="A81" t="s">
        <v>108</v>
      </c>
    </row>
    <row r="82" spans="1:1" x14ac:dyDescent="0.25">
      <c r="A82" t="s">
        <v>109</v>
      </c>
    </row>
    <row r="83" spans="1:1" x14ac:dyDescent="0.25">
      <c r="A83" t="s">
        <v>110</v>
      </c>
    </row>
    <row r="84" spans="1:1" x14ac:dyDescent="0.25">
      <c r="A84" t="s">
        <v>111</v>
      </c>
    </row>
    <row r="85" spans="1:1" x14ac:dyDescent="0.25">
      <c r="A85" t="s">
        <v>112</v>
      </c>
    </row>
    <row r="86" spans="1:1" x14ac:dyDescent="0.25">
      <c r="A86" t="s">
        <v>113</v>
      </c>
    </row>
    <row r="87" spans="1:1" x14ac:dyDescent="0.25">
      <c r="A87" t="s">
        <v>114</v>
      </c>
    </row>
    <row r="88" spans="1:1" x14ac:dyDescent="0.25">
      <c r="A88" t="s">
        <v>115</v>
      </c>
    </row>
    <row r="89" spans="1:1" x14ac:dyDescent="0.25">
      <c r="A89" t="s">
        <v>116</v>
      </c>
    </row>
    <row r="90" spans="1:1" x14ac:dyDescent="0.25">
      <c r="A90" t="s">
        <v>117</v>
      </c>
    </row>
    <row r="91" spans="1:1" x14ac:dyDescent="0.25">
      <c r="A91" t="s">
        <v>118</v>
      </c>
    </row>
    <row r="92" spans="1:1" x14ac:dyDescent="0.25">
      <c r="A92" t="s">
        <v>119</v>
      </c>
    </row>
    <row r="93" spans="1:1" x14ac:dyDescent="0.25">
      <c r="A93" t="s">
        <v>120</v>
      </c>
    </row>
    <row r="94" spans="1:1" x14ac:dyDescent="0.25">
      <c r="A94" t="s">
        <v>121</v>
      </c>
    </row>
    <row r="95" spans="1:1" x14ac:dyDescent="0.25">
      <c r="A95" t="s">
        <v>122</v>
      </c>
    </row>
    <row r="96" spans="1:1" x14ac:dyDescent="0.25">
      <c r="A96" t="s">
        <v>123</v>
      </c>
    </row>
    <row r="97" spans="1:1" x14ac:dyDescent="0.25">
      <c r="A97" t="s">
        <v>124</v>
      </c>
    </row>
    <row r="98" spans="1:1" x14ac:dyDescent="0.25">
      <c r="A98" t="s">
        <v>125</v>
      </c>
    </row>
    <row r="99" spans="1:1" x14ac:dyDescent="0.25">
      <c r="A99" t="s">
        <v>126</v>
      </c>
    </row>
    <row r="100" spans="1:1" x14ac:dyDescent="0.25">
      <c r="A100" t="s">
        <v>127</v>
      </c>
    </row>
    <row r="101" spans="1:1" x14ac:dyDescent="0.25">
      <c r="A101" t="s">
        <v>128</v>
      </c>
    </row>
    <row r="102" spans="1:1" x14ac:dyDescent="0.25">
      <c r="A102" t="s">
        <v>129</v>
      </c>
    </row>
    <row r="103" spans="1:1" x14ac:dyDescent="0.25">
      <c r="A103" t="s">
        <v>130</v>
      </c>
    </row>
    <row r="104" spans="1:1" x14ac:dyDescent="0.25">
      <c r="A104" t="s">
        <v>131</v>
      </c>
    </row>
    <row r="105" spans="1:1" x14ac:dyDescent="0.25">
      <c r="A105" t="s">
        <v>132</v>
      </c>
    </row>
    <row r="106" spans="1:1" x14ac:dyDescent="0.25">
      <c r="A106" t="s">
        <v>133</v>
      </c>
    </row>
    <row r="107" spans="1:1" x14ac:dyDescent="0.25">
      <c r="A107" t="s">
        <v>134</v>
      </c>
    </row>
    <row r="108" spans="1:1" x14ac:dyDescent="0.25">
      <c r="A108" t="s">
        <v>135</v>
      </c>
    </row>
    <row r="109" spans="1:1" x14ac:dyDescent="0.25">
      <c r="A109" t="s">
        <v>136</v>
      </c>
    </row>
    <row r="110" spans="1:1" x14ac:dyDescent="0.25">
      <c r="A110" t="s">
        <v>137</v>
      </c>
    </row>
    <row r="111" spans="1:1" x14ac:dyDescent="0.25">
      <c r="A111" t="s">
        <v>138</v>
      </c>
    </row>
    <row r="112" spans="1:1" x14ac:dyDescent="0.25">
      <c r="A112" t="s">
        <v>139</v>
      </c>
    </row>
    <row r="113" spans="1:1" x14ac:dyDescent="0.25">
      <c r="A113" t="s">
        <v>140</v>
      </c>
    </row>
    <row r="114" spans="1:1" x14ac:dyDescent="0.25">
      <c r="A114" t="s">
        <v>141</v>
      </c>
    </row>
    <row r="115" spans="1:1" x14ac:dyDescent="0.25">
      <c r="A115" t="s">
        <v>142</v>
      </c>
    </row>
    <row r="116" spans="1:1" x14ac:dyDescent="0.25">
      <c r="A116" t="s">
        <v>143</v>
      </c>
    </row>
    <row r="117" spans="1:1" x14ac:dyDescent="0.25">
      <c r="A117" t="s">
        <v>144</v>
      </c>
    </row>
    <row r="118" spans="1:1" x14ac:dyDescent="0.25">
      <c r="A118" t="s">
        <v>145</v>
      </c>
    </row>
    <row r="119" spans="1:1" x14ac:dyDescent="0.25">
      <c r="A119" t="s">
        <v>146</v>
      </c>
    </row>
    <row r="120" spans="1:1" x14ac:dyDescent="0.25">
      <c r="A120" t="s">
        <v>147</v>
      </c>
    </row>
    <row r="121" spans="1:1" x14ac:dyDescent="0.25">
      <c r="A121" t="s">
        <v>148</v>
      </c>
    </row>
    <row r="122" spans="1:1" x14ac:dyDescent="0.25">
      <c r="A122" t="s">
        <v>149</v>
      </c>
    </row>
    <row r="123" spans="1:1" x14ac:dyDescent="0.25">
      <c r="A123" t="s">
        <v>150</v>
      </c>
    </row>
    <row r="124" spans="1:1" x14ac:dyDescent="0.25">
      <c r="A124" t="s">
        <v>151</v>
      </c>
    </row>
    <row r="125" spans="1:1" x14ac:dyDescent="0.25">
      <c r="A125" t="s">
        <v>152</v>
      </c>
    </row>
    <row r="126" spans="1:1" x14ac:dyDescent="0.25">
      <c r="A126" t="s">
        <v>153</v>
      </c>
    </row>
    <row r="127" spans="1:1" x14ac:dyDescent="0.25">
      <c r="A127" t="s">
        <v>154</v>
      </c>
    </row>
    <row r="128" spans="1:1" x14ac:dyDescent="0.25">
      <c r="A128" t="s">
        <v>155</v>
      </c>
    </row>
    <row r="129" spans="1:1" x14ac:dyDescent="0.25">
      <c r="A129" t="s">
        <v>156</v>
      </c>
    </row>
    <row r="130" spans="1:1" x14ac:dyDescent="0.25">
      <c r="A130" t="s">
        <v>157</v>
      </c>
    </row>
    <row r="131" spans="1:1" x14ac:dyDescent="0.25">
      <c r="A131" t="s">
        <v>158</v>
      </c>
    </row>
    <row r="132" spans="1:1" x14ac:dyDescent="0.25">
      <c r="A132" t="s">
        <v>159</v>
      </c>
    </row>
    <row r="133" spans="1:1" x14ac:dyDescent="0.25">
      <c r="A133" t="s">
        <v>160</v>
      </c>
    </row>
    <row r="134" spans="1:1" x14ac:dyDescent="0.25">
      <c r="A134" t="s">
        <v>161</v>
      </c>
    </row>
    <row r="135" spans="1:1" x14ac:dyDescent="0.25">
      <c r="A135" t="s">
        <v>162</v>
      </c>
    </row>
    <row r="136" spans="1:1" x14ac:dyDescent="0.25">
      <c r="A136" t="s">
        <v>163</v>
      </c>
    </row>
    <row r="137" spans="1:1" x14ac:dyDescent="0.25">
      <c r="A137" t="s">
        <v>164</v>
      </c>
    </row>
    <row r="138" spans="1:1" x14ac:dyDescent="0.25">
      <c r="A138" t="s">
        <v>165</v>
      </c>
    </row>
    <row r="139" spans="1:1" x14ac:dyDescent="0.25">
      <c r="A139" t="s">
        <v>166</v>
      </c>
    </row>
    <row r="140" spans="1:1" x14ac:dyDescent="0.25">
      <c r="A140" t="s">
        <v>167</v>
      </c>
    </row>
    <row r="141" spans="1:1" x14ac:dyDescent="0.25">
      <c r="A141" t="s">
        <v>168</v>
      </c>
    </row>
    <row r="142" spans="1:1" x14ac:dyDescent="0.25">
      <c r="A142" t="s">
        <v>169</v>
      </c>
    </row>
    <row r="143" spans="1:1" x14ac:dyDescent="0.25">
      <c r="A143" t="s">
        <v>170</v>
      </c>
    </row>
    <row r="144" spans="1:1" x14ac:dyDescent="0.25">
      <c r="A144" t="s">
        <v>171</v>
      </c>
    </row>
    <row r="145" spans="1:1" x14ac:dyDescent="0.25">
      <c r="A145" t="s">
        <v>172</v>
      </c>
    </row>
    <row r="146" spans="1:1" x14ac:dyDescent="0.25">
      <c r="A146" t="s">
        <v>173</v>
      </c>
    </row>
    <row r="147" spans="1:1" x14ac:dyDescent="0.25">
      <c r="A147" t="s">
        <v>174</v>
      </c>
    </row>
    <row r="148" spans="1:1" x14ac:dyDescent="0.25">
      <c r="A148" t="s">
        <v>175</v>
      </c>
    </row>
    <row r="149" spans="1:1" x14ac:dyDescent="0.25">
      <c r="A149" t="s">
        <v>176</v>
      </c>
    </row>
    <row r="150" spans="1:1" x14ac:dyDescent="0.25">
      <c r="A150" t="s">
        <v>177</v>
      </c>
    </row>
    <row r="151" spans="1:1" x14ac:dyDescent="0.25">
      <c r="A151" t="s">
        <v>178</v>
      </c>
    </row>
    <row r="152" spans="1:1" x14ac:dyDescent="0.25">
      <c r="A152" t="s">
        <v>179</v>
      </c>
    </row>
    <row r="153" spans="1:1" x14ac:dyDescent="0.25">
      <c r="A153" t="s">
        <v>180</v>
      </c>
    </row>
    <row r="154" spans="1:1" x14ac:dyDescent="0.25">
      <c r="A154" t="s">
        <v>181</v>
      </c>
    </row>
    <row r="155" spans="1:1" x14ac:dyDescent="0.25">
      <c r="A155" t="s">
        <v>182</v>
      </c>
    </row>
    <row r="156" spans="1:1" x14ac:dyDescent="0.25">
      <c r="A156" t="s">
        <v>183</v>
      </c>
    </row>
    <row r="157" spans="1:1" x14ac:dyDescent="0.25">
      <c r="A157" t="s">
        <v>184</v>
      </c>
    </row>
    <row r="158" spans="1:1" x14ac:dyDescent="0.25">
      <c r="A158" t="s">
        <v>185</v>
      </c>
    </row>
    <row r="159" spans="1:1" x14ac:dyDescent="0.25">
      <c r="A159" t="s">
        <v>186</v>
      </c>
    </row>
    <row r="160" spans="1:1" x14ac:dyDescent="0.25">
      <c r="A160" t="s">
        <v>187</v>
      </c>
    </row>
    <row r="161" spans="1:1" x14ac:dyDescent="0.25">
      <c r="A161" t="s">
        <v>188</v>
      </c>
    </row>
    <row r="162" spans="1:1" x14ac:dyDescent="0.25">
      <c r="A162" t="s">
        <v>189</v>
      </c>
    </row>
    <row r="163" spans="1:1" x14ac:dyDescent="0.25">
      <c r="A163" t="s">
        <v>190</v>
      </c>
    </row>
    <row r="164" spans="1:1" x14ac:dyDescent="0.25">
      <c r="A164" t="s">
        <v>191</v>
      </c>
    </row>
    <row r="165" spans="1:1" x14ac:dyDescent="0.25">
      <c r="A165" t="s">
        <v>192</v>
      </c>
    </row>
    <row r="166" spans="1:1" x14ac:dyDescent="0.25">
      <c r="A166" t="s">
        <v>193</v>
      </c>
    </row>
    <row r="167" spans="1:1" x14ac:dyDescent="0.25">
      <c r="A167" t="s">
        <v>194</v>
      </c>
    </row>
    <row r="168" spans="1:1" x14ac:dyDescent="0.25">
      <c r="A168" t="s">
        <v>195</v>
      </c>
    </row>
    <row r="169" spans="1:1" x14ac:dyDescent="0.25">
      <c r="A169" t="s">
        <v>196</v>
      </c>
    </row>
    <row r="170" spans="1:1" x14ac:dyDescent="0.25">
      <c r="A170" t="s">
        <v>197</v>
      </c>
    </row>
    <row r="171" spans="1:1" x14ac:dyDescent="0.25">
      <c r="A171" t="s">
        <v>198</v>
      </c>
    </row>
    <row r="172" spans="1:1" x14ac:dyDescent="0.25">
      <c r="A172" t="s">
        <v>199</v>
      </c>
    </row>
    <row r="173" spans="1:1" x14ac:dyDescent="0.25">
      <c r="A173" t="s">
        <v>200</v>
      </c>
    </row>
    <row r="174" spans="1:1" x14ac:dyDescent="0.25">
      <c r="A174" t="s">
        <v>201</v>
      </c>
    </row>
    <row r="175" spans="1:1" x14ac:dyDescent="0.25">
      <c r="A175" t="s">
        <v>202</v>
      </c>
    </row>
    <row r="176" spans="1:1" x14ac:dyDescent="0.25">
      <c r="A176" t="s">
        <v>203</v>
      </c>
    </row>
    <row r="177" spans="1:1" x14ac:dyDescent="0.25">
      <c r="A177" t="s">
        <v>204</v>
      </c>
    </row>
    <row r="178" spans="1:1" x14ac:dyDescent="0.25">
      <c r="A178" t="s">
        <v>205</v>
      </c>
    </row>
    <row r="179" spans="1:1" x14ac:dyDescent="0.25">
      <c r="A179" t="s">
        <v>206</v>
      </c>
    </row>
    <row r="180" spans="1:1" x14ac:dyDescent="0.25">
      <c r="A180" t="s">
        <v>207</v>
      </c>
    </row>
    <row r="181" spans="1:1" x14ac:dyDescent="0.25">
      <c r="A181" t="s">
        <v>208</v>
      </c>
    </row>
    <row r="182" spans="1:1" x14ac:dyDescent="0.25">
      <c r="A182" t="s">
        <v>209</v>
      </c>
    </row>
    <row r="183" spans="1:1" x14ac:dyDescent="0.25">
      <c r="A183" t="s">
        <v>210</v>
      </c>
    </row>
    <row r="184" spans="1:1" x14ac:dyDescent="0.25">
      <c r="A184" t="s">
        <v>211</v>
      </c>
    </row>
    <row r="185" spans="1:1" x14ac:dyDescent="0.25">
      <c r="A185" t="s">
        <v>212</v>
      </c>
    </row>
    <row r="186" spans="1:1" x14ac:dyDescent="0.25">
      <c r="A186" t="s">
        <v>213</v>
      </c>
    </row>
    <row r="187" spans="1:1" x14ac:dyDescent="0.25">
      <c r="A187" t="s">
        <v>214</v>
      </c>
    </row>
    <row r="188" spans="1:1" x14ac:dyDescent="0.25">
      <c r="A188" t="s">
        <v>215</v>
      </c>
    </row>
    <row r="189" spans="1:1" x14ac:dyDescent="0.25">
      <c r="A189" t="s">
        <v>216</v>
      </c>
    </row>
    <row r="190" spans="1:1" x14ac:dyDescent="0.25">
      <c r="A190" t="s">
        <v>217</v>
      </c>
    </row>
    <row r="191" spans="1:1" x14ac:dyDescent="0.25">
      <c r="A191" t="s">
        <v>218</v>
      </c>
    </row>
    <row r="192" spans="1:1" x14ac:dyDescent="0.25">
      <c r="A192" t="s">
        <v>219</v>
      </c>
    </row>
    <row r="193" spans="1:1" x14ac:dyDescent="0.25">
      <c r="A193" t="s">
        <v>220</v>
      </c>
    </row>
    <row r="194" spans="1:1" x14ac:dyDescent="0.25">
      <c r="A194" t="s">
        <v>221</v>
      </c>
    </row>
    <row r="195" spans="1:1" x14ac:dyDescent="0.25">
      <c r="A195" t="s">
        <v>222</v>
      </c>
    </row>
    <row r="196" spans="1:1" x14ac:dyDescent="0.25">
      <c r="A196" t="s">
        <v>223</v>
      </c>
    </row>
    <row r="197" spans="1:1" x14ac:dyDescent="0.25">
      <c r="A197" t="s">
        <v>224</v>
      </c>
    </row>
    <row r="198" spans="1:1" x14ac:dyDescent="0.25">
      <c r="A198" t="s">
        <v>225</v>
      </c>
    </row>
    <row r="199" spans="1:1" x14ac:dyDescent="0.25">
      <c r="A199" t="s">
        <v>226</v>
      </c>
    </row>
    <row r="200" spans="1:1" x14ac:dyDescent="0.25">
      <c r="A200" t="s">
        <v>227</v>
      </c>
    </row>
    <row r="201" spans="1:1" x14ac:dyDescent="0.25">
      <c r="A201" t="s">
        <v>228</v>
      </c>
    </row>
    <row r="202" spans="1:1" x14ac:dyDescent="0.25">
      <c r="A202" t="s">
        <v>229</v>
      </c>
    </row>
    <row r="203" spans="1:1" x14ac:dyDescent="0.25">
      <c r="A203" t="s">
        <v>230</v>
      </c>
    </row>
    <row r="204" spans="1:1" x14ac:dyDescent="0.25">
      <c r="A204" t="s">
        <v>231</v>
      </c>
    </row>
    <row r="205" spans="1:1" x14ac:dyDescent="0.25">
      <c r="A205" t="s">
        <v>232</v>
      </c>
    </row>
    <row r="206" spans="1:1" x14ac:dyDescent="0.25">
      <c r="A206" t="s">
        <v>233</v>
      </c>
    </row>
    <row r="207" spans="1:1" x14ac:dyDescent="0.25">
      <c r="A207" t="s">
        <v>234</v>
      </c>
    </row>
    <row r="208" spans="1:1" x14ac:dyDescent="0.25">
      <c r="A208" t="s">
        <v>235</v>
      </c>
    </row>
    <row r="209" spans="1:1" x14ac:dyDescent="0.25">
      <c r="A209" t="s">
        <v>236</v>
      </c>
    </row>
    <row r="210" spans="1:1" x14ac:dyDescent="0.25">
      <c r="A210" t="s">
        <v>237</v>
      </c>
    </row>
    <row r="211" spans="1:1" x14ac:dyDescent="0.25">
      <c r="A211" t="s">
        <v>238</v>
      </c>
    </row>
    <row r="212" spans="1:1" x14ac:dyDescent="0.25">
      <c r="A212" t="s">
        <v>239</v>
      </c>
    </row>
    <row r="213" spans="1:1" x14ac:dyDescent="0.25">
      <c r="A213" t="s">
        <v>240</v>
      </c>
    </row>
    <row r="214" spans="1:1" x14ac:dyDescent="0.25">
      <c r="A214" t="s">
        <v>241</v>
      </c>
    </row>
    <row r="215" spans="1:1" x14ac:dyDescent="0.25">
      <c r="A215" t="s">
        <v>242</v>
      </c>
    </row>
    <row r="216" spans="1:1" x14ac:dyDescent="0.25">
      <c r="A216" t="s">
        <v>243</v>
      </c>
    </row>
    <row r="217" spans="1:1" x14ac:dyDescent="0.25">
      <c r="A217" t="s">
        <v>244</v>
      </c>
    </row>
    <row r="218" spans="1:1" x14ac:dyDescent="0.25">
      <c r="A218" t="s">
        <v>245</v>
      </c>
    </row>
    <row r="219" spans="1:1" x14ac:dyDescent="0.25">
      <c r="A219" t="s">
        <v>246</v>
      </c>
    </row>
    <row r="220" spans="1:1" x14ac:dyDescent="0.25">
      <c r="A220" t="s">
        <v>247</v>
      </c>
    </row>
    <row r="221" spans="1:1" x14ac:dyDescent="0.25">
      <c r="A221" t="s">
        <v>248</v>
      </c>
    </row>
    <row r="222" spans="1:1" x14ac:dyDescent="0.25">
      <c r="A222" t="s">
        <v>249</v>
      </c>
    </row>
    <row r="223" spans="1:1" x14ac:dyDescent="0.25">
      <c r="A223" t="s">
        <v>250</v>
      </c>
    </row>
    <row r="224" spans="1:1" x14ac:dyDescent="0.25">
      <c r="A224" t="s">
        <v>251</v>
      </c>
    </row>
    <row r="225" spans="1:1" x14ac:dyDescent="0.25">
      <c r="A225" t="s">
        <v>252</v>
      </c>
    </row>
    <row r="226" spans="1:1" x14ac:dyDescent="0.25">
      <c r="A226" t="s">
        <v>253</v>
      </c>
    </row>
    <row r="227" spans="1:1" x14ac:dyDescent="0.25">
      <c r="A227" t="s">
        <v>254</v>
      </c>
    </row>
    <row r="228" spans="1:1" x14ac:dyDescent="0.25">
      <c r="A228" t="s">
        <v>255</v>
      </c>
    </row>
    <row r="229" spans="1:1" x14ac:dyDescent="0.25">
      <c r="A229" t="s">
        <v>256</v>
      </c>
    </row>
    <row r="230" spans="1:1" x14ac:dyDescent="0.25">
      <c r="A230" t="s">
        <v>257</v>
      </c>
    </row>
    <row r="231" spans="1:1" x14ac:dyDescent="0.25">
      <c r="A231" t="s">
        <v>258</v>
      </c>
    </row>
    <row r="232" spans="1:1" x14ac:dyDescent="0.25">
      <c r="A232" t="s">
        <v>259</v>
      </c>
    </row>
    <row r="233" spans="1:1" x14ac:dyDescent="0.25">
      <c r="A233" t="s">
        <v>260</v>
      </c>
    </row>
    <row r="234" spans="1:1" x14ac:dyDescent="0.25">
      <c r="A234" t="s">
        <v>261</v>
      </c>
    </row>
    <row r="235" spans="1:1" x14ac:dyDescent="0.25">
      <c r="A235" t="s">
        <v>262</v>
      </c>
    </row>
    <row r="236" spans="1:1" x14ac:dyDescent="0.25">
      <c r="A236" t="s">
        <v>263</v>
      </c>
    </row>
    <row r="237" spans="1:1" x14ac:dyDescent="0.25">
      <c r="A237" t="s">
        <v>264</v>
      </c>
    </row>
    <row r="238" spans="1:1" x14ac:dyDescent="0.25">
      <c r="A238" t="s">
        <v>265</v>
      </c>
    </row>
    <row r="239" spans="1:1" x14ac:dyDescent="0.25">
      <c r="A239" t="s">
        <v>266</v>
      </c>
    </row>
    <row r="240" spans="1:1" x14ac:dyDescent="0.25">
      <c r="A240" t="s">
        <v>267</v>
      </c>
    </row>
    <row r="241" spans="1:1" x14ac:dyDescent="0.25">
      <c r="A241" t="s">
        <v>268</v>
      </c>
    </row>
    <row r="242" spans="1:1" x14ac:dyDescent="0.25">
      <c r="A242" t="s">
        <v>269</v>
      </c>
    </row>
    <row r="243" spans="1:1" x14ac:dyDescent="0.25">
      <c r="A243" t="s">
        <v>270</v>
      </c>
    </row>
    <row r="244" spans="1:1" x14ac:dyDescent="0.25">
      <c r="A244" t="s">
        <v>271</v>
      </c>
    </row>
    <row r="245" spans="1:1" x14ac:dyDescent="0.25">
      <c r="A245" t="s">
        <v>272</v>
      </c>
    </row>
    <row r="246" spans="1:1" x14ac:dyDescent="0.25">
      <c r="A246" t="s">
        <v>273</v>
      </c>
    </row>
    <row r="247" spans="1:1" x14ac:dyDescent="0.25">
      <c r="A247" t="s">
        <v>274</v>
      </c>
    </row>
    <row r="248" spans="1:1" x14ac:dyDescent="0.25">
      <c r="A248" t="s">
        <v>275</v>
      </c>
    </row>
    <row r="249" spans="1:1" x14ac:dyDescent="0.25">
      <c r="A249" t="s">
        <v>276</v>
      </c>
    </row>
    <row r="250" spans="1:1" x14ac:dyDescent="0.25">
      <c r="A250" t="s">
        <v>277</v>
      </c>
    </row>
    <row r="251" spans="1:1" x14ac:dyDescent="0.25">
      <c r="A251" t="s">
        <v>278</v>
      </c>
    </row>
    <row r="252" spans="1:1" x14ac:dyDescent="0.25">
      <c r="A252" t="s">
        <v>279</v>
      </c>
    </row>
    <row r="253" spans="1:1" x14ac:dyDescent="0.25">
      <c r="A253" t="s">
        <v>280</v>
      </c>
    </row>
    <row r="254" spans="1:1" x14ac:dyDescent="0.25">
      <c r="A254" t="s">
        <v>281</v>
      </c>
    </row>
    <row r="255" spans="1:1" x14ac:dyDescent="0.25">
      <c r="A255" t="s">
        <v>282</v>
      </c>
    </row>
    <row r="256" spans="1:1" x14ac:dyDescent="0.25">
      <c r="A256" t="s">
        <v>283</v>
      </c>
    </row>
    <row r="257" spans="1:1" x14ac:dyDescent="0.25">
      <c r="A257" t="s">
        <v>284</v>
      </c>
    </row>
    <row r="258" spans="1:1" x14ac:dyDescent="0.25">
      <c r="A258" t="s">
        <v>285</v>
      </c>
    </row>
    <row r="259" spans="1:1" x14ac:dyDescent="0.25">
      <c r="A259" t="s">
        <v>286</v>
      </c>
    </row>
    <row r="260" spans="1:1" x14ac:dyDescent="0.25">
      <c r="A260" t="s">
        <v>287</v>
      </c>
    </row>
    <row r="261" spans="1:1" x14ac:dyDescent="0.25">
      <c r="A261" t="s">
        <v>288</v>
      </c>
    </row>
    <row r="262" spans="1:1" x14ac:dyDescent="0.25">
      <c r="A262" t="s">
        <v>289</v>
      </c>
    </row>
    <row r="263" spans="1:1" x14ac:dyDescent="0.25">
      <c r="A263" t="s">
        <v>290</v>
      </c>
    </row>
    <row r="264" spans="1:1" x14ac:dyDescent="0.25">
      <c r="A264" t="s">
        <v>291</v>
      </c>
    </row>
    <row r="265" spans="1:1" x14ac:dyDescent="0.25">
      <c r="A265" t="s">
        <v>292</v>
      </c>
    </row>
    <row r="266" spans="1:1" x14ac:dyDescent="0.25">
      <c r="A266" t="s">
        <v>293</v>
      </c>
    </row>
    <row r="267" spans="1:1" x14ac:dyDescent="0.25">
      <c r="A267" t="s">
        <v>294</v>
      </c>
    </row>
    <row r="268" spans="1:1" x14ac:dyDescent="0.25">
      <c r="A268" t="s">
        <v>295</v>
      </c>
    </row>
    <row r="269" spans="1:1" x14ac:dyDescent="0.25">
      <c r="A269" t="s">
        <v>296</v>
      </c>
    </row>
    <row r="270" spans="1:1" x14ac:dyDescent="0.25">
      <c r="A270" t="s">
        <v>297</v>
      </c>
    </row>
    <row r="271" spans="1:1" x14ac:dyDescent="0.25">
      <c r="A271" t="s">
        <v>298</v>
      </c>
    </row>
    <row r="272" spans="1:1" x14ac:dyDescent="0.25">
      <c r="A272" t="s">
        <v>299</v>
      </c>
    </row>
    <row r="273" spans="1:1" x14ac:dyDescent="0.25">
      <c r="A273" t="s">
        <v>300</v>
      </c>
    </row>
    <row r="274" spans="1:1" x14ac:dyDescent="0.25">
      <c r="A274" t="s">
        <v>301</v>
      </c>
    </row>
    <row r="275" spans="1:1" x14ac:dyDescent="0.25">
      <c r="A275" t="s">
        <v>302</v>
      </c>
    </row>
    <row r="276" spans="1:1" x14ac:dyDescent="0.25">
      <c r="A276" t="s">
        <v>303</v>
      </c>
    </row>
    <row r="277" spans="1:1" x14ac:dyDescent="0.25">
      <c r="A277" t="s">
        <v>304</v>
      </c>
    </row>
    <row r="278" spans="1:1" x14ac:dyDescent="0.25">
      <c r="A278" t="s">
        <v>305</v>
      </c>
    </row>
    <row r="279" spans="1:1" x14ac:dyDescent="0.25">
      <c r="A279" t="s">
        <v>306</v>
      </c>
    </row>
    <row r="280" spans="1:1" x14ac:dyDescent="0.25">
      <c r="A280" t="s">
        <v>307</v>
      </c>
    </row>
    <row r="281" spans="1:1" x14ac:dyDescent="0.25">
      <c r="A281" t="s">
        <v>308</v>
      </c>
    </row>
    <row r="282" spans="1:1" x14ac:dyDescent="0.25">
      <c r="A282" t="s">
        <v>309</v>
      </c>
    </row>
    <row r="283" spans="1:1" x14ac:dyDescent="0.25">
      <c r="A283" t="s">
        <v>310</v>
      </c>
    </row>
    <row r="284" spans="1:1" x14ac:dyDescent="0.25">
      <c r="A284" t="s">
        <v>311</v>
      </c>
    </row>
    <row r="285" spans="1:1" x14ac:dyDescent="0.25">
      <c r="A285" t="s">
        <v>312</v>
      </c>
    </row>
    <row r="286" spans="1:1" x14ac:dyDescent="0.25">
      <c r="A286" t="s">
        <v>313</v>
      </c>
    </row>
    <row r="287" spans="1:1" x14ac:dyDescent="0.25">
      <c r="A287" t="s">
        <v>314</v>
      </c>
    </row>
    <row r="288" spans="1:1" x14ac:dyDescent="0.25">
      <c r="A288" t="s">
        <v>315</v>
      </c>
    </row>
    <row r="289" spans="1:1" x14ac:dyDescent="0.25">
      <c r="A289" t="s">
        <v>316</v>
      </c>
    </row>
    <row r="290" spans="1:1" x14ac:dyDescent="0.25">
      <c r="A290" t="s">
        <v>317</v>
      </c>
    </row>
    <row r="291" spans="1:1" x14ac:dyDescent="0.25">
      <c r="A291" t="s">
        <v>318</v>
      </c>
    </row>
    <row r="292" spans="1:1" x14ac:dyDescent="0.25">
      <c r="A292" t="s">
        <v>319</v>
      </c>
    </row>
    <row r="293" spans="1:1" x14ac:dyDescent="0.25">
      <c r="A293" t="s">
        <v>320</v>
      </c>
    </row>
    <row r="294" spans="1:1" x14ac:dyDescent="0.25">
      <c r="A294" t="s">
        <v>321</v>
      </c>
    </row>
    <row r="295" spans="1:1" x14ac:dyDescent="0.25">
      <c r="A295" t="s">
        <v>322</v>
      </c>
    </row>
    <row r="296" spans="1:1" x14ac:dyDescent="0.25">
      <c r="A296" t="s">
        <v>323</v>
      </c>
    </row>
    <row r="297" spans="1:1" x14ac:dyDescent="0.25">
      <c r="A297" t="s">
        <v>324</v>
      </c>
    </row>
    <row r="298" spans="1:1" x14ac:dyDescent="0.25">
      <c r="A298" t="s">
        <v>325</v>
      </c>
    </row>
    <row r="299" spans="1:1" x14ac:dyDescent="0.25">
      <c r="A299" t="s">
        <v>326</v>
      </c>
    </row>
    <row r="300" spans="1:1" x14ac:dyDescent="0.25">
      <c r="A300" t="s">
        <v>327</v>
      </c>
    </row>
    <row r="301" spans="1:1" x14ac:dyDescent="0.25">
      <c r="A301" t="s">
        <v>328</v>
      </c>
    </row>
    <row r="302" spans="1:1" x14ac:dyDescent="0.25">
      <c r="A302" t="s">
        <v>329</v>
      </c>
    </row>
    <row r="303" spans="1:1" x14ac:dyDescent="0.25">
      <c r="A303" t="s">
        <v>330</v>
      </c>
    </row>
    <row r="304" spans="1:1" x14ac:dyDescent="0.25">
      <c r="A304" t="s">
        <v>331</v>
      </c>
    </row>
    <row r="305" spans="1:1" x14ac:dyDescent="0.25">
      <c r="A305" t="s">
        <v>332</v>
      </c>
    </row>
    <row r="306" spans="1:1" x14ac:dyDescent="0.25">
      <c r="A306" t="s">
        <v>333</v>
      </c>
    </row>
    <row r="307" spans="1:1" x14ac:dyDescent="0.25">
      <c r="A307" t="s">
        <v>334</v>
      </c>
    </row>
    <row r="308" spans="1:1" x14ac:dyDescent="0.25">
      <c r="A308" t="s">
        <v>335</v>
      </c>
    </row>
    <row r="309" spans="1:1" x14ac:dyDescent="0.25">
      <c r="A309" t="s">
        <v>336</v>
      </c>
    </row>
    <row r="310" spans="1:1" x14ac:dyDescent="0.25">
      <c r="A310" t="s">
        <v>337</v>
      </c>
    </row>
    <row r="311" spans="1:1" x14ac:dyDescent="0.25">
      <c r="A311" t="s">
        <v>338</v>
      </c>
    </row>
    <row r="312" spans="1:1" x14ac:dyDescent="0.25">
      <c r="A312" t="s">
        <v>339</v>
      </c>
    </row>
    <row r="313" spans="1:1" x14ac:dyDescent="0.25">
      <c r="A313" t="s">
        <v>340</v>
      </c>
    </row>
    <row r="314" spans="1:1" x14ac:dyDescent="0.25">
      <c r="A314" t="s">
        <v>341</v>
      </c>
    </row>
    <row r="315" spans="1:1" x14ac:dyDescent="0.25">
      <c r="A315" t="s">
        <v>342</v>
      </c>
    </row>
    <row r="316" spans="1:1" x14ac:dyDescent="0.25">
      <c r="A316" t="s">
        <v>343</v>
      </c>
    </row>
    <row r="317" spans="1:1" x14ac:dyDescent="0.25">
      <c r="A317" t="s">
        <v>344</v>
      </c>
    </row>
    <row r="318" spans="1:1" x14ac:dyDescent="0.25">
      <c r="A318" t="s">
        <v>345</v>
      </c>
    </row>
    <row r="319" spans="1:1" x14ac:dyDescent="0.25">
      <c r="A319" t="s">
        <v>346</v>
      </c>
    </row>
    <row r="320" spans="1:1" x14ac:dyDescent="0.25">
      <c r="A320" t="s">
        <v>347</v>
      </c>
    </row>
    <row r="321" spans="1:1" x14ac:dyDescent="0.25">
      <c r="A321" t="s">
        <v>348</v>
      </c>
    </row>
    <row r="322" spans="1:1" x14ac:dyDescent="0.25">
      <c r="A322" t="s">
        <v>349</v>
      </c>
    </row>
    <row r="323" spans="1:1" x14ac:dyDescent="0.25">
      <c r="A323" t="s">
        <v>350</v>
      </c>
    </row>
    <row r="324" spans="1:1" x14ac:dyDescent="0.25">
      <c r="A324" t="s">
        <v>351</v>
      </c>
    </row>
    <row r="325" spans="1:1" x14ac:dyDescent="0.25">
      <c r="A325" t="s">
        <v>352</v>
      </c>
    </row>
    <row r="326" spans="1:1" x14ac:dyDescent="0.25">
      <c r="A326" t="s">
        <v>353</v>
      </c>
    </row>
    <row r="327" spans="1:1" x14ac:dyDescent="0.25">
      <c r="A327" t="s">
        <v>354</v>
      </c>
    </row>
    <row r="328" spans="1:1" x14ac:dyDescent="0.25">
      <c r="A328" t="s">
        <v>355</v>
      </c>
    </row>
    <row r="329" spans="1:1" x14ac:dyDescent="0.25">
      <c r="A329" t="s">
        <v>356</v>
      </c>
    </row>
    <row r="330" spans="1:1" x14ac:dyDescent="0.25">
      <c r="A330" t="s">
        <v>357</v>
      </c>
    </row>
    <row r="331" spans="1:1" x14ac:dyDescent="0.25">
      <c r="A331" t="s">
        <v>358</v>
      </c>
    </row>
    <row r="332" spans="1:1" x14ac:dyDescent="0.25">
      <c r="A332" t="s">
        <v>359</v>
      </c>
    </row>
    <row r="333" spans="1:1" x14ac:dyDescent="0.25">
      <c r="A333" t="s">
        <v>360</v>
      </c>
    </row>
    <row r="334" spans="1:1" x14ac:dyDescent="0.25">
      <c r="A334" t="s">
        <v>361</v>
      </c>
    </row>
    <row r="335" spans="1:1" x14ac:dyDescent="0.25">
      <c r="A335" t="s">
        <v>362</v>
      </c>
    </row>
    <row r="336" spans="1:1" x14ac:dyDescent="0.25">
      <c r="A336" t="s">
        <v>363</v>
      </c>
    </row>
    <row r="337" spans="1:1" x14ac:dyDescent="0.25">
      <c r="A337" t="s">
        <v>364</v>
      </c>
    </row>
    <row r="338" spans="1:1" x14ac:dyDescent="0.25">
      <c r="A338" t="s">
        <v>365</v>
      </c>
    </row>
    <row r="339" spans="1:1" x14ac:dyDescent="0.25">
      <c r="A339" t="s">
        <v>366</v>
      </c>
    </row>
    <row r="340" spans="1:1" x14ac:dyDescent="0.25">
      <c r="A340" t="s">
        <v>367</v>
      </c>
    </row>
    <row r="341" spans="1:1" x14ac:dyDescent="0.25">
      <c r="A341" t="s">
        <v>368</v>
      </c>
    </row>
    <row r="342" spans="1:1" x14ac:dyDescent="0.25">
      <c r="A342" t="s">
        <v>369</v>
      </c>
    </row>
    <row r="343" spans="1:1" x14ac:dyDescent="0.25">
      <c r="A343" t="s">
        <v>370</v>
      </c>
    </row>
    <row r="344" spans="1:1" x14ac:dyDescent="0.25">
      <c r="A34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39</vt:i4>
      </vt:variant>
    </vt:vector>
  </HeadingPairs>
  <TitlesOfParts>
    <vt:vector size="41" baseType="lpstr">
      <vt:lpstr>assign</vt:lpstr>
      <vt:lpstr>{PL}PickLst</vt:lpstr>
      <vt:lpstr>db_name</vt:lpstr>
      <vt:lpstr>Freeze_here</vt:lpstr>
      <vt:lpstr>psApp</vt:lpstr>
      <vt:lpstr>psHLYear</vt:lpstr>
      <vt:lpstr>psScenario</vt:lpstr>
      <vt:lpstr>psUser</vt:lpstr>
      <vt:lpstr>TM1AdminProgDetCAP</vt:lpstr>
      <vt:lpstr>TM1AdminProgDetWB</vt:lpstr>
      <vt:lpstr>TM1AdminProgDetWS</vt:lpstr>
      <vt:lpstr>TM1AdminRDSAccTempCAP</vt:lpstr>
      <vt:lpstr>TM1AdminRDSAccTempWB</vt:lpstr>
      <vt:lpstr>TM1AdminRDSAccTempWS</vt:lpstr>
      <vt:lpstr>TM1AdminRDSProgCAP</vt:lpstr>
      <vt:lpstr>TM1AdminRDSProgWB</vt:lpstr>
      <vt:lpstr>TM1AdminRDSProgWS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TM1MEAccTempCAP</vt:lpstr>
      <vt:lpstr>TM1MEAccTempWB</vt:lpstr>
      <vt:lpstr>TM1MEAccTempWS</vt:lpstr>
      <vt:lpstr>TM1MEHomeCAP</vt:lpstr>
      <vt:lpstr>TM1MEHomeWB</vt:lpstr>
      <vt:lpstr>TM1MEHomeWS</vt:lpstr>
      <vt:lpstr>assign!TM1RPTDATARNG2</vt:lpstr>
      <vt:lpstr>assign!TM1RPTFMTIDCOL</vt:lpstr>
      <vt:lpstr>assign!TM1RPTFMTRNG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2019-04-16T00:46:04Z</dcterms:created>
  <dcterms:modified xsi:type="dcterms:W3CDTF">2025-08-05T04:34:31Z</dcterms:modified>
</cp:coreProperties>
</file>