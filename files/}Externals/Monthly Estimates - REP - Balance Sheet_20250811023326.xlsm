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CE3B994-477E-4875-9119-66F4E904EB4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 1" sheetId="1" r:id="rId1"/>
  </sheets>
  <definedNames>
    <definedName name="db_name">'sheet 1'!$C$12</definedName>
    <definedName name="TM1MEHomeCAP">'sheet 1'!$D$46</definedName>
    <definedName name="TM1MEHomeWB">'sheet 1'!$F$46</definedName>
    <definedName name="TM1MEHomeWS">'sheet 1'!$H$46</definedName>
    <definedName name="TM1MERepBSCAP">'sheet 1'!$D$48</definedName>
    <definedName name="TM1MERepBSWB">'sheet 1'!$F$48</definedName>
    <definedName name="TM1MERepBSWS">'sheet 1'!$H$48</definedName>
    <definedName name="TM1MERepCFCAP">'sheet 1'!$D$49</definedName>
    <definedName name="TM1MERepCFWB">'sheet 1'!$F$49</definedName>
    <definedName name="TM1MERepCFWS">'sheet 1'!$H$49</definedName>
    <definedName name="TM1MERepOSCAP">'sheet 1'!$D$47</definedName>
    <definedName name="TM1MERepOSWB">'sheet 1'!$F$47</definedName>
    <definedName name="TM1MERepOSWS">'sheet 1'!$H$47</definedName>
    <definedName name="TM1MESummaryCAP">'sheet 1'!$D$50</definedName>
    <definedName name="TM1MESummaryWB">'sheet 1'!$F$50</definedName>
    <definedName name="TM1MESummaryWS">'sheet 1'!$H$50</definedName>
    <definedName name="TM1REBUILDOPTION" localSheetId="0">0</definedName>
    <definedName name="TM1REBUILDOPTION">0</definedName>
    <definedName name="TM1RPTDATARNGARPT2" localSheetId="0">'sheet 1'!$72:$72</definedName>
    <definedName name="TM1RPTDATARNGARPT3" localSheetId="0">'sheet 1'!$77:$77</definedName>
    <definedName name="TM1RPTDATARNGARPT4" localSheetId="0">'sheet 1'!$82:$82</definedName>
    <definedName name="TM1RPTFMTIDCOL" localSheetId="0">'sheet 1'!$A$1:$A$8</definedName>
    <definedName name="TM1RPTFMTRNG" localSheetId="0">'sheet 1'!$B$1:$AC$8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5" i="1" l="1"/>
  <c r="C21" i="1" a="1"/>
  <c r="C21" i="1"/>
  <c r="C22" i="1" a="1"/>
  <c r="C22" i="1"/>
  <c r="L62" i="1"/>
  <c r="L63" i="1"/>
  <c r="C41" i="1" a="1"/>
  <c r="C41" i="1"/>
  <c r="D30" i="1"/>
  <c r="C31" i="1"/>
  <c r="C82" i="1"/>
  <c r="C30" i="1"/>
  <c r="B82" i="1"/>
  <c r="E82" i="1"/>
  <c r="F82" i="1"/>
  <c r="D82" i="1"/>
  <c r="D29" i="1"/>
  <c r="C77" i="1"/>
  <c r="C29" i="1"/>
  <c r="B77" i="1"/>
  <c r="E77" i="1"/>
  <c r="F77" i="1"/>
  <c r="D77" i="1"/>
  <c r="D28" i="1"/>
  <c r="C72" i="1"/>
  <c r="C28" i="1"/>
  <c r="B72" i="1"/>
  <c r="E72" i="1"/>
  <c r="F72" i="1"/>
  <c r="D72" i="1"/>
  <c r="L64" i="1"/>
  <c r="C40" i="1"/>
  <c r="C39" i="1"/>
  <c r="C38" i="1"/>
  <c r="C37" i="1"/>
  <c r="C36" i="1"/>
  <c r="C35" i="1"/>
  <c r="D31" i="1"/>
  <c r="AC32" i="1"/>
  <c r="AC31" i="1"/>
  <c r="AC82" i="1"/>
  <c r="AB32" i="1"/>
  <c r="AB31" i="1"/>
  <c r="AB82" i="1"/>
  <c r="AA32" i="1"/>
  <c r="AA31" i="1"/>
  <c r="AA82" i="1"/>
  <c r="Z32" i="1"/>
  <c r="Z31" i="1"/>
  <c r="Z82" i="1"/>
  <c r="Y32" i="1"/>
  <c r="Y31" i="1"/>
  <c r="Y82" i="1"/>
  <c r="X32" i="1"/>
  <c r="X31" i="1"/>
  <c r="X82" i="1"/>
  <c r="W32" i="1"/>
  <c r="W31" i="1"/>
  <c r="W82" i="1"/>
  <c r="V32" i="1"/>
  <c r="V31" i="1"/>
  <c r="V82" i="1"/>
  <c r="U32" i="1"/>
  <c r="U31" i="1"/>
  <c r="U82" i="1"/>
  <c r="T32" i="1"/>
  <c r="T31" i="1"/>
  <c r="T82" i="1"/>
  <c r="S32" i="1"/>
  <c r="S31" i="1"/>
  <c r="S82" i="1"/>
  <c r="R32" i="1"/>
  <c r="R31" i="1"/>
  <c r="R82" i="1"/>
  <c r="O82" i="1"/>
  <c r="N82" i="1"/>
  <c r="AC77" i="1"/>
  <c r="AB77" i="1"/>
  <c r="AA77" i="1"/>
  <c r="Z77" i="1"/>
  <c r="Y77" i="1"/>
  <c r="X77" i="1"/>
  <c r="W77" i="1"/>
  <c r="V77" i="1"/>
  <c r="U77" i="1"/>
  <c r="T77" i="1"/>
  <c r="S77" i="1"/>
  <c r="O77" i="1"/>
  <c r="R77" i="1"/>
  <c r="N77" i="1"/>
  <c r="AC72" i="1"/>
  <c r="AB72" i="1"/>
  <c r="AA72" i="1"/>
  <c r="Z72" i="1"/>
  <c r="Y72" i="1"/>
  <c r="X72" i="1"/>
  <c r="W72" i="1"/>
  <c r="V72" i="1"/>
  <c r="U72" i="1"/>
  <c r="T72" i="1"/>
  <c r="S72" i="1"/>
  <c r="R72" i="1"/>
  <c r="O72" i="1"/>
  <c r="N72" i="1"/>
  <c r="D27" i="1"/>
  <c r="AC84" i="1"/>
  <c r="AB84" i="1"/>
  <c r="AA84" i="1"/>
  <c r="Z84" i="1"/>
  <c r="Y84" i="1"/>
  <c r="X84" i="1"/>
  <c r="W84" i="1"/>
  <c r="V84" i="1"/>
  <c r="U84" i="1"/>
  <c r="T84" i="1"/>
  <c r="S84" i="1"/>
  <c r="R84" i="1"/>
  <c r="O84" i="1"/>
  <c r="N84" i="1"/>
  <c r="AC79" i="1"/>
  <c r="AB79" i="1"/>
  <c r="AA79" i="1"/>
  <c r="Z79" i="1"/>
  <c r="Y79" i="1"/>
  <c r="X79" i="1"/>
  <c r="W79" i="1"/>
  <c r="V79" i="1"/>
  <c r="U79" i="1"/>
  <c r="T79" i="1"/>
  <c r="S79" i="1"/>
  <c r="R79" i="1"/>
  <c r="O79" i="1"/>
  <c r="N79" i="1"/>
  <c r="AC81" i="1"/>
  <c r="AB81" i="1"/>
  <c r="AA81" i="1"/>
  <c r="Z81" i="1"/>
  <c r="Y81" i="1"/>
  <c r="X81" i="1"/>
  <c r="W81" i="1"/>
  <c r="V81" i="1"/>
  <c r="U81" i="1"/>
  <c r="T81" i="1"/>
  <c r="S81" i="1"/>
  <c r="R81" i="1"/>
  <c r="AC76" i="1"/>
  <c r="AB76" i="1"/>
  <c r="AA76" i="1"/>
  <c r="Z76" i="1"/>
  <c r="Y76" i="1"/>
  <c r="X76" i="1"/>
  <c r="W76" i="1"/>
  <c r="V76" i="1"/>
  <c r="U76" i="1"/>
  <c r="T76" i="1"/>
  <c r="S76" i="1"/>
  <c r="R76" i="1"/>
  <c r="AC71" i="1"/>
  <c r="AB71" i="1"/>
  <c r="AA71" i="1"/>
  <c r="Z71" i="1"/>
  <c r="Y71" i="1"/>
  <c r="X71" i="1"/>
  <c r="W71" i="1"/>
  <c r="V71" i="1"/>
  <c r="U71" i="1"/>
  <c r="T71" i="1"/>
  <c r="S71" i="1"/>
  <c r="R71" i="1"/>
  <c r="AC74" i="1"/>
  <c r="AB74" i="1"/>
  <c r="AA74" i="1"/>
  <c r="Z74" i="1"/>
  <c r="Y74" i="1"/>
  <c r="X74" i="1"/>
  <c r="W74" i="1"/>
  <c r="V74" i="1"/>
  <c r="U74" i="1"/>
  <c r="T74" i="1"/>
  <c r="S74" i="1"/>
  <c r="R74" i="1"/>
  <c r="O74" i="1"/>
  <c r="N74" i="1"/>
  <c r="AC69" i="1"/>
  <c r="AB69" i="1"/>
  <c r="AA69" i="1"/>
  <c r="Z69" i="1"/>
  <c r="Y69" i="1"/>
  <c r="X69" i="1"/>
  <c r="W69" i="1"/>
  <c r="V69" i="1"/>
  <c r="U69" i="1"/>
  <c r="T69" i="1"/>
  <c r="S69" i="1"/>
  <c r="R69" i="1"/>
  <c r="O69" i="1"/>
  <c r="N69" i="1"/>
  <c r="P69" i="1"/>
  <c r="C44" i="1" a="1"/>
  <c r="C44" i="1"/>
  <c r="H50" i="1"/>
  <c r="G50" i="1"/>
  <c r="F50" i="1"/>
  <c r="E50" i="1"/>
  <c r="D50" i="1"/>
  <c r="C50" i="1"/>
  <c r="H49" i="1"/>
  <c r="G49" i="1"/>
  <c r="F49" i="1"/>
  <c r="E49" i="1"/>
  <c r="D49" i="1"/>
  <c r="C49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C24" i="1" a="1"/>
  <c r="C24" i="1"/>
  <c r="C23" i="1" a="1"/>
  <c r="C23" i="1"/>
  <c r="C16" i="1" a="1"/>
  <c r="C16" i="1"/>
  <c r="C18" i="1" a="1"/>
  <c r="C18" i="1"/>
  <c r="C17" i="1" a="1"/>
  <c r="C17" i="1"/>
  <c r="C13" i="1" a="1"/>
  <c r="C13" i="1"/>
  <c r="A2" i="1"/>
  <c r="A3" i="1"/>
  <c r="A4" i="1"/>
  <c r="A5" i="1"/>
  <c r="A72" i="1"/>
  <c r="J72" i="1"/>
  <c r="K72" i="1"/>
  <c r="L72" i="1"/>
  <c r="P72" i="1"/>
  <c r="P74" i="1"/>
  <c r="A77" i="1"/>
  <c r="J77" i="1"/>
  <c r="K77" i="1"/>
  <c r="L77" i="1"/>
  <c r="P77" i="1"/>
  <c r="P79" i="1"/>
  <c r="A82" i="1"/>
  <c r="J82" i="1"/>
  <c r="K82" i="1"/>
  <c r="L82" i="1"/>
  <c r="P82" i="1"/>
  <c r="P84" i="1"/>
</calcChain>
</file>

<file path=xl/sharedStrings.xml><?xml version="1.0" encoding="utf-8"?>
<sst xmlns="http://schemas.openxmlformats.org/spreadsheetml/2006/main" count="143" uniqueCount="105">
  <si>
    <t>Total Equity</t>
  </si>
  <si>
    <t>Variance</t>
  </si>
  <si>
    <t>Monthly Estimates</t>
  </si>
  <si>
    <t>Annual Estimates</t>
  </si>
  <si>
    <t>Program</t>
  </si>
  <si>
    <t>Activity Code</t>
  </si>
  <si>
    <t>Account</t>
  </si>
  <si>
    <t>EQUITY</t>
  </si>
  <si>
    <t>Equity</t>
  </si>
  <si>
    <t>Total Liability</t>
  </si>
  <si>
    <t>LIABILITIES</t>
  </si>
  <si>
    <t>Liabilities</t>
  </si>
  <si>
    <t>Total Assets</t>
  </si>
  <si>
    <t>ASSETS</t>
  </si>
  <si>
    <t>Assets</t>
  </si>
  <si>
    <t>Year to Date</t>
  </si>
  <si>
    <t>Template Month Status</t>
  </si>
  <si>
    <t>Status</t>
  </si>
  <si>
    <t>Scenario</t>
  </si>
  <si>
    <t>Headline Year</t>
  </si>
  <si>
    <t>T1 PBS Activity Code</t>
  </si>
  <si>
    <t>Total jurisdictions</t>
  </si>
  <si>
    <t>{TM1FILTERBYLEVEL( {TM1SUBSETALL( [jurisdiction] )}, 0)}</t>
  </si>
  <si>
    <t>{[jurisdiction].[Total jurisdictions]}</t>
  </si>
  <si>
    <t>Jurisdiction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</si>
  <si>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</si>
  <si>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</si>
  <si>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</si>
  <si>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</si>
  <si>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</si>
  <si>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</si>
  <si>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</si>
  <si>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</si>
  <si>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</si>
  <si>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</si>
  <si>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Aug</t>
  </si>
  <si>
    <t>Jul</t>
  </si>
  <si>
    <t>Total related entity</t>
  </si>
  <si>
    <t>{TM1FILTERBYLEVEL( {TM1SUBSETALL( [related entity] )}, 0)}</t>
  </si>
  <si>
    <t>{[related entity].[Total related entity]}</t>
  </si>
  <si>
    <t>Related Entity</t>
  </si>
  <si>
    <t>Total movement</t>
  </si>
  <si>
    <t>{FILTER( {TM1FILTERBYLEVEL( {TM1SUBSETALL( [movement account] )}, 0)}, [movement account].[editable] = "")}</t>
  </si>
  <si>
    <t>{[movement account].[Total movement]}</t>
  </si>
  <si>
    <t>Movement</t>
  </si>
  <si>
    <t>Jun YTD</t>
  </si>
  <si>
    <t>Movement Account</t>
  </si>
  <si>
    <t>00001</t>
  </si>
  <si>
    <t>0000A</t>
  </si>
  <si>
    <t>Function</t>
  </si>
  <si>
    <t>{TM1FILTERBYLEVEL( {TM1DRILLDOWNMEMBER( {[account].[4000000]}, ALL, RECURSIVE )}, 0)}</t>
  </si>
  <si>
    <t>Account Equity</t>
  </si>
  <si>
    <t>{TM1FILTERBYLEVEL( {TM1DRILLDOWNMEMBER( {[account].[3000000]}, ALL, RECURSIVE )}, 0)}</t>
  </si>
  <si>
    <t>Account Liabilities</t>
  </si>
  <si>
    <t>{TM1FILTERBYLEVEL( {TM1DRILLDOWNMEMBER( {[account].[5000000]}, ALL, RECURSIVE )}, 0)}</t>
  </si>
  <si>
    <t>Account Asset</t>
  </si>
  <si>
    <t>Slice View</t>
  </si>
  <si>
    <t>Active Form</t>
  </si>
  <si>
    <t>MDX Statement</t>
  </si>
  <si>
    <t>Dimensions</t>
  </si>
  <si>
    <t>[End Format Range]</t>
  </si>
  <si>
    <t>N</t>
  </si>
  <si>
    <t>D</t>
  </si>
  <si>
    <t>[Begin Format Range]</t>
  </si>
  <si>
    <t>REPORT PARAMETERS</t>
  </si>
  <si>
    <t>System Variables</t>
  </si>
  <si>
    <t>Database Name</t>
  </si>
  <si>
    <t>Current User</t>
  </si>
  <si>
    <t>}ElementAttributes_variables</t>
  </si>
  <si>
    <t>Cube View</t>
  </si>
  <si>
    <t>headline year</t>
  </si>
  <si>
    <t>headline scenario</t>
  </si>
  <si>
    <t>ME System Variable</t>
  </si>
  <si>
    <t>ME_headline year</t>
  </si>
  <si>
    <t>ME year</t>
  </si>
  <si>
    <t>ME_period</t>
  </si>
  <si>
    <t>SPP</t>
  </si>
  <si>
    <t>Appropriation Item</t>
  </si>
  <si>
    <t>ME reporting measure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</si>
  <si>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</si>
  <si>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</si>
  <si>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</si>
  <si>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</si>
  <si>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</si>
  <si>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</si>
  <si>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</si>
  <si>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</si>
  <si>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REP - OS Schedule</t>
  </si>
  <si>
    <t>ME REP - BS Schedule</t>
  </si>
  <si>
    <t>ME REP - CF Schedule</t>
  </si>
  <si>
    <t>ME - Summary</t>
  </si>
  <si>
    <t>Balance Sheet</t>
  </si>
  <si>
    <t>Balance Sheet - Account By Program Profiles Report</t>
  </si>
  <si>
    <t>DISPLAY</t>
  </si>
  <si>
    <t>Display</t>
  </si>
  <si>
    <t>{TM1DRILLDOWNMEMBER( {[account].[5000000]}, ALL, RECURSIVE )}</t>
  </si>
  <si>
    <t>{TM1DRILLDOWNMEMBER( {[account].[3000000]}, ALL, RECURSIVE )}</t>
  </si>
  <si>
    <t>{TM1DRILLDOWNMEMBER( {[account].[4000000]}, ALL, RECURSIVE )}</t>
  </si>
  <si>
    <t>N Level</t>
  </si>
  <si>
    <t>{DESCENDANTS ([account].[5000000],3,BEFORE)}</t>
  </si>
  <si>
    <t>{DESCENDANTS ([account].[3000000],3,BEFORE)}</t>
  </si>
  <si>
    <t>{DESCENDANTS ([account].[4000000],3,BEFORE)}</t>
  </si>
  <si>
    <t>Show All</t>
  </si>
  <si>
    <t>Show Totals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</si>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</sst>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_-;[Red]* \(#,##0\)_-;_-* &quot;-&quot;??_-;_-@_-"/>
    <numFmt numFmtId="166" formatCode="_-* #,##0_-;\-* #,##0_-;_-* &quot;-&quot;??_-;_-@_-"/>
  </numFmts>
  <fonts count="18" x14ac:knownFonts="1">
    <font>
      <sz val="8"/>
      <color indexed="62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6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indexed="18"/>
      </patternFill>
    </fill>
    <fill>
      <patternFill patternType="solid">
        <fgColor rgb="FFFFFF0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protection locked="0"/>
    </xf>
    <xf numFmtId="0" fontId="2" fillId="0" borderId="0"/>
    <xf numFmtId="164" fontId="2" fillId="0" borderId="0" applyFont="0" applyFill="0" applyBorder="0" applyAlignment="0" applyProtection="0"/>
    <xf numFmtId="0" fontId="2" fillId="0" borderId="0"/>
  </cellStyleXfs>
  <cellXfs count="57">
    <xf numFmtId="0" fontId="0" fillId="0" borderId="0" xfId="0">
      <protection locked="0"/>
    </xf>
    <xf numFmtId="0" fontId="2" fillId="0" borderId="0" xfId="1"/>
    <xf numFmtId="0" fontId="2" fillId="0" borderId="0" xfId="1" applyAlignment="1">
      <alignment horizontal="center"/>
    </xf>
    <xf numFmtId="0" fontId="5" fillId="0" borderId="0" xfId="1" applyFont="1"/>
    <xf numFmtId="165" fontId="6" fillId="2" borderId="1" xfId="2" applyNumberFormat="1" applyFont="1" applyFill="1" applyBorder="1"/>
    <xf numFmtId="0" fontId="7" fillId="0" borderId="0" xfId="1" applyFont="1" applyAlignment="1">
      <alignment horizontal="right"/>
    </xf>
    <xf numFmtId="0" fontId="5" fillId="0" borderId="0" xfId="1" applyFont="1" applyAlignment="1">
      <alignment horizontal="center"/>
    </xf>
    <xf numFmtId="165" fontId="8" fillId="0" borderId="1" xfId="2" applyNumberFormat="1" applyFont="1" applyFill="1" applyBorder="1"/>
    <xf numFmtId="165" fontId="9" fillId="0" borderId="2" xfId="2" applyNumberFormat="1" applyFont="1" applyFill="1" applyBorder="1"/>
    <xf numFmtId="165" fontId="6" fillId="0" borderId="1" xfId="2" applyNumberFormat="1" applyFont="1" applyFill="1" applyBorder="1"/>
    <xf numFmtId="0" fontId="8" fillId="0" borderId="0" xfId="1" applyFont="1"/>
    <xf numFmtId="0" fontId="2" fillId="0" borderId="1" xfId="1" applyBorder="1"/>
    <xf numFmtId="0" fontId="2" fillId="0" borderId="1" xfId="1" applyBorder="1" applyAlignment="1">
      <alignment horizontal="center"/>
    </xf>
    <xf numFmtId="0" fontId="10" fillId="0" borderId="1" xfId="1" applyFont="1" applyBorder="1"/>
    <xf numFmtId="0" fontId="8" fillId="0" borderId="0" xfId="1" applyFont="1" applyAlignment="1">
      <alignment horizontal="center"/>
    </xf>
    <xf numFmtId="49" fontId="2" fillId="0" borderId="1" xfId="1" applyNumberFormat="1" applyBorder="1" applyAlignment="1">
      <alignment horizontal="left"/>
    </xf>
    <xf numFmtId="49" fontId="4" fillId="0" borderId="1" xfId="1" applyNumberFormat="1" applyFont="1" applyBorder="1"/>
    <xf numFmtId="0" fontId="8" fillId="0" borderId="0" xfId="1" applyFont="1" applyAlignment="1">
      <alignment wrapText="1"/>
    </xf>
    <xf numFmtId="0" fontId="11" fillId="3" borderId="0" xfId="3" applyFont="1" applyFill="1" applyAlignment="1">
      <alignment horizontal="center" wrapText="1"/>
    </xf>
    <xf numFmtId="0" fontId="11" fillId="0" borderId="0" xfId="3" applyFont="1" applyAlignment="1">
      <alignment horizontal="center" wrapText="1"/>
    </xf>
    <xf numFmtId="0" fontId="7" fillId="0" borderId="0" xfId="1" applyFont="1"/>
    <xf numFmtId="49" fontId="9" fillId="0" borderId="0" xfId="1" applyNumberFormat="1" applyFont="1"/>
    <xf numFmtId="0" fontId="4" fillId="0" borderId="0" xfId="1" applyFont="1"/>
    <xf numFmtId="165" fontId="9" fillId="0" borderId="1" xfId="2" applyNumberFormat="1" applyFont="1" applyFill="1" applyBorder="1"/>
    <xf numFmtId="0" fontId="4" fillId="0" borderId="0" xfId="1" applyFont="1" applyAlignment="1">
      <alignment horizontal="center"/>
    </xf>
    <xf numFmtId="0" fontId="4" fillId="0" borderId="0" xfId="3" applyFont="1" applyAlignment="1">
      <alignment horizontal="right" indent="1"/>
    </xf>
    <xf numFmtId="0" fontId="2" fillId="0" borderId="0" xfId="1" quotePrefix="1"/>
    <xf numFmtId="0" fontId="2" fillId="0" borderId="1" xfId="1" applyBorder="1" applyProtection="1">
      <protection locked="0"/>
    </xf>
    <xf numFmtId="0" fontId="4" fillId="0" borderId="0" xfId="1" applyFont="1" applyAlignment="1">
      <alignment horizontal="right" indent="1"/>
    </xf>
    <xf numFmtId="0" fontId="1" fillId="0" borderId="1" xfId="1" applyFont="1" applyBorder="1"/>
    <xf numFmtId="0" fontId="11" fillId="4" borderId="0" xfId="1" applyFont="1" applyFill="1" applyAlignment="1">
      <alignment horizontal="center"/>
    </xf>
    <xf numFmtId="0" fontId="11" fillId="0" borderId="0" xfId="1" applyFont="1" applyAlignment="1">
      <alignment horizontal="center"/>
    </xf>
    <xf numFmtId="0" fontId="11" fillId="4" borderId="0" xfId="1" quotePrefix="1" applyFont="1" applyFill="1" applyAlignment="1">
      <alignment horizontal="center"/>
    </xf>
    <xf numFmtId="0" fontId="4" fillId="0" borderId="1" xfId="1" applyFont="1" applyBorder="1"/>
    <xf numFmtId="0" fontId="4" fillId="5" borderId="1" xfId="1" applyFont="1" applyFill="1" applyBorder="1"/>
    <xf numFmtId="0" fontId="2" fillId="0" borderId="1" xfId="1" applyBorder="1" applyAlignment="1">
      <alignment horizontal="left"/>
    </xf>
    <xf numFmtId="166" fontId="13" fillId="0" borderId="1" xfId="2" applyNumberFormat="1" applyFont="1" applyFill="1" applyBorder="1"/>
    <xf numFmtId="166" fontId="14" fillId="0" borderId="0" xfId="2" applyNumberFormat="1" applyFont="1" applyFill="1"/>
    <xf numFmtId="166" fontId="14" fillId="0" borderId="1" xfId="2" applyNumberFormat="1" applyFont="1" applyFill="1" applyBorder="1"/>
    <xf numFmtId="0" fontId="2" fillId="0" borderId="0" xfId="1" applyAlignment="1">
      <alignment horizontal="left"/>
    </xf>
    <xf numFmtId="0" fontId="2" fillId="0" borderId="2" xfId="1" applyBorder="1"/>
    <xf numFmtId="165" fontId="15" fillId="0" borderId="1" xfId="2" applyNumberFormat="1" applyFont="1" applyFill="1" applyBorder="1"/>
    <xf numFmtId="165" fontId="16" fillId="0" borderId="1" xfId="2" applyNumberFormat="1" applyFont="1" applyFill="1" applyBorder="1"/>
    <xf numFmtId="0" fontId="3" fillId="6" borderId="0" xfId="0" applyFont="1" applyFill="1" applyAlignment="1" applyProtection="1">
      <alignment horizontal="center"/>
    </xf>
    <xf numFmtId="0" fontId="12" fillId="0" borderId="0" xfId="1" applyFont="1"/>
    <xf numFmtId="0" fontId="12" fillId="0" borderId="0" xfId="1" applyFont="1" applyAlignment="1">
      <alignment horizontal="center"/>
    </xf>
    <xf numFmtId="0" fontId="3" fillId="7" borderId="0" xfId="0" applyFont="1" applyFill="1" applyAlignment="1" applyProtection="1">
      <alignment horizontal="center"/>
    </xf>
    <xf numFmtId="0" fontId="0" fillId="0" borderId="1" xfId="0" applyBorder="1" applyProtection="1"/>
    <xf numFmtId="0" fontId="0" fillId="0" borderId="0" xfId="0" applyProtection="1"/>
    <xf numFmtId="0" fontId="1" fillId="0" borderId="0" xfId="1" applyFont="1"/>
    <xf numFmtId="0" fontId="4" fillId="0" borderId="1" xfId="0" applyFont="1" applyBorder="1" applyProtection="1"/>
    <xf numFmtId="0" fontId="0" fillId="0" borderId="3" xfId="0" applyBorder="1" applyProtection="1"/>
    <xf numFmtId="0" fontId="4" fillId="2" borderId="1" xfId="0" applyFont="1" applyFill="1" applyBorder="1" applyProtection="1"/>
    <xf numFmtId="0" fontId="4" fillId="0" borderId="0" xfId="1" applyFont="1" applyAlignment="1">
      <alignment horizontal="right"/>
    </xf>
    <xf numFmtId="0" fontId="17" fillId="6" borderId="0" xfId="0" applyFont="1" applyFill="1" applyAlignment="1" applyProtection="1">
      <alignment horizontal="right" vertical="center"/>
    </xf>
    <xf numFmtId="0" fontId="2" fillId="0" borderId="1" xfId="1" applyBorder="1" applyAlignment="1" applyProtection="1">
      <alignment horizontal="center"/>
      <protection locked="0"/>
    </xf>
    <xf numFmtId="0" fontId="4" fillId="8" borderId="1" xfId="0" applyFont="1" applyFill="1" applyBorder="1" applyAlignment="1" applyProtection="1">
      <alignment horizontal="center"/>
    </xf>
  </cellXfs>
  <cellStyles count="4">
    <cellStyle name="Comma 4" xfId="2" xr:uid="{00000000-0005-0000-0000-000000000000}"/>
    <cellStyle name="Normal" xfId="0" builtinId="0"/>
    <cellStyle name="Normal 11" xfId="1" xr:uid="{00000000-0005-0000-0000-000002000000}"/>
    <cellStyle name="Normal 5 2" xfId="3" xr:uid="{00000000-0005-0000-0000-000003000000}"/>
  </cellStyles>
  <dxfs count="15">
    <dxf>
      <fill>
        <patternFill>
          <bgColor theme="0" tint="-0.14996795556505021"/>
        </patternFill>
      </fill>
    </dxf>
    <dxf>
      <fill>
        <patternFill>
          <fgColor theme="9"/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  <numFmt numFmtId="165" formatCode="_-* #,##0_-;[Red]* \(#,##0\)_-;_-* &quot;-&quot;??_-;_-@_-"/>
      <fill>
        <patternFill>
          <bgColor theme="0" tint="-4.9989318521683403E-2"/>
        </patternFill>
      </fill>
    </dxf>
    <dxf>
      <font>
        <b/>
        <i val="0"/>
        <color auto="1"/>
      </font>
      <numFmt numFmtId="165" formatCode="_-* #,##0_-;[Red]* \(#,##0\)_-;_-* &quot;-&quot;??_-;_-@_-"/>
      <fill>
        <patternFill>
          <bgColor theme="0" tint="-4.9989318521683403E-2"/>
        </patternFill>
      </fill>
    </dxf>
    <dxf>
      <font>
        <color theme="1"/>
      </font>
    </dxf>
    <dxf>
      <fill>
        <patternFill>
          <fgColor theme="9"/>
          <bgColor theme="4" tint="0.79998168889431442"/>
        </patternFill>
      </fill>
    </dxf>
    <dxf>
      <font>
        <color theme="1"/>
      </font>
    </dxf>
    <dxf>
      <fill>
        <patternFill>
          <fgColor theme="9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55</xdr:row>
      <xdr:rowOff>19050</xdr:rowOff>
    </xdr:from>
    <xdr:to>
      <xdr:col>9</xdr:col>
      <xdr:colOff>1809750</xdr:colOff>
      <xdr:row>56</xdr:row>
      <xdr:rowOff>19050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57</xdr:row>
      <xdr:rowOff>0</xdr:rowOff>
    </xdr:from>
    <xdr:to>
      <xdr:col>9</xdr:col>
      <xdr:colOff>657225</xdr:colOff>
      <xdr:row>57</xdr:row>
      <xdr:rowOff>247650</xdr:rowOff>
    </xdr:to>
    <xdr:sp macro="Sheet33.ExecuteAction_cd7fc215_d447_4763_bad2_0ed966d4d489" textlink="TM1MEHomeCAP">
      <xdr:nvSpPr>
        <xdr:cNvPr id="2" name="TM1Button_cd7fc215_d447_4763_bad2_0ed966d4d489">
          <a:extLst>
            <a:ext uri="{FF2B5EF4-FFF2-40B4-BE49-F238E27FC236}">
              <a16:creationId xmlns:a16="http://schemas.microsoft.com/office/drawing/2014/main" id="{F3F8D709-FA2B-0C8B-B50F-01A49E7CF7E1}"/>
            </a:ext>
          </a:extLst>
        </xdr:cNvPr>
        <xdr:cNvSpPr txBox="1"/>
      </xdr:nvSpPr>
      <xdr:spPr>
        <a:xfrm>
          <a:off x="76200" y="5143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782BA8B-94B3-4D21-9F2B-5B5EED49C41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ea typeface="Verdana"/>
              <a:cs typeface="Verdana"/>
            </a:rPr>
            <a:pPr algn="ctr"/>
            <a:t>RECALC_0_1147_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514350</xdr:colOff>
      <xdr:row>57</xdr:row>
      <xdr:rowOff>0</xdr:rowOff>
    </xdr:from>
    <xdr:to>
      <xdr:col>11</xdr:col>
      <xdr:colOff>1362075</xdr:colOff>
      <xdr:row>57</xdr:row>
      <xdr:rowOff>247650</xdr:rowOff>
    </xdr:to>
    <xdr:sp macro="Sheet33.ExecuteAction_e1437028_056a_4247_953a_186d562d5c4c" textlink="">
      <xdr:nvSpPr>
        <xdr:cNvPr id="3" name="TM1Button_e1437028_056a_4247_953a_186d562d5c4c">
          <a:extLst>
            <a:ext uri="{FF2B5EF4-FFF2-40B4-BE49-F238E27FC236}">
              <a16:creationId xmlns:a16="http://schemas.microsoft.com/office/drawing/2014/main" id="{829A4594-5DB1-B1DD-364A-B2C6AE8E9B22}"/>
            </a:ext>
          </a:extLst>
        </xdr:cNvPr>
        <xdr:cNvSpPr txBox="1"/>
      </xdr:nvSpPr>
      <xdr:spPr>
        <a:xfrm>
          <a:off x="4267200" y="514350"/>
          <a:ext cx="8477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685800</xdr:colOff>
      <xdr:row>57</xdr:row>
      <xdr:rowOff>0</xdr:rowOff>
    </xdr:from>
    <xdr:to>
      <xdr:col>9</xdr:col>
      <xdr:colOff>2562225</xdr:colOff>
      <xdr:row>57</xdr:row>
      <xdr:rowOff>247650</xdr:rowOff>
    </xdr:to>
    <xdr:sp macro="Sheet33.ExecuteAction_99ca2cf7_8f57_479c_a568_cccf88e3ef04" textlink="">
      <xdr:nvSpPr>
        <xdr:cNvPr id="4" name="TM1Button_99ca2cf7_8f57_479c_a568_cccf88e3ef04">
          <a:extLst>
            <a:ext uri="{FF2B5EF4-FFF2-40B4-BE49-F238E27FC236}">
              <a16:creationId xmlns:a16="http://schemas.microsoft.com/office/drawing/2014/main" id="{ADB73EE5-0923-4D7F-141D-A8DD17F1D0F4}"/>
            </a:ext>
          </a:extLst>
        </xdr:cNvPr>
        <xdr:cNvSpPr txBox="1"/>
      </xdr:nvSpPr>
      <xdr:spPr>
        <a:xfrm>
          <a:off x="742950" y="514350"/>
          <a:ext cx="1876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Operating Statement Report</a:t>
          </a:r>
        </a:p>
      </xdr:txBody>
    </xdr:sp>
    <xdr:clientData/>
  </xdr:twoCellAnchor>
  <xdr:twoCellAnchor editAs="oneCell">
    <xdr:from>
      <xdr:col>9</xdr:col>
      <xdr:colOff>2609850</xdr:colOff>
      <xdr:row>57</xdr:row>
      <xdr:rowOff>0</xdr:rowOff>
    </xdr:from>
    <xdr:to>
      <xdr:col>11</xdr:col>
      <xdr:colOff>476250</xdr:colOff>
      <xdr:row>57</xdr:row>
      <xdr:rowOff>247650</xdr:rowOff>
    </xdr:to>
    <xdr:sp macro="Sheet33.ExecuteAction_04ccd334_f95c_4ef3_8811_ce372a22e8c6" textlink="">
      <xdr:nvSpPr>
        <xdr:cNvPr id="5" name="TM1Button_04ccd334_f95c_4ef3_8811_ce372a22e8c6">
          <a:extLst>
            <a:ext uri="{FF2B5EF4-FFF2-40B4-BE49-F238E27FC236}">
              <a16:creationId xmlns:a16="http://schemas.microsoft.com/office/drawing/2014/main" id="{34BDADED-17CA-649A-B2CE-730C969E2EDE}"/>
            </a:ext>
          </a:extLst>
        </xdr:cNvPr>
        <xdr:cNvSpPr txBox="1"/>
      </xdr:nvSpPr>
      <xdr:spPr>
        <a:xfrm>
          <a:off x="2667000" y="514350"/>
          <a:ext cx="1562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Flow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3">
    <outlinePr showOutlineSymbols="0"/>
    <pageSetUpPr fitToPage="1"/>
  </sheetPr>
  <dimension ref="A1:AC84"/>
  <sheetViews>
    <sheetView showGridLines="0" showRowColHeaders="0" tabSelected="1" showOutlineSymbols="0" topLeftCell="A56" zoomScaleNormal="100" workbookViewId="0">
      <pane xSplit="17" ySplit="16" topLeftCell="R72" activePane="bottomRight" state="frozen"/>
      <selection activeCell="I56" sqref="I56"/>
      <selection pane="topRight" activeCell="R56" sqref="R56"/>
      <selection pane="bottomLeft" activeCell="I72" sqref="I72"/>
      <selection pane="bottomRight"/>
    </sheetView>
  </sheetViews>
  <sheetFormatPr defaultColWidth="9.140625" defaultRowHeight="15" outlineLevelRow="1" outlineLevelCol="1" x14ac:dyDescent="0.25"/>
  <cols>
    <col min="1" max="1" width="20.28515625" style="1" hidden="1" customWidth="1" outlineLevel="1"/>
    <col min="2" max="2" width="44.42578125" style="1" hidden="1" customWidth="1" outlineLevel="1"/>
    <col min="3" max="3" width="50.28515625" style="1" hidden="1" customWidth="1" outlineLevel="1"/>
    <col min="4" max="4" width="32.28515625" style="2" hidden="1" customWidth="1" outlineLevel="1"/>
    <col min="5" max="5" width="26" style="2" hidden="1" customWidth="1" outlineLevel="1"/>
    <col min="6" max="6" width="11.42578125" style="1" hidden="1" customWidth="1" outlineLevel="1"/>
    <col min="7" max="7" width="10.42578125" style="1" hidden="1" customWidth="1" outlineLevel="1"/>
    <col min="8" max="8" width="14.42578125" style="1" hidden="1" customWidth="1" outlineLevel="1"/>
    <col min="9" max="9" width="0.85546875" style="1" customWidth="1" collapsed="1"/>
    <col min="10" max="10" width="44.28515625" style="1" bestFit="1" customWidth="1"/>
    <col min="11" max="11" width="11.140625" style="2" customWidth="1"/>
    <col min="12" max="12" width="70.7109375" style="1" customWidth="1"/>
    <col min="13" max="13" width="0.85546875" style="1" customWidth="1"/>
    <col min="14" max="16" width="12.7109375" style="1" customWidth="1"/>
    <col min="17" max="17" width="1.7109375" style="1" customWidth="1"/>
    <col min="18" max="29" width="12.7109375" style="1" customWidth="1"/>
    <col min="30" max="31" width="9.140625" style="1"/>
    <col min="32" max="32" width="17.42578125" style="1" bestFit="1" customWidth="1"/>
    <col min="33" max="33" width="84.42578125" style="1" bestFit="1" customWidth="1"/>
    <col min="34" max="16384" width="9.140625" style="1"/>
  </cols>
  <sheetData>
    <row r="1" spans="1:29" hidden="1" outlineLevel="1" x14ac:dyDescent="0.25">
      <c r="A1" s="1" t="s">
        <v>63</v>
      </c>
    </row>
    <row r="2" spans="1:29" hidden="1" outlineLevel="1" x14ac:dyDescent="0.25">
      <c r="A2" s="1">
        <f>0</f>
        <v>0</v>
      </c>
      <c r="B2" s="33"/>
      <c r="C2" s="35"/>
      <c r="D2" s="12"/>
      <c r="E2" s="12"/>
      <c r="F2" s="11"/>
      <c r="J2" s="13"/>
      <c r="K2" s="12"/>
      <c r="L2" s="11"/>
      <c r="N2" s="42"/>
      <c r="O2" s="42"/>
      <c r="P2" s="42"/>
      <c r="Q2" s="37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</row>
    <row r="3" spans="1:29" hidden="1" outlineLevel="1" x14ac:dyDescent="0.25">
      <c r="A3" s="1">
        <f>1</f>
        <v>1</v>
      </c>
      <c r="B3" s="40"/>
      <c r="C3" s="39"/>
      <c r="J3" s="13"/>
      <c r="K3" s="12"/>
      <c r="L3" s="11"/>
      <c r="N3" s="38"/>
      <c r="O3" s="38"/>
      <c r="P3" s="38"/>
      <c r="Q3" s="37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</row>
    <row r="4" spans="1:29" hidden="1" outlineLevel="1" x14ac:dyDescent="0.25">
      <c r="A4" s="1">
        <f>2</f>
        <v>2</v>
      </c>
      <c r="B4" s="40"/>
      <c r="C4" s="39"/>
      <c r="J4" s="13"/>
      <c r="K4" s="12"/>
      <c r="L4" s="11"/>
      <c r="N4" s="38"/>
      <c r="O4" s="38"/>
      <c r="P4" s="38"/>
      <c r="Q4" s="37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</row>
    <row r="5" spans="1:29" hidden="1" outlineLevel="1" x14ac:dyDescent="0.25">
      <c r="A5" s="1">
        <f>3</f>
        <v>3</v>
      </c>
      <c r="B5" s="40"/>
      <c r="C5" s="39"/>
      <c r="J5" s="13"/>
      <c r="K5" s="12"/>
      <c r="L5" s="11"/>
      <c r="N5" s="38"/>
      <c r="O5" s="38"/>
      <c r="P5" s="38"/>
      <c r="Q5" s="37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</row>
    <row r="6" spans="1:29" hidden="1" outlineLevel="1" x14ac:dyDescent="0.25">
      <c r="A6" s="1" t="s">
        <v>62</v>
      </c>
      <c r="B6" s="40"/>
      <c r="C6" s="39"/>
      <c r="J6" s="13"/>
      <c r="K6" s="12"/>
      <c r="L6" s="11"/>
      <c r="N6" s="38"/>
      <c r="O6" s="38"/>
      <c r="P6" s="38"/>
      <c r="Q6" s="37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</row>
    <row r="7" spans="1:29" s="10" customFormat="1" hidden="1" outlineLevel="1" x14ac:dyDescent="0.25">
      <c r="A7" s="10" t="s">
        <v>61</v>
      </c>
      <c r="B7" s="33"/>
      <c r="C7" s="35"/>
      <c r="D7" s="12"/>
      <c r="E7" s="12"/>
      <c r="F7" s="11"/>
      <c r="G7" s="1"/>
      <c r="H7" s="1"/>
      <c r="I7" s="14"/>
      <c r="J7" s="13"/>
      <c r="K7" s="12"/>
      <c r="L7" s="11"/>
      <c r="N7" s="9"/>
      <c r="O7" s="9"/>
      <c r="P7" s="9"/>
      <c r="Q7" s="8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</row>
    <row r="8" spans="1:29" hidden="1" outlineLevel="1" x14ac:dyDescent="0.25">
      <c r="A8" s="1" t="s">
        <v>60</v>
      </c>
    </row>
    <row r="9" spans="1:29" hidden="1" outlineLevel="1" x14ac:dyDescent="0.25"/>
    <row r="10" spans="1:29" hidden="1" outlineLevel="1" x14ac:dyDescent="0.25"/>
    <row r="11" spans="1:29" hidden="1" outlineLevel="1" x14ac:dyDescent="0.25">
      <c r="B11" s="56" t="s">
        <v>65</v>
      </c>
      <c r="C11" s="56"/>
    </row>
    <row r="12" spans="1:29" hidden="1" outlineLevel="1" x14ac:dyDescent="0.25">
      <c r="B12" s="47" t="s">
        <v>66</v>
      </c>
      <c r="C12" s="47" t="s">
        <v>104</v>
      </c>
    </row>
    <row r="13" spans="1:29" hidden="1" outlineLevel="1" x14ac:dyDescent="0.25">
      <c r="B13" s="47" t="s">
        <v>67</v>
      </c>
      <c r="C13" s="47" t="str">
        <f t="array" aca="1" ref="C13" ca="1">_xll.TM1USER(db_name)</f>
        <v>RECALC_0_100_</v>
      </c>
    </row>
    <row r="14" spans="1:29" hidden="1" outlineLevel="1" x14ac:dyDescent="0.25">
      <c r="B14" s="48"/>
      <c r="C14" s="48"/>
    </row>
    <row r="15" spans="1:29" hidden="1" outlineLevel="1" x14ac:dyDescent="0.25">
      <c r="B15" s="56" t="s">
        <v>68</v>
      </c>
      <c r="C15" s="56"/>
    </row>
    <row r="16" spans="1:29" hidden="1" outlineLevel="1" x14ac:dyDescent="0.25">
      <c r="B16" s="47" t="s">
        <v>69</v>
      </c>
      <c r="C16" s="47" t="str">
        <f t="array" ref="C16">_xll.VIEW(db_name&amp;":}ElementAttributes_variables","!","!")</f>
        <v>finance_geus:}ElementAttributes_variables:1264217196-2084948958</v>
      </c>
    </row>
    <row r="17" spans="2:29" hidden="1" outlineLevel="1" x14ac:dyDescent="0.25">
      <c r="B17" s="47" t="s">
        <v>70</v>
      </c>
      <c r="C17" s="47" t="str">
        <f t="array" aca="1" ref="C17" ca="1">_xll.DBR($C$16,$B17,"value")</f>
        <v>RECALC_0_231_</v>
      </c>
    </row>
    <row r="18" spans="2:29" hidden="1" outlineLevel="1" x14ac:dyDescent="0.25">
      <c r="B18" s="47" t="s">
        <v>71</v>
      </c>
      <c r="C18" s="47" t="str">
        <f t="array" aca="1" ref="C18" ca="1">_xll.DBR($C$16,$B18,"value")</f>
        <v>RECALC_0_230_</v>
      </c>
    </row>
    <row r="19" spans="2:29" hidden="1" outlineLevel="1" x14ac:dyDescent="0.25">
      <c r="B19" s="48"/>
      <c r="C19" s="48"/>
    </row>
    <row r="20" spans="2:29" hidden="1" outlineLevel="1" x14ac:dyDescent="0.25">
      <c r="B20" s="56" t="s">
        <v>72</v>
      </c>
      <c r="C20" s="56"/>
    </row>
    <row r="21" spans="2:29" hidden="1" outlineLevel="1" x14ac:dyDescent="0.25">
      <c r="B21" s="47" t="s">
        <v>69</v>
      </c>
      <c r="C21" s="47" t="str">
        <f t="array" ref="C21">_xll.VIEW(db_name&amp;":sys_ME variable","!","!")</f>
        <v>finance_geus:sys_ME variable:1264217196270312859</v>
      </c>
    </row>
    <row r="22" spans="2:29" hidden="1" outlineLevel="1" x14ac:dyDescent="0.25">
      <c r="B22" s="47" t="s">
        <v>73</v>
      </c>
      <c r="C22" s="47" t="str">
        <f t="array" aca="1" ref="C22" ca="1">_xll.DBR($C$21,$B22,"value")</f>
        <v>RECALC_0_1135_</v>
      </c>
    </row>
    <row r="23" spans="2:29" hidden="1" outlineLevel="1" x14ac:dyDescent="0.25">
      <c r="B23" s="47" t="s">
        <v>74</v>
      </c>
      <c r="C23" s="47" t="str">
        <f t="array" aca="1" ref="C23" ca="1">_xll.DBR($C$21,$B23,"value")</f>
        <v>RECALC_0_1131_</v>
      </c>
    </row>
    <row r="24" spans="2:29" hidden="1" outlineLevel="1" x14ac:dyDescent="0.25">
      <c r="B24" s="47" t="s">
        <v>75</v>
      </c>
      <c r="C24" s="47" t="str">
        <f t="array" aca="1" ref="C24" ca="1">_xll.DBR($C$21,$B24,"value")</f>
        <v>RECALC_0_1113_</v>
      </c>
    </row>
    <row r="25" spans="2:29" hidden="1" outlineLevel="1" x14ac:dyDescent="0.25"/>
    <row r="26" spans="2:29" hidden="1" outlineLevel="1" x14ac:dyDescent="0.25">
      <c r="B26" s="34" t="s">
        <v>59</v>
      </c>
      <c r="C26" s="34" t="s">
        <v>58</v>
      </c>
      <c r="D26" s="34" t="s">
        <v>57</v>
      </c>
      <c r="F26" s="11" t="s">
        <v>98</v>
      </c>
      <c r="G26" s="11" t="s">
        <v>103</v>
      </c>
      <c r="H26" s="1" t="s">
        <v>102</v>
      </c>
    </row>
    <row r="27" spans="2:29" hidden="1" outlineLevel="1" x14ac:dyDescent="0.25">
      <c r="B27" s="29" t="s">
        <v>56</v>
      </c>
      <c r="C27" s="33"/>
      <c r="D27" s="29" t="str">
        <f ca="1">_xll.VIEW(db_name&amp;":ME reporting",$L$62,$L$63,"!","!","!","!","!","!","!","!","!","!")</f>
        <v>finance_geus:ME reporting:1264217196-1843410590</v>
      </c>
      <c r="F27" s="11" t="s">
        <v>54</v>
      </c>
      <c r="G27" s="11" t="s">
        <v>99</v>
      </c>
      <c r="H27" s="11" t="s">
        <v>95</v>
      </c>
    </row>
    <row r="28" spans="2:29" hidden="1" outlineLevel="1" x14ac:dyDescent="0.25">
      <c r="B28" s="29" t="s">
        <v>55</v>
      </c>
      <c r="C28" s="11" t="str">
        <f>IF($P$62="N Level",$F27,IF($P$62="Show Totals",$G27,$H27))</f>
        <v>{TM1FILTERBYLEVEL( {TM1DRILLDOWNMEMBER( {[account].[5000000]}, ALL, RECURSIVE )}, 0)}</v>
      </c>
      <c r="D28" s="11" t="str">
        <f ca="1">_xll.TM1RPTVIEW(db_name&amp;":ME reporting:ARPT2", 1, _xll.TM1RPTTITLE(db_name&amp;":headline year",$L$62), _xll.TM1RPTTITLE(db_name&amp;":scenario",$L$63),_xll.TM1RPTTITLE(db_name&amp;":ME reporting measure",$C$41),TM1RPTFMTRNG,TM1RPTFMTIDCOL)</f>
        <v>finance_geus:ME reporting:ARPT2</v>
      </c>
      <c r="F28" s="11" t="s">
        <v>52</v>
      </c>
      <c r="G28" s="11" t="s">
        <v>100</v>
      </c>
      <c r="H28" s="11" t="s">
        <v>96</v>
      </c>
    </row>
    <row r="29" spans="2:29" hidden="1" outlineLevel="1" x14ac:dyDescent="0.25">
      <c r="B29" s="29" t="s">
        <v>53</v>
      </c>
      <c r="C29" s="11" t="str">
        <f t="shared" ref="C29:C30" si="0">IF($P$62="N Level",$F28,IF($P$62="Show Totals",$G28,$H28))</f>
        <v>{TM1FILTERBYLEVEL( {TM1DRILLDOWNMEMBER( {[account].[3000000]}, ALL, RECURSIVE )}, 0)}</v>
      </c>
      <c r="D29" s="11" t="str">
        <f ca="1">_xll.TM1RPTVIEW(db_name&amp;":ME reporting:ARPT3", 1, _xll.TM1RPTTITLE(db_name&amp;":headline year",$L$62), _xll.TM1RPTTITLE(db_name&amp;":scenario",$L$63),_xll.TM1RPTTITLE(db_name&amp;":ME reporting measure",$C$41),TM1RPTFMTRNG,TM1RPTFMTIDCOL)</f>
        <v>finance_geus:ME reporting:ARPT3</v>
      </c>
      <c r="F29" s="11" t="s">
        <v>50</v>
      </c>
      <c r="G29" s="11" t="s">
        <v>101</v>
      </c>
      <c r="H29" s="11" t="s">
        <v>97</v>
      </c>
    </row>
    <row r="30" spans="2:29" hidden="1" outlineLevel="1" x14ac:dyDescent="0.25">
      <c r="B30" s="29" t="s">
        <v>51</v>
      </c>
      <c r="C30" s="11" t="str">
        <f t="shared" si="0"/>
        <v>{TM1FILTERBYLEVEL( {TM1DRILLDOWNMEMBER( {[account].[4000000]}, ALL, RECURSIVE )}, 0)}</v>
      </c>
      <c r="D30" s="11" t="str">
        <f ca="1">_xll.TM1RPTVIEW(db_name&amp;":ME reporting:ARPT4", 1, _xll.TM1RPTTITLE(db_name&amp;":headline year",$L$62), _xll.TM1RPTTITLE(db_name&amp;":scenario",$L$63),_xll.TM1RPTTITLE(db_name&amp;":ME reporting measure",$C$41),TM1RPTFMTRNG,TM1RPTFMTIDCOL)</f>
        <v>finance_geus:ME reporting:ARPT4</v>
      </c>
      <c r="N30" s="30" t="s">
        <v>48</v>
      </c>
      <c r="O30" s="32" t="s">
        <v>47</v>
      </c>
      <c r="P30" s="30"/>
      <c r="Q30" s="31"/>
      <c r="R30" s="30" t="s">
        <v>47</v>
      </c>
      <c r="S30" s="30" t="s">
        <v>47</v>
      </c>
      <c r="T30" s="30" t="s">
        <v>47</v>
      </c>
      <c r="U30" s="30" t="s">
        <v>47</v>
      </c>
      <c r="V30" s="30" t="s">
        <v>47</v>
      </c>
      <c r="W30" s="30" t="s">
        <v>47</v>
      </c>
      <c r="X30" s="30" t="s">
        <v>47</v>
      </c>
      <c r="Y30" s="30" t="s">
        <v>47</v>
      </c>
      <c r="Z30" s="30" t="s">
        <v>47</v>
      </c>
      <c r="AA30" s="30" t="s">
        <v>47</v>
      </c>
      <c r="AB30" s="30" t="s">
        <v>47</v>
      </c>
      <c r="AC30" s="30" t="s">
        <v>47</v>
      </c>
    </row>
    <row r="31" spans="2:29" hidden="1" outlineLevel="1" x14ac:dyDescent="0.25">
      <c r="B31" s="29" t="s">
        <v>4</v>
      </c>
      <c r="C31" s="11" t="str">
        <f ca="1">"{{TM1FILTERBYLEVEL( {TM1DRILLDOWNMEMBER( {[programme].[" &amp;$L$65 &amp;"]}, ALL, RECURSIVE )}, 0)},{[programme].[" &amp;$L$65 &amp;"]}}"</f>
        <v>{{TM1FILTERBYLEVEL( {TM1DRILLDOWNMEMBER( {[programme].[RECALC_0_1372_]}, ALL, RECURSIVE )}, 0)},{[programme].[RECALC_0_1372_]}}</v>
      </c>
      <c r="D31" s="11" t="str">
        <f ca="1">"{TM1FILTERBYLEVEL( {TM1DRILLDOWNMEMBER( {[programme].[" &amp;$L$65 &amp;"]}, ALL, RECURSIVE )}, 0)}"</f>
        <v>{TM1FILTERBYLEVEL( {TM1DRILLDOWNMEMBER( {[programme].[RECALC_0_1372_]}, ALL, RECURSIVE )}, 0)}</v>
      </c>
      <c r="E31" s="1"/>
      <c r="K31" s="1"/>
      <c r="N31" s="30" t="s">
        <v>45</v>
      </c>
      <c r="O31" s="30" t="s">
        <v>45</v>
      </c>
      <c r="P31" s="30"/>
      <c r="Q31" s="31"/>
      <c r="R31" s="30" t="str">
        <f>R32</f>
        <v>Jul YTD</v>
      </c>
      <c r="S31" s="30" t="str">
        <f t="shared" ref="S31:AC31" si="1">S32</f>
        <v>Aug YTD</v>
      </c>
      <c r="T31" s="30" t="str">
        <f t="shared" si="1"/>
        <v>Sep YTD</v>
      </c>
      <c r="U31" s="30" t="str">
        <f t="shared" si="1"/>
        <v>Oct YTD</v>
      </c>
      <c r="V31" s="30" t="str">
        <f t="shared" si="1"/>
        <v>Nov YTD</v>
      </c>
      <c r="W31" s="30" t="str">
        <f t="shared" si="1"/>
        <v>Dec YTD</v>
      </c>
      <c r="X31" s="30" t="str">
        <f t="shared" si="1"/>
        <v>Jan YTD</v>
      </c>
      <c r="Y31" s="30" t="str">
        <f t="shared" si="1"/>
        <v>Feb YTD</v>
      </c>
      <c r="Z31" s="30" t="str">
        <f t="shared" si="1"/>
        <v>Mar YTD</v>
      </c>
      <c r="AA31" s="30" t="str">
        <f t="shared" si="1"/>
        <v>Apr YTD</v>
      </c>
      <c r="AB31" s="30" t="str">
        <f t="shared" si="1"/>
        <v>May YTD</v>
      </c>
      <c r="AC31" s="30" t="str">
        <f t="shared" si="1"/>
        <v>Jun YTD</v>
      </c>
    </row>
    <row r="32" spans="2:29" hidden="1" outlineLevel="1" x14ac:dyDescent="0.25">
      <c r="B32" s="29" t="s">
        <v>44</v>
      </c>
      <c r="C32" s="11" t="s">
        <v>43</v>
      </c>
      <c r="D32" s="11" t="s">
        <v>42</v>
      </c>
      <c r="E32" s="1" t="s">
        <v>41</v>
      </c>
      <c r="K32" s="1"/>
      <c r="R32" s="30" t="str">
        <f t="shared" ref="R32:AC32" si="2">IF($L$67="Data Entry",R$33,R$33 &amp; " YTD")</f>
        <v>Jul YTD</v>
      </c>
      <c r="S32" s="30" t="str">
        <f t="shared" si="2"/>
        <v>Aug YTD</v>
      </c>
      <c r="T32" s="30" t="str">
        <f t="shared" si="2"/>
        <v>Sep YTD</v>
      </c>
      <c r="U32" s="30" t="str">
        <f t="shared" si="2"/>
        <v>Oct YTD</v>
      </c>
      <c r="V32" s="30" t="str">
        <f t="shared" si="2"/>
        <v>Nov YTD</v>
      </c>
      <c r="W32" s="30" t="str">
        <f t="shared" si="2"/>
        <v>Dec YTD</v>
      </c>
      <c r="X32" s="30" t="str">
        <f t="shared" si="2"/>
        <v>Jan YTD</v>
      </c>
      <c r="Y32" s="30" t="str">
        <f t="shared" si="2"/>
        <v>Feb YTD</v>
      </c>
      <c r="Z32" s="30" t="str">
        <f t="shared" si="2"/>
        <v>Mar YTD</v>
      </c>
      <c r="AA32" s="30" t="str">
        <f t="shared" si="2"/>
        <v>Apr YTD</v>
      </c>
      <c r="AB32" s="30" t="str">
        <f t="shared" si="2"/>
        <v>May YTD</v>
      </c>
      <c r="AC32" s="30" t="str">
        <f t="shared" si="2"/>
        <v>Jun YTD</v>
      </c>
    </row>
    <row r="33" spans="2:29" hidden="1" outlineLevel="1" x14ac:dyDescent="0.25">
      <c r="B33" s="29" t="s">
        <v>40</v>
      </c>
      <c r="C33" s="11" t="s">
        <v>39</v>
      </c>
      <c r="D33" s="11" t="s">
        <v>38</v>
      </c>
      <c r="E33" s="1" t="s">
        <v>37</v>
      </c>
      <c r="R33" s="30" t="s">
        <v>36</v>
      </c>
      <c r="S33" s="30" t="s">
        <v>35</v>
      </c>
      <c r="T33" s="30" t="s">
        <v>34</v>
      </c>
      <c r="U33" s="30" t="s">
        <v>33</v>
      </c>
      <c r="V33" s="30" t="s">
        <v>32</v>
      </c>
      <c r="W33" s="30" t="s">
        <v>31</v>
      </c>
      <c r="X33" s="30" t="s">
        <v>30</v>
      </c>
      <c r="Y33" s="30" t="s">
        <v>29</v>
      </c>
      <c r="Z33" s="30" t="s">
        <v>28</v>
      </c>
      <c r="AA33" s="30" t="s">
        <v>27</v>
      </c>
      <c r="AB33" s="30" t="s">
        <v>26</v>
      </c>
      <c r="AC33" s="30" t="s">
        <v>25</v>
      </c>
    </row>
    <row r="34" spans="2:29" hidden="1" outlineLevel="1" x14ac:dyDescent="0.25">
      <c r="B34" s="29" t="s">
        <v>24</v>
      </c>
      <c r="C34" s="11" t="s">
        <v>23</v>
      </c>
      <c r="D34" s="11" t="s">
        <v>22</v>
      </c>
      <c r="E34" s="1" t="s">
        <v>21</v>
      </c>
    </row>
    <row r="35" spans="2:29" hidden="1" outlineLevel="1" x14ac:dyDescent="0.25">
      <c r="B35" s="35" t="s">
        <v>40</v>
      </c>
      <c r="C35" s="27" t="str">
        <f ca="1">_xll.SUBNM(db_name&amp;":related entity","","Total related entity")</f>
        <v>RECALC_0_2_</v>
      </c>
      <c r="D35" s="1"/>
      <c r="E35" s="1"/>
    </row>
    <row r="36" spans="2:29" hidden="1" outlineLevel="1" x14ac:dyDescent="0.25">
      <c r="B36" s="35" t="s">
        <v>49</v>
      </c>
      <c r="C36" s="27" t="str">
        <f ca="1">_xll.SUBNM(db_name&amp;":function","","Total functions")</f>
        <v>RECALC_0_3_</v>
      </c>
      <c r="D36" s="1"/>
      <c r="E36" s="1"/>
    </row>
    <row r="37" spans="2:29" hidden="1" outlineLevel="1" x14ac:dyDescent="0.25">
      <c r="B37" s="35" t="s">
        <v>46</v>
      </c>
      <c r="C37" s="27" t="str">
        <f ca="1">_xll.SUBNM(db_name&amp;":movement account","","Total movement")</f>
        <v>RECALC_0_744_</v>
      </c>
      <c r="D37" s="1"/>
      <c r="E37" s="1"/>
    </row>
    <row r="38" spans="2:29" hidden="1" outlineLevel="1" x14ac:dyDescent="0.25">
      <c r="B38" s="35" t="s">
        <v>24</v>
      </c>
      <c r="C38" s="27" t="str">
        <f ca="1">_xll.SUBNM(db_name&amp;":jurisdiction","","Total jurisdictions")</f>
        <v>RECALC_0_12_</v>
      </c>
      <c r="D38" s="1"/>
      <c r="E38" s="1"/>
    </row>
    <row r="39" spans="2:29" hidden="1" outlineLevel="1" x14ac:dyDescent="0.25">
      <c r="B39" s="35" t="s">
        <v>76</v>
      </c>
      <c r="C39" s="27" t="str">
        <f ca="1">_xll.SUBNM(db_name&amp;":spp","","Total SPP")</f>
        <v>RECALC_0_5_</v>
      </c>
      <c r="D39" s="1"/>
      <c r="E39" s="1"/>
    </row>
    <row r="40" spans="2:29" hidden="1" outlineLevel="1" x14ac:dyDescent="0.25">
      <c r="B40" s="35" t="s">
        <v>77</v>
      </c>
      <c r="C40" s="27" t="str">
        <f ca="1">_xll.SUBNM(db_name&amp;":appropriation item","","Total approp item")</f>
        <v>RECALC_0_9_</v>
      </c>
      <c r="D40" s="1"/>
      <c r="E40" s="1"/>
    </row>
    <row r="41" spans="2:29" hidden="1" outlineLevel="1" x14ac:dyDescent="0.25">
      <c r="B41" s="50" t="s">
        <v>78</v>
      </c>
      <c r="C41" s="47" t="str">
        <f t="array" aca="1" ref="C41" ca="1">_xll.SUBNM(db_name&amp;":ME reporting measure","","value")</f>
        <v>RECALC_0_1423_</v>
      </c>
      <c r="D41" s="1"/>
      <c r="E41" s="1"/>
    </row>
    <row r="42" spans="2:29" hidden="1" outlineLevel="1" x14ac:dyDescent="0.25">
      <c r="B42" s="49"/>
      <c r="D42" s="1"/>
      <c r="E42" s="1"/>
    </row>
    <row r="43" spans="2:29" hidden="1" outlineLevel="1" x14ac:dyDescent="0.25">
      <c r="B43" s="56" t="s">
        <v>79</v>
      </c>
      <c r="C43" s="56"/>
      <c r="D43" s="48"/>
      <c r="E43" s="48"/>
      <c r="F43" s="48"/>
      <c r="G43" s="48"/>
      <c r="H43" s="48"/>
    </row>
    <row r="44" spans="2:29" hidden="1" outlineLevel="1" x14ac:dyDescent="0.25">
      <c r="B44" s="51" t="s">
        <v>69</v>
      </c>
      <c r="C44" s="51" t="str">
        <f t="array" ref="C44">_xll.VIEW(db_name&amp;":sys_application","!","!")</f>
        <v>finance_geus:sys_application:1264217196-29550577</v>
      </c>
      <c r="D44" s="48"/>
      <c r="E44" s="48"/>
      <c r="F44" s="48"/>
      <c r="G44" s="48"/>
      <c r="H44" s="48"/>
    </row>
    <row r="45" spans="2:29" hidden="1" outlineLevel="1" x14ac:dyDescent="0.25">
      <c r="B45" s="47"/>
      <c r="C45" s="52" t="s">
        <v>80</v>
      </c>
      <c r="D45" s="52" t="s">
        <v>81</v>
      </c>
      <c r="E45" s="52" t="s">
        <v>82</v>
      </c>
      <c r="F45" s="52" t="s">
        <v>83</v>
      </c>
      <c r="G45" s="52" t="s">
        <v>84</v>
      </c>
      <c r="H45" s="52" t="s">
        <v>85</v>
      </c>
    </row>
    <row r="46" spans="2:29" hidden="1" outlineLevel="1" x14ac:dyDescent="0.25">
      <c r="B46" s="47" t="s">
        <v>86</v>
      </c>
      <c r="C46" s="47" t="str">
        <f ca="1">_xll.DBR($C$44,$B46,C$45)</f>
        <v>RECALC_0_1115_</v>
      </c>
      <c r="D46" s="47" t="str">
        <f ca="1">_xll.DBR($C$44,$B46,D$45)</f>
        <v>RECALC_0_1147_</v>
      </c>
      <c r="E46" s="47" t="str">
        <f ca="1">_xll.DBR($C$44,$B46,E$45)</f>
        <v>RECALC_0_1114_</v>
      </c>
      <c r="F46" s="47" t="str">
        <f ca="1">_xll.DBR($C$44,$B46,F$45)</f>
        <v>RECALC_0_1112_</v>
      </c>
      <c r="G46" s="47" t="str">
        <f ca="1">_xll.DBR($C$44,$B46,G$45)</f>
        <v>RECALC_0_1161_</v>
      </c>
      <c r="H46" s="47" t="str">
        <f ca="1">_xll.DBR($C$44,$B46,H$45)</f>
        <v>RECALC_0_1146_</v>
      </c>
    </row>
    <row r="47" spans="2:29" hidden="1" outlineLevel="1" x14ac:dyDescent="0.25">
      <c r="B47" s="47" t="s">
        <v>87</v>
      </c>
      <c r="C47" s="47" t="str">
        <f ca="1">_xll.DBR($C$44,$B47,C$45)</f>
        <v>RECALC_0_1346_</v>
      </c>
      <c r="D47" s="47" t="str">
        <f ca="1">_xll.DBR($C$44,$B47,D$45)</f>
        <v>RECALC_0_1345_</v>
      </c>
      <c r="E47" s="47" t="str">
        <f ca="1">_xll.DBR($C$44,$B47,E$45)</f>
        <v>RECALC_0_1344_</v>
      </c>
      <c r="F47" s="47" t="str">
        <f ca="1">_xll.DBR($C$44,$B47,F$45)</f>
        <v>RECALC_0_1343_</v>
      </c>
      <c r="G47" s="47" t="str">
        <f ca="1">_xll.DBR($C$44,$B47,G$45)</f>
        <v>RECALC_0_1342_</v>
      </c>
      <c r="H47" s="47" t="str">
        <f ca="1">_xll.DBR($C$44,$B47,H$45)</f>
        <v>RECALC_0_1341_</v>
      </c>
    </row>
    <row r="48" spans="2:29" hidden="1" outlineLevel="1" x14ac:dyDescent="0.25">
      <c r="B48" s="47" t="s">
        <v>88</v>
      </c>
      <c r="C48" s="47" t="str">
        <f ca="1">_xll.DBR($C$44,$B48,C$45)</f>
        <v>RECALC_0_1340_</v>
      </c>
      <c r="D48" s="47" t="str">
        <f ca="1">_xll.DBR($C$44,$B48,D$45)</f>
        <v>RECALC_0_1339_</v>
      </c>
      <c r="E48" s="47" t="str">
        <f ca="1">_xll.DBR($C$44,$B48,E$45)</f>
        <v>RECALC_0_1338_</v>
      </c>
      <c r="F48" s="47" t="str">
        <f ca="1">_xll.DBR($C$44,$B48,F$45)</f>
        <v>RECALC_0_1337_</v>
      </c>
      <c r="G48" s="47" t="str">
        <f ca="1">_xll.DBR($C$44,$B48,G$45)</f>
        <v>RECALC_0_1336_</v>
      </c>
      <c r="H48" s="47" t="str">
        <f ca="1">_xll.DBR($C$44,$B48,H$45)</f>
        <v>RECALC_0_1335_</v>
      </c>
    </row>
    <row r="49" spans="2:29" hidden="1" outlineLevel="1" x14ac:dyDescent="0.25">
      <c r="B49" s="47" t="s">
        <v>89</v>
      </c>
      <c r="C49" s="47" t="str">
        <f ca="1">_xll.DBR($C$44,$B49,C$45)</f>
        <v>RECALC_0_1334_</v>
      </c>
      <c r="D49" s="47" t="str">
        <f ca="1">_xll.DBR($C$44,$B49,D$45)</f>
        <v>RECALC_0_1333_</v>
      </c>
      <c r="E49" s="47" t="str">
        <f ca="1">_xll.DBR($C$44,$B49,E$45)</f>
        <v>RECALC_0_1332_</v>
      </c>
      <c r="F49" s="47" t="str">
        <f ca="1">_xll.DBR($C$44,$B49,F$45)</f>
        <v>RECALC_0_1331_</v>
      </c>
      <c r="G49" s="47" t="str">
        <f ca="1">_xll.DBR($C$44,$B49,G$45)</f>
        <v>RECALC_0_1330_</v>
      </c>
      <c r="H49" s="47" t="str">
        <f ca="1">_xll.DBR($C$44,$B49,H$45)</f>
        <v>RECALC_0_1329_</v>
      </c>
    </row>
    <row r="50" spans="2:29" hidden="1" outlineLevel="1" x14ac:dyDescent="0.25">
      <c r="B50" s="47" t="s">
        <v>90</v>
      </c>
      <c r="C50" s="47" t="str">
        <f ca="1">_xll.DBR($C$44,$B50,C$45)</f>
        <v>RECALC_0_1155_</v>
      </c>
      <c r="D50" s="47" t="str">
        <f ca="1">_xll.DBR($C$44,$B50,D$45)</f>
        <v>RECALC_0_1134_</v>
      </c>
      <c r="E50" s="47" t="str">
        <f ca="1">_xll.DBR($C$44,$B50,E$45)</f>
        <v>RECALC_0_1120_</v>
      </c>
      <c r="F50" s="47" t="str">
        <f ca="1">_xll.DBR($C$44,$B50,F$45)</f>
        <v>RECALC_0_1103_</v>
      </c>
      <c r="G50" s="47" t="str">
        <f ca="1">_xll.DBR($C$44,$B50,G$45)</f>
        <v>RECALC_0_1149_</v>
      </c>
      <c r="H50" s="47" t="str">
        <f ca="1">_xll.DBR($C$44,$B50,H$45)</f>
        <v>RECALC_0_1138_</v>
      </c>
    </row>
    <row r="51" spans="2:29" hidden="1" outlineLevel="1" x14ac:dyDescent="0.25">
      <c r="B51" s="49"/>
      <c r="D51" s="1"/>
      <c r="E51" s="1"/>
    </row>
    <row r="52" spans="2:29" hidden="1" outlineLevel="1" x14ac:dyDescent="0.25">
      <c r="B52" s="49"/>
      <c r="D52" s="1"/>
      <c r="E52" s="1"/>
    </row>
    <row r="53" spans="2:29" hidden="1" outlineLevel="1" x14ac:dyDescent="0.25">
      <c r="B53" s="49"/>
      <c r="D53" s="1"/>
      <c r="E53" s="1"/>
    </row>
    <row r="54" spans="2:29" hidden="1" outlineLevel="1" x14ac:dyDescent="0.25">
      <c r="B54" s="49"/>
      <c r="D54" s="1"/>
      <c r="E54" s="1"/>
    </row>
    <row r="55" spans="2:29" hidden="1" outlineLevel="1" x14ac:dyDescent="0.25">
      <c r="D55" s="2" t="s">
        <v>20</v>
      </c>
    </row>
    <row r="56" spans="2:29" ht="36" customHeight="1" collapsed="1" x14ac:dyDescent="0.25"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54" t="s">
        <v>92</v>
      </c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</row>
    <row r="57" spans="2:29" ht="4.5" customHeight="1" x14ac:dyDescent="0.25">
      <c r="B57" s="44"/>
      <c r="C57" s="44"/>
      <c r="D57" s="45"/>
      <c r="E57" s="45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5"/>
      <c r="R57" s="45"/>
      <c r="S57" s="44"/>
      <c r="T57" s="44"/>
      <c r="U57" s="44"/>
      <c r="V57" s="45"/>
      <c r="W57" s="44"/>
      <c r="X57" s="44"/>
      <c r="Y57" s="44"/>
      <c r="Z57" s="44"/>
      <c r="AA57" s="44"/>
      <c r="AB57" s="44"/>
      <c r="AC57" s="44"/>
    </row>
    <row r="58" spans="2:29" ht="24.6" customHeight="1" x14ac:dyDescent="0.25"/>
    <row r="59" spans="2:29" ht="1.5" customHeight="1" x14ac:dyDescent="0.25">
      <c r="B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</row>
    <row r="61" spans="2:29" x14ac:dyDescent="0.25">
      <c r="L61" s="46" t="s">
        <v>64</v>
      </c>
      <c r="P61" s="46" t="s">
        <v>93</v>
      </c>
    </row>
    <row r="62" spans="2:29" x14ac:dyDescent="0.25">
      <c r="C62" s="26"/>
      <c r="K62" s="28" t="s">
        <v>19</v>
      </c>
      <c r="L62" s="27" t="str">
        <f ca="1">_xll.SUBNM(db_name&amp;":headline year","ME Default",$C$22)</f>
        <v>RECALC_1_1442_</v>
      </c>
      <c r="O62" s="28" t="s">
        <v>94</v>
      </c>
      <c r="P62" s="55" t="s">
        <v>98</v>
      </c>
    </row>
    <row r="63" spans="2:29" x14ac:dyDescent="0.25">
      <c r="K63" s="28" t="s">
        <v>18</v>
      </c>
      <c r="L63" s="27" t="str">
        <f ca="1">_xll.SUBNM(db_name&amp;":scenario","","current")</f>
        <v>RECALC_0_91_</v>
      </c>
    </row>
    <row r="64" spans="2:29" hidden="1" x14ac:dyDescent="0.25">
      <c r="K64" s="28" t="s">
        <v>17</v>
      </c>
      <c r="L64" s="11" t="str">
        <f ca="1">_xll.SUBNM(db_name&amp;":status","","data")</f>
        <v>RECALC_0_0_</v>
      </c>
    </row>
    <row r="65" spans="1:29" x14ac:dyDescent="0.25">
      <c r="K65" s="28" t="s">
        <v>4</v>
      </c>
      <c r="L65" s="27" t="str">
        <f ca="1">_xll.SUBNM(db_name&amp;":programme","sys_ME programs","Administered programmes","code and description")</f>
        <v>RECALC_0_1372_</v>
      </c>
    </row>
    <row r="66" spans="1:29" ht="5.0999999999999996" customHeight="1" x14ac:dyDescent="0.25">
      <c r="K66" s="1"/>
    </row>
    <row r="67" spans="1:29" x14ac:dyDescent="0.25">
      <c r="K67" s="25" t="s">
        <v>16</v>
      </c>
      <c r="L67" s="27" t="s">
        <v>15</v>
      </c>
    </row>
    <row r="68" spans="1:29" ht="5.0999999999999996" customHeight="1" x14ac:dyDescent="0.25">
      <c r="B68" s="26"/>
      <c r="C68" s="25"/>
    </row>
    <row r="69" spans="1:29" x14ac:dyDescent="0.25">
      <c r="D69" s="24"/>
      <c r="E69" s="24"/>
      <c r="F69" s="22"/>
      <c r="G69" s="22"/>
      <c r="H69" s="22"/>
      <c r="I69" s="22"/>
      <c r="J69" s="22"/>
      <c r="K69" s="24"/>
      <c r="L69" s="53" t="s">
        <v>91</v>
      </c>
      <c r="N69" s="23" t="str">
        <f ca="1">_xll.DBRW($D$27,$L$62,$L$63,"Total related entity",$C$39,"Total movement",$L65,$C$40,"3800001",N$30,"Total jurisdictions",N$31,$C$41)</f>
        <v>RECALC_2_1543_</v>
      </c>
      <c r="O69" s="23" t="str">
        <f ca="1">_xll.DBRW($D$27,$L$62,$L$63,"Total related entity",$C$39,"Total movement",$L65,$C$40,"3800001",O$30,"Total jurisdictions",O$31,$C$41)</f>
        <v>RECALC_2_1531_</v>
      </c>
      <c r="P69" s="23" t="e">
        <f ca="1">N69-O69</f>
        <v>#VALUE!</v>
      </c>
      <c r="R69" s="23" t="str">
        <f ca="1">_xll.DBRW($D$27,$L$62,$L$63,"Total related entity",$C$39,"Total movement",$L65,$C$40,"3800001",R$30,"Total jurisdictions",R$31,$C$41)</f>
        <v>RECALC_2_1542_</v>
      </c>
      <c r="S69" s="23" t="str">
        <f ca="1">_xll.DBRW($D$27,$L$62,$L$63,"Total related entity",$C$39,"Total movement",$L65,$C$40,"3800001",S$30,"Total jurisdictions",S$31,$C$41)</f>
        <v>RECALC_2_1541_</v>
      </c>
      <c r="T69" s="23" t="str">
        <f ca="1">_xll.DBRW($D$27,$L$62,$L$63,"Total related entity",$C$39,"Total movement",$L65,$C$40,"3800001",T$30,"Total jurisdictions",T$31,$C$41)</f>
        <v>RECALC_2_1540_</v>
      </c>
      <c r="U69" s="23" t="str">
        <f ca="1">_xll.DBRW($D$27,$L$62,$L$63,"Total related entity",$C$39,"Total movement",$L65,$C$40,"3800001",U$30,"Total jurisdictions",U$31,$C$41)</f>
        <v>RECALC_2_1539_</v>
      </c>
      <c r="V69" s="23" t="str">
        <f ca="1">_xll.DBRW($D$27,$L$62,$L$63,"Total related entity",$C$39,"Total movement",$L65,$C$40,"3800001",V$30,"Total jurisdictions",V$31,$C$41)</f>
        <v>RECALC_2_1538_</v>
      </c>
      <c r="W69" s="23" t="str">
        <f ca="1">_xll.DBRW($D$27,$L$62,$L$63,"Total related entity",$C$39,"Total movement",$L65,$C$40,"3800001",W$30,"Total jurisdictions",W$31,$C$41)</f>
        <v>RECALC_2_1537_</v>
      </c>
      <c r="X69" s="23" t="str">
        <f ca="1">_xll.DBRW($D$27,$L$62,$L$63,"Total related entity",$C$39,"Total movement",$L65,$C$40,"3800001",X$30,"Total jurisdictions",X$31,$C$41)</f>
        <v>RECALC_2_1536_</v>
      </c>
      <c r="Y69" s="23" t="str">
        <f ca="1">_xll.DBRW($D$27,$L$62,$L$63,"Total related entity",$C$39,"Total movement",$L65,$C$40,"3800001",Y$30,"Total jurisdictions",Y$31,$C$41)</f>
        <v>RECALC_2_1535_</v>
      </c>
      <c r="Z69" s="23" t="str">
        <f ca="1">_xll.DBRW($D$27,$L$62,$L$63,"Total related entity",$C$39,"Total movement",$L65,$C$40,"3800001",Z$30,"Total jurisdictions",Z$31,$C$41)</f>
        <v>RECALC_2_1534_</v>
      </c>
      <c r="AA69" s="23" t="str">
        <f ca="1">_xll.DBRW($D$27,$L$62,$L$63,"Total related entity",$C$39,"Total movement",$L65,$C$40,"3800001",AA$30,"Total jurisdictions",AA$31,$C$41)</f>
        <v>RECALC_2_1533_</v>
      </c>
      <c r="AB69" s="23" t="str">
        <f ca="1">_xll.DBRW($D$27,$L$62,$L$63,"Total related entity",$C$39,"Total movement",$L65,$C$40,"3800001",AB$30,"Total jurisdictions",AB$31,$C$41)</f>
        <v>RECALC_2_1532_</v>
      </c>
      <c r="AC69" s="23" t="str">
        <f ca="1">_xll.DBRW($D$27,$L$62,$L$63,"Total related entity",$C$39,"Total movement",$L65,$C$40,"3800001",AC$30,"Total jurisdictions",AC$31,$C$41)</f>
        <v>RECALC_2_1531_</v>
      </c>
    </row>
    <row r="70" spans="1:29" x14ac:dyDescent="0.25">
      <c r="B70" s="22" t="s">
        <v>14</v>
      </c>
      <c r="J70" s="20" t="s">
        <v>13</v>
      </c>
    </row>
    <row r="71" spans="1:29" s="17" customFormat="1" ht="30" x14ac:dyDescent="0.25">
      <c r="B71" s="18" t="s">
        <v>6</v>
      </c>
      <c r="C71" s="18" t="s">
        <v>4</v>
      </c>
      <c r="D71" s="18"/>
      <c r="E71" s="18"/>
      <c r="F71" s="18"/>
      <c r="G71" s="18"/>
      <c r="H71" s="18"/>
      <c r="I71" s="19"/>
      <c r="J71" s="18" t="s">
        <v>6</v>
      </c>
      <c r="K71" s="18" t="s">
        <v>5</v>
      </c>
      <c r="L71" s="18" t="s">
        <v>4</v>
      </c>
      <c r="N71" s="18" t="s">
        <v>3</v>
      </c>
      <c r="O71" s="18" t="s">
        <v>2</v>
      </c>
      <c r="P71" s="18" t="s">
        <v>1</v>
      </c>
      <c r="Q71" s="19"/>
      <c r="R71" s="18" t="str">
        <f t="shared" ref="R71:AC71" si="3">R$31</f>
        <v>Jul YTD</v>
      </c>
      <c r="S71" s="18" t="str">
        <f t="shared" si="3"/>
        <v>Aug YTD</v>
      </c>
      <c r="T71" s="18" t="str">
        <f t="shared" si="3"/>
        <v>Sep YTD</v>
      </c>
      <c r="U71" s="18" t="str">
        <f t="shared" si="3"/>
        <v>Oct YTD</v>
      </c>
      <c r="V71" s="18" t="str">
        <f t="shared" si="3"/>
        <v>Nov YTD</v>
      </c>
      <c r="W71" s="18" t="str">
        <f t="shared" si="3"/>
        <v>Dec YTD</v>
      </c>
      <c r="X71" s="18" t="str">
        <f t="shared" si="3"/>
        <v>Jan YTD</v>
      </c>
      <c r="Y71" s="18" t="str">
        <f t="shared" si="3"/>
        <v>Feb YTD</v>
      </c>
      <c r="Z71" s="18" t="str">
        <f t="shared" si="3"/>
        <v>Mar YTD</v>
      </c>
      <c r="AA71" s="18" t="str">
        <f t="shared" si="3"/>
        <v>Apr YTD</v>
      </c>
      <c r="AB71" s="18" t="str">
        <f t="shared" si="3"/>
        <v>May YTD</v>
      </c>
      <c r="AC71" s="18" t="str">
        <f t="shared" si="3"/>
        <v>Jun YTD</v>
      </c>
    </row>
    <row r="72" spans="1:29" x14ac:dyDescent="0.25">
      <c r="A72" s="10" t="e">
        <f>IF(_xll.TM1RPTELISCONSOLIDATED(#REF!,#REF!),IF(_xll.TM1RPTELLEV(#REF!,#REF!)&lt;=3,_xll.TM1RPTELLEV(#REF!,#REF!),"D"),"N")</f>
        <v>#VALUE!</v>
      </c>
      <c r="B72" s="16" t="str">
        <f ca="1">_xll.TM1RPTROW($D$28,db_name&amp;":account","","","code and description",0,$C$28)</f>
        <v>pending__Monthly Estimates - REP - Balance Sheet_20250811023326.xlsm:sheet 1:TM1RPTDATARNG:ARPT2</v>
      </c>
      <c r="C72" s="15" t="str">
        <f ca="1">_xll.TM1RPTROW($D$28,db_name&amp;":programme","","","description",0,$C$31)</f>
        <v>pending__Monthly Estimates - REP - Balance Sheet_20250811023326.xlsm:sheet 1:TM1RPTDATARNG:ARPT2</v>
      </c>
      <c r="D72" s="12" t="e">
        <f ca="1">_xll.DBRA(db_name&amp;":programme",$C72,D$55)</f>
        <v>#VALUE!</v>
      </c>
      <c r="E72" s="12" t="e">
        <f ca="1">_xll.DBRA(db_name&amp;":account",$B72,"description")</f>
        <v>#VALUE!</v>
      </c>
      <c r="F72" s="11" t="e">
        <f ca="1">IF(_xll.DIMIX(db_name&amp;":programme",$L$65)=_xll.DIMIX(db_name&amp;":programme",$C72),"Total " &amp; $E72,$C72)</f>
        <v>#VALUE!</v>
      </c>
      <c r="I72" s="14"/>
      <c r="J72" s="13" t="str">
        <f ca="1">IF($B72=$B71,"",$B72)</f>
        <v>pending__Monthly Estimates - REP - Balance Sheet_20250811023326.xlsm:sheet 1:TM1RPTDATARNG:ARPT2</v>
      </c>
      <c r="K72" s="12" t="e">
        <f ca="1">$D72</f>
        <v>#VALUE!</v>
      </c>
      <c r="L72" s="11" t="e">
        <f ca="1">$F72</f>
        <v>#VALUE!</v>
      </c>
      <c r="M72" s="10"/>
      <c r="N72" s="9" t="e">
        <f ca="1">_xll.DBRW($D$28,$L$62,$L$63,$C$35,$C$39,$C$37,$C72,$C$40,$B72,N$30,$C$38,N$31,$C$41)</f>
        <v>#VALUE!</v>
      </c>
      <c r="O72" s="9" t="e">
        <f ca="1">_xll.DBRW($D$28,$L$62,$L$63,$C$35,$C$39,$C$37,$C72,$C$40,$B72,O$30,$C$38,O$31,$C$41)</f>
        <v>#VALUE!</v>
      </c>
      <c r="P72" s="9" t="e">
        <f ca="1">N72-O72</f>
        <v>#VALUE!</v>
      </c>
      <c r="Q72" s="8"/>
      <c r="R72" s="7" t="e">
        <f ca="1">_xll.DBRW($D$28,$L$62,$L$63,$C$35,$C$39,$C$37,$C72,$C$40,$B72,R$30,$C$38,R$31,$C$41)</f>
        <v>#VALUE!</v>
      </c>
      <c r="S72" s="7" t="e">
        <f ca="1">_xll.DBRW($D$28,$L$62,$L$63,$C$35,$C$39,$C$37,$C72,$C$40,$B72,S$30,$C$38,S$31,$C$41)</f>
        <v>#VALUE!</v>
      </c>
      <c r="T72" s="7" t="e">
        <f ca="1">_xll.DBRW($D$28,$L$62,$L$63,$C$35,$C$39,$C$37,$C72,$C$40,$B72,T$30,$C$38,T$31,$C$41)</f>
        <v>#VALUE!</v>
      </c>
      <c r="U72" s="7" t="e">
        <f ca="1">_xll.DBRW($D$28,$L$62,$L$63,$C$35,$C$39,$C$37,$C72,$C$40,$B72,U$30,$C$38,U$31,$C$41)</f>
        <v>#VALUE!</v>
      </c>
      <c r="V72" s="7" t="e">
        <f ca="1">_xll.DBRW($D$28,$L$62,$L$63,$C$35,$C$39,$C$37,$C72,$C$40,$B72,V$30,$C$38,V$31,$C$41)</f>
        <v>#VALUE!</v>
      </c>
      <c r="W72" s="7" t="e">
        <f ca="1">_xll.DBRW($D$28,$L$62,$L$63,$C$35,$C$39,$C$37,$C72,$C$40,$B72,W$30,$C$38,W$31,$C$41)</f>
        <v>#VALUE!</v>
      </c>
      <c r="X72" s="7" t="e">
        <f ca="1">_xll.DBRW($D$28,$L$62,$L$63,$C$35,$C$39,$C$37,$C72,$C$40,$B72,X$30,$C$38,X$31,$C$41)</f>
        <v>#VALUE!</v>
      </c>
      <c r="Y72" s="7" t="e">
        <f ca="1">_xll.DBRW($D$28,$L$62,$L$63,$C$35,$C$39,$C$37,$C72,$C$40,$B72,Y$30,$C$38,Y$31,$C$41)</f>
        <v>#VALUE!</v>
      </c>
      <c r="Z72" s="7" t="e">
        <f ca="1">_xll.DBRW($D$28,$L$62,$L$63,$C$35,$C$39,$C$37,$C72,$C$40,$B72,Z$30,$C$38,Z$31,$C$41)</f>
        <v>#VALUE!</v>
      </c>
      <c r="AA72" s="7" t="e">
        <f ca="1">_xll.DBRW($D$28,$L$62,$L$63,$C$35,$C$39,$C$37,$C72,$C$40,$B72,AA$30,$C$38,AA$31,$C$41)</f>
        <v>#VALUE!</v>
      </c>
      <c r="AB72" s="7" t="e">
        <f ca="1">_xll.DBRW($D$28,$L$62,$L$63,$C$35,$C$39,$C$37,$C72,$C$40,$B72,AB$30,$C$38,AB$31,$C$41)</f>
        <v>#VALUE!</v>
      </c>
      <c r="AC72" s="7" t="e">
        <f ca="1">_xll.DBRW($D$28,$L$62,$L$63,$C$35,$C$39,$C$37,$C72,$C$40,$B72,AC$30,$C$38,AC$31,$C$41)</f>
        <v>#VALUE!</v>
      </c>
    </row>
    <row r="73" spans="1:29" ht="5.0999999999999996" customHeight="1" x14ac:dyDescent="0.25"/>
    <row r="74" spans="1:29" s="3" customFormat="1" x14ac:dyDescent="0.25">
      <c r="D74" s="6"/>
      <c r="E74" s="6"/>
      <c r="K74" s="6"/>
      <c r="L74" s="5" t="s">
        <v>12</v>
      </c>
      <c r="N74" s="4" t="str">
        <f ca="1">_xll.DBRW($D$27,$L$62,$L$63,"Total related entity",$C$39,"Total movement",$L$65,$C$40,"5000000",N$30,"Total jurisdictions",N$31,$C$41)</f>
        <v>RECALC_2_1530_</v>
      </c>
      <c r="O74" s="4" t="str">
        <f ca="1">_xll.DBRW($D$27,$L$62,$L$63,"Total related entity",$C$39,"Total movement",$L$65,$C$40,"5000000",O$30,"Total jurisdictions",O$31,$C$41)</f>
        <v>RECALC_2_1518_</v>
      </c>
      <c r="P74" s="4" t="e">
        <f ca="1">N74-O74</f>
        <v>#VALUE!</v>
      </c>
      <c r="R74" s="4" t="str">
        <f ca="1">_xll.DBRW($D$27,$L$62,$L$63,"Total related entity",$C$39,"Total movement",$L$65,$C$40,"5000000",R$30,"Total jurisdictions",R$31,$C$41)</f>
        <v>RECALC_2_1529_</v>
      </c>
      <c r="S74" s="4" t="str">
        <f ca="1">_xll.DBRW($D$27,$L$62,$L$63,"Total related entity",$C$39,"Total movement",$L$65,$C$40,"5000000",S$30,"Total jurisdictions",S$31,$C$41)</f>
        <v>RECALC_2_1528_</v>
      </c>
      <c r="T74" s="4" t="str">
        <f ca="1">_xll.DBRW($D$27,$L$62,$L$63,"Total related entity",$C$39,"Total movement",$L$65,$C$40,"5000000",T$30,"Total jurisdictions",T$31,$C$41)</f>
        <v>RECALC_2_1527_</v>
      </c>
      <c r="U74" s="4" t="str">
        <f ca="1">_xll.DBRW($D$27,$L$62,$L$63,"Total related entity",$C$39,"Total movement",$L$65,$C$40,"5000000",U$30,"Total jurisdictions",U$31,$C$41)</f>
        <v>RECALC_2_1526_</v>
      </c>
      <c r="V74" s="4" t="str">
        <f ca="1">_xll.DBRW($D$27,$L$62,$L$63,"Total related entity",$C$39,"Total movement",$L$65,$C$40,"5000000",V$30,"Total jurisdictions",V$31,$C$41)</f>
        <v>RECALC_2_1525_</v>
      </c>
      <c r="W74" s="4" t="str">
        <f ca="1">_xll.DBRW($D$27,$L$62,$L$63,"Total related entity",$C$39,"Total movement",$L$65,$C$40,"5000000",W$30,"Total jurisdictions",W$31,$C$41)</f>
        <v>RECALC_2_1524_</v>
      </c>
      <c r="X74" s="4" t="str">
        <f ca="1">_xll.DBRW($D$27,$L$62,$L$63,"Total related entity",$C$39,"Total movement",$L$65,$C$40,"5000000",X$30,"Total jurisdictions",X$31,$C$41)</f>
        <v>RECALC_2_1523_</v>
      </c>
      <c r="Y74" s="4" t="str">
        <f ca="1">_xll.DBRW($D$27,$L$62,$L$63,"Total related entity",$C$39,"Total movement",$L$65,$C$40,"5000000",Y$30,"Total jurisdictions",Y$31,$C$41)</f>
        <v>RECALC_2_1522_</v>
      </c>
      <c r="Z74" s="4" t="str">
        <f ca="1">_xll.DBRW($D$27,$L$62,$L$63,"Total related entity",$C$39,"Total movement",$L$65,$C$40,"5000000",Z$30,"Total jurisdictions",Z$31,$C$41)</f>
        <v>RECALC_2_1521_</v>
      </c>
      <c r="AA74" s="4" t="str">
        <f ca="1">_xll.DBRW($D$27,$L$62,$L$63,"Total related entity",$C$39,"Total movement",$L$65,$C$40,"5000000",AA$30,"Total jurisdictions",AA$31,$C$41)</f>
        <v>RECALC_2_1520_</v>
      </c>
      <c r="AB74" s="4" t="str">
        <f ca="1">_xll.DBRW($D$27,$L$62,$L$63,"Total related entity",$C$39,"Total movement",$L$65,$C$40,"5000000",AB$30,"Total jurisdictions",AB$31,$C$41)</f>
        <v>RECALC_2_1519_</v>
      </c>
      <c r="AC74" s="4" t="str">
        <f ca="1">_xll.DBRW($D$27,$L$62,$L$63,"Total related entity",$C$39,"Total movement",$L$65,$C$40,"5000000",AC$30,"Total jurisdictions",AC$31,$C$41)</f>
        <v>RECALC_2_1518_</v>
      </c>
    </row>
    <row r="75" spans="1:29" x14ac:dyDescent="0.25">
      <c r="B75" s="21" t="s">
        <v>11</v>
      </c>
      <c r="J75" s="20" t="s">
        <v>10</v>
      </c>
    </row>
    <row r="76" spans="1:29" s="17" customFormat="1" ht="30" x14ac:dyDescent="0.25">
      <c r="B76" s="18" t="s">
        <v>6</v>
      </c>
      <c r="C76" s="18" t="s">
        <v>4</v>
      </c>
      <c r="D76" s="18"/>
      <c r="E76" s="18"/>
      <c r="F76" s="18"/>
      <c r="G76" s="18"/>
      <c r="H76" s="18"/>
      <c r="I76" s="19"/>
      <c r="J76" s="18" t="s">
        <v>6</v>
      </c>
      <c r="K76" s="18" t="s">
        <v>5</v>
      </c>
      <c r="L76" s="18" t="s">
        <v>4</v>
      </c>
      <c r="N76" s="18" t="s">
        <v>3</v>
      </c>
      <c r="O76" s="18" t="s">
        <v>2</v>
      </c>
      <c r="P76" s="18" t="s">
        <v>1</v>
      </c>
      <c r="Q76" s="19"/>
      <c r="R76" s="18" t="str">
        <f t="shared" ref="R76:AC76" si="4">R$31</f>
        <v>Jul YTD</v>
      </c>
      <c r="S76" s="18" t="str">
        <f t="shared" si="4"/>
        <v>Aug YTD</v>
      </c>
      <c r="T76" s="18" t="str">
        <f t="shared" si="4"/>
        <v>Sep YTD</v>
      </c>
      <c r="U76" s="18" t="str">
        <f t="shared" si="4"/>
        <v>Oct YTD</v>
      </c>
      <c r="V76" s="18" t="str">
        <f t="shared" si="4"/>
        <v>Nov YTD</v>
      </c>
      <c r="W76" s="18" t="str">
        <f t="shared" si="4"/>
        <v>Dec YTD</v>
      </c>
      <c r="X76" s="18" t="str">
        <f t="shared" si="4"/>
        <v>Jan YTD</v>
      </c>
      <c r="Y76" s="18" t="str">
        <f t="shared" si="4"/>
        <v>Feb YTD</v>
      </c>
      <c r="Z76" s="18" t="str">
        <f t="shared" si="4"/>
        <v>Mar YTD</v>
      </c>
      <c r="AA76" s="18" t="str">
        <f t="shared" si="4"/>
        <v>Apr YTD</v>
      </c>
      <c r="AB76" s="18" t="str">
        <f t="shared" si="4"/>
        <v>May YTD</v>
      </c>
      <c r="AC76" s="18" t="str">
        <f t="shared" si="4"/>
        <v>Jun YTD</v>
      </c>
    </row>
    <row r="77" spans="1:29" x14ac:dyDescent="0.25">
      <c r="A77" s="10" t="e">
        <f>IF(_xll.TM1RPTELISCONSOLIDATED(#REF!,#REF!),IF(_xll.TM1RPTELLEV(#REF!,#REF!)&lt;=3,_xll.TM1RPTELLEV(#REF!,#REF!),"D"),"N")</f>
        <v>#VALUE!</v>
      </c>
      <c r="B77" s="16" t="str">
        <f ca="1">_xll.TM1RPTROW($D$29,db_name&amp;":account","","","code and description",0,$C$29)</f>
        <v>pending__Monthly Estimates - REP - Balance Sheet_20250811023326.xlsm:sheet 1:TM1RPTDATARNG:ARPT3</v>
      </c>
      <c r="C77" s="15" t="str">
        <f ca="1">_xll.TM1RPTROW($D$29,db_name&amp;":programme","","","description",0,$C$31)</f>
        <v>pending__Monthly Estimates - REP - Balance Sheet_20250811023326.xlsm:sheet 1:TM1RPTDATARNG:ARPT3</v>
      </c>
      <c r="D77" s="12" t="e">
        <f ca="1">_xll.DBRA(db_name&amp;":programme",$C77,D$55)</f>
        <v>#VALUE!</v>
      </c>
      <c r="E77" s="12" t="e">
        <f ca="1">_xll.DBRA(db_name&amp;":account",$B77,"description")</f>
        <v>#VALUE!</v>
      </c>
      <c r="F77" s="11" t="e">
        <f ca="1">IF(_xll.DIMIX(db_name&amp;":programme",$L$65)=_xll.DIMIX(db_name&amp;":programme",$C77),"Total " &amp; $E77,$C77)</f>
        <v>#VALUE!</v>
      </c>
      <c r="I77" s="14"/>
      <c r="J77" s="13" t="str">
        <f ca="1">IF($B77=$B76,"",$B77)</f>
        <v>pending__Monthly Estimates - REP - Balance Sheet_20250811023326.xlsm:sheet 1:TM1RPTDATARNG:ARPT3</v>
      </c>
      <c r="K77" s="12" t="e">
        <f ca="1">$D77</f>
        <v>#VALUE!</v>
      </c>
      <c r="L77" s="11" t="e">
        <f ca="1">$F77</f>
        <v>#VALUE!</v>
      </c>
      <c r="M77" s="10"/>
      <c r="N77" s="9" t="e">
        <f ca="1">_xll.DBRW($D$29,$L$62,$L$63,$C$35,$C$39,$C$37,$C77,$C$40,$B77,N$30,$C$38,N$31,$C$41)</f>
        <v>#VALUE!</v>
      </c>
      <c r="O77" s="9" t="e">
        <f ca="1">_xll.DBRW($D$29,$L$62,$L$63,$C$35,$C$39,$C$37,$C77,$C$40,$B77,O$30,$C$38,O$31,$C$41)</f>
        <v>#VALUE!</v>
      </c>
      <c r="P77" s="9" t="e">
        <f ca="1">N77-O77</f>
        <v>#VALUE!</v>
      </c>
      <c r="Q77" s="8"/>
      <c r="R77" s="7" t="e">
        <f ca="1">_xll.DBRW($D$29,$L$62,$L$63,$C$35,$C$39,$C$37,$C77,$C$40,$B77,R$30,$C$38,R$31,$C$41)</f>
        <v>#VALUE!</v>
      </c>
      <c r="S77" s="7" t="e">
        <f ca="1">_xll.DBRW($D$29,$L$62,$L$63,$C$35,$C$39,$C$37,$C77,$C$40,$B77,S$30,$C$38,S$31,$C$41)</f>
        <v>#VALUE!</v>
      </c>
      <c r="T77" s="7" t="e">
        <f ca="1">_xll.DBRW($D$29,$L$62,$L$63,$C$35,$C$39,$C$37,$C77,$C$40,$B77,T$30,$C$38,T$31,$C$41)</f>
        <v>#VALUE!</v>
      </c>
      <c r="U77" s="7" t="e">
        <f ca="1">_xll.DBRW($D$29,$L$62,$L$63,$C$35,$C$39,$C$37,$C77,$C$40,$B77,U$30,$C$38,U$31,$C$41)</f>
        <v>#VALUE!</v>
      </c>
      <c r="V77" s="7" t="e">
        <f ca="1">_xll.DBRW($D$29,$L$62,$L$63,$C$35,$C$39,$C$37,$C77,$C$40,$B77,V$30,$C$38,V$31,$C$41)</f>
        <v>#VALUE!</v>
      </c>
      <c r="W77" s="7" t="e">
        <f ca="1">_xll.DBRW($D$29,$L$62,$L$63,$C$35,$C$39,$C$37,$C77,$C$40,$B77,W$30,$C$38,W$31,$C$41)</f>
        <v>#VALUE!</v>
      </c>
      <c r="X77" s="7" t="e">
        <f ca="1">_xll.DBRW($D$29,$L$62,$L$63,$C$35,$C$39,$C$37,$C77,$C$40,$B77,X$30,$C$38,X$31,$C$41)</f>
        <v>#VALUE!</v>
      </c>
      <c r="Y77" s="7" t="e">
        <f ca="1">_xll.DBRW($D$29,$L$62,$L$63,$C$35,$C$39,$C$37,$C77,$C$40,$B77,Y$30,$C$38,Y$31,$C$41)</f>
        <v>#VALUE!</v>
      </c>
      <c r="Z77" s="7" t="e">
        <f ca="1">_xll.DBRW($D$29,$L$62,$L$63,$C$35,$C$39,$C$37,$C77,$C$40,$B77,Z$30,$C$38,Z$31,$C$41)</f>
        <v>#VALUE!</v>
      </c>
      <c r="AA77" s="7" t="e">
        <f ca="1">_xll.DBRW($D$29,$L$62,$L$63,$C$35,$C$39,$C$37,$C77,$C$40,$B77,AA$30,$C$38,AA$31,$C$41)</f>
        <v>#VALUE!</v>
      </c>
      <c r="AB77" s="7" t="e">
        <f ca="1">_xll.DBRW($D$29,$L$62,$L$63,$C$35,$C$39,$C$37,$C77,$C$40,$B77,AB$30,$C$38,AB$31,$C$41)</f>
        <v>#VALUE!</v>
      </c>
      <c r="AC77" s="7" t="e">
        <f ca="1">_xll.DBRW($D$29,$L$62,$L$63,$C$35,$C$39,$C$37,$C77,$C$40,$B77,AC$30,$C$38,AC$31,$C$41)</f>
        <v>#VALUE!</v>
      </c>
    </row>
    <row r="78" spans="1:29" ht="9.9499999999999993" customHeight="1" x14ac:dyDescent="0.25"/>
    <row r="79" spans="1:29" s="3" customFormat="1" x14ac:dyDescent="0.25">
      <c r="D79" s="6"/>
      <c r="E79" s="6"/>
      <c r="K79" s="6"/>
      <c r="L79" s="5" t="s">
        <v>9</v>
      </c>
      <c r="N79" s="4" t="str">
        <f ca="1">_xll.DBRW($D$27,$L$62,$L$63,"Total related entity",$C$39,"Total movement",$L$65,$C$40,"3000000",N$30,"Total jurisdictions",N$31,$C$41)</f>
        <v>RECALC_2_1517_</v>
      </c>
      <c r="O79" s="4" t="str">
        <f ca="1">_xll.DBRW($D$27,$L$62,$L$63,"Total related entity",$C$39,"Total movement",$L$65,$C$40,"3000000",O$30,"Total jurisdictions",O$31,$C$41)</f>
        <v>RECALC_2_1505_</v>
      </c>
      <c r="P79" s="4" t="e">
        <f ca="1">N79-O79</f>
        <v>#VALUE!</v>
      </c>
      <c r="R79" s="4" t="str">
        <f ca="1">_xll.DBRW($D$27,$L$62,$L$63,"Total related entity",$C$39,"Total movement",$L$65,$C$40,"3000000",R$30,"Total jurisdictions",R$31,$C$41)</f>
        <v>RECALC_2_1516_</v>
      </c>
      <c r="S79" s="4" t="str">
        <f ca="1">_xll.DBRW($D$27,$L$62,$L$63,"Total related entity",$C$39,"Total movement",$L$65,$C$40,"3000000",S$30,"Total jurisdictions",S$31,$C$41)</f>
        <v>RECALC_2_1515_</v>
      </c>
      <c r="T79" s="4" t="str">
        <f ca="1">_xll.DBRW($D$27,$L$62,$L$63,"Total related entity",$C$39,"Total movement",$L$65,$C$40,"3000000",T$30,"Total jurisdictions",T$31,$C$41)</f>
        <v>RECALC_2_1514_</v>
      </c>
      <c r="U79" s="4" t="str">
        <f ca="1">_xll.DBRW($D$27,$L$62,$L$63,"Total related entity",$C$39,"Total movement",$L$65,$C$40,"3000000",U$30,"Total jurisdictions",U$31,$C$41)</f>
        <v>RECALC_2_1513_</v>
      </c>
      <c r="V79" s="4" t="str">
        <f ca="1">_xll.DBRW($D$27,$L$62,$L$63,"Total related entity",$C$39,"Total movement",$L$65,$C$40,"3000000",V$30,"Total jurisdictions",V$31,$C$41)</f>
        <v>RECALC_2_1512_</v>
      </c>
      <c r="W79" s="4" t="str">
        <f ca="1">_xll.DBRW($D$27,$L$62,$L$63,"Total related entity",$C$39,"Total movement",$L$65,$C$40,"3000000",W$30,"Total jurisdictions",W$31,$C$41)</f>
        <v>RECALC_2_1511_</v>
      </c>
      <c r="X79" s="4" t="str">
        <f ca="1">_xll.DBRW($D$27,$L$62,$L$63,"Total related entity",$C$39,"Total movement",$L$65,$C$40,"3000000",X$30,"Total jurisdictions",X$31,$C$41)</f>
        <v>RECALC_2_1510_</v>
      </c>
      <c r="Y79" s="4" t="str">
        <f ca="1">_xll.DBRW($D$27,$L$62,$L$63,"Total related entity",$C$39,"Total movement",$L$65,$C$40,"3000000",Y$30,"Total jurisdictions",Y$31,$C$41)</f>
        <v>RECALC_2_1509_</v>
      </c>
      <c r="Z79" s="4" t="str">
        <f ca="1">_xll.DBRW($D$27,$L$62,$L$63,"Total related entity",$C$39,"Total movement",$L$65,$C$40,"3000000",Z$30,"Total jurisdictions",Z$31,$C$41)</f>
        <v>RECALC_2_1508_</v>
      </c>
      <c r="AA79" s="4" t="str">
        <f ca="1">_xll.DBRW($D$27,$L$62,$L$63,"Total related entity",$C$39,"Total movement",$L$65,$C$40,"3000000",AA$30,"Total jurisdictions",AA$31,$C$41)</f>
        <v>RECALC_2_1507_</v>
      </c>
      <c r="AB79" s="4" t="str">
        <f ca="1">_xll.DBRW($D$27,$L$62,$L$63,"Total related entity",$C$39,"Total movement",$L$65,$C$40,"3000000",AB$30,"Total jurisdictions",AB$31,$C$41)</f>
        <v>RECALC_2_1506_</v>
      </c>
      <c r="AC79" s="4" t="str">
        <f ca="1">_xll.DBRW($D$27,$L$62,$L$63,"Total related entity",$C$39,"Total movement",$L$65,$C$40,"3000000",AC$30,"Total jurisdictions",AC$31,$C$41)</f>
        <v>RECALC_2_1505_</v>
      </c>
    </row>
    <row r="80" spans="1:29" x14ac:dyDescent="0.25">
      <c r="B80" s="21" t="s">
        <v>8</v>
      </c>
      <c r="J80" s="20" t="s">
        <v>7</v>
      </c>
    </row>
    <row r="81" spans="1:29" s="17" customFormat="1" ht="30" x14ac:dyDescent="0.25">
      <c r="B81" s="18" t="s">
        <v>6</v>
      </c>
      <c r="C81" s="18" t="s">
        <v>4</v>
      </c>
      <c r="D81" s="18"/>
      <c r="E81" s="18"/>
      <c r="F81" s="18"/>
      <c r="G81" s="18"/>
      <c r="H81" s="18"/>
      <c r="I81" s="19"/>
      <c r="J81" s="18" t="s">
        <v>6</v>
      </c>
      <c r="K81" s="18" t="s">
        <v>5</v>
      </c>
      <c r="L81" s="18" t="s">
        <v>4</v>
      </c>
      <c r="N81" s="18" t="s">
        <v>3</v>
      </c>
      <c r="O81" s="18" t="s">
        <v>2</v>
      </c>
      <c r="P81" s="18" t="s">
        <v>1</v>
      </c>
      <c r="Q81" s="19"/>
      <c r="R81" s="18" t="str">
        <f t="shared" ref="R81:AC81" si="5">R$31</f>
        <v>Jul YTD</v>
      </c>
      <c r="S81" s="18" t="str">
        <f t="shared" si="5"/>
        <v>Aug YTD</v>
      </c>
      <c r="T81" s="18" t="str">
        <f t="shared" si="5"/>
        <v>Sep YTD</v>
      </c>
      <c r="U81" s="18" t="str">
        <f t="shared" si="5"/>
        <v>Oct YTD</v>
      </c>
      <c r="V81" s="18" t="str">
        <f t="shared" si="5"/>
        <v>Nov YTD</v>
      </c>
      <c r="W81" s="18" t="str">
        <f t="shared" si="5"/>
        <v>Dec YTD</v>
      </c>
      <c r="X81" s="18" t="str">
        <f t="shared" si="5"/>
        <v>Jan YTD</v>
      </c>
      <c r="Y81" s="18" t="str">
        <f t="shared" si="5"/>
        <v>Feb YTD</v>
      </c>
      <c r="Z81" s="18" t="str">
        <f t="shared" si="5"/>
        <v>Mar YTD</v>
      </c>
      <c r="AA81" s="18" t="str">
        <f t="shared" si="5"/>
        <v>Apr YTD</v>
      </c>
      <c r="AB81" s="18" t="str">
        <f t="shared" si="5"/>
        <v>May YTD</v>
      </c>
      <c r="AC81" s="18" t="str">
        <f t="shared" si="5"/>
        <v>Jun YTD</v>
      </c>
    </row>
    <row r="82" spans="1:29" x14ac:dyDescent="0.25">
      <c r="A82" s="10" t="e">
        <f>IF(_xll.TM1RPTELISCONSOLIDATED(#REF!,#REF!),IF(_xll.TM1RPTELLEV(#REF!,#REF!)&lt;=3,_xll.TM1RPTELLEV(#REF!,#REF!),"D"),"N")</f>
        <v>#VALUE!</v>
      </c>
      <c r="B82" s="16" t="str">
        <f ca="1">_xll.TM1RPTROW($D$30,db_name&amp;":account","","","code and description",0,$C$30)</f>
        <v>pending__Monthly Estimates - REP - Balance Sheet_20250811023326.xlsm:sheet 1:TM1RPTDATARNG:ARPT4</v>
      </c>
      <c r="C82" s="15" t="str">
        <f ca="1">_xll.TM1RPTROW($D$30,db_name&amp;":programme","","","code and description",0,$C$31)</f>
        <v>pending__Monthly Estimates - REP - Balance Sheet_20250811023326.xlsm:sheet 1:TM1RPTDATARNG:ARPT4</v>
      </c>
      <c r="D82" s="12" t="e">
        <f ca="1">_xll.DBRA(db_name&amp;":programme",$C82,D$55)</f>
        <v>#VALUE!</v>
      </c>
      <c r="E82" s="12" t="e">
        <f ca="1">_xll.DBRA(db_name&amp;":account",$B82,"description")</f>
        <v>#VALUE!</v>
      </c>
      <c r="F82" s="11" t="e">
        <f ca="1">IF(_xll.DIMIX(db_name&amp;":programme",$L$65)=_xll.DIMIX(db_name&amp;":programme",$C82),"Total " &amp; $E82,$C82)</f>
        <v>#VALUE!</v>
      </c>
      <c r="I82" s="14"/>
      <c r="J82" s="13" t="str">
        <f ca="1">IF($B82=$B81,"",$B82)</f>
        <v>pending__Monthly Estimates - REP - Balance Sheet_20250811023326.xlsm:sheet 1:TM1RPTDATARNG:ARPT4</v>
      </c>
      <c r="K82" s="12" t="e">
        <f ca="1">$D82</f>
        <v>#VALUE!</v>
      </c>
      <c r="L82" s="11" t="e">
        <f ca="1">$F82</f>
        <v>#VALUE!</v>
      </c>
      <c r="M82" s="10"/>
      <c r="N82" s="9" t="e">
        <f ca="1">_xll.DBRW($D$30,$L$62,$L$63,$C$35,$C$39,$C$37,$C82,$C$40,$B82,N$30,$C$38,N$31,$C$41)</f>
        <v>#VALUE!</v>
      </c>
      <c r="O82" s="9" t="e">
        <f ca="1">_xll.DBRW($D$30,$L$62,$L$63,$C$35,$C$39,$C$37,$C82,$C$40,$B82,O$30,$C$38,O$31,$C$41)</f>
        <v>#VALUE!</v>
      </c>
      <c r="P82" s="9" t="e">
        <f ca="1">N82-O82</f>
        <v>#VALUE!</v>
      </c>
      <c r="Q82" s="8"/>
      <c r="R82" s="7" t="e">
        <f ca="1">_xll.DBRW($D$30,$L$62,$L$63,$C$35,$C$39,$C$37,$C82,$C$40,$B82,R$30,$C$38,R$31,$C$41)</f>
        <v>#VALUE!</v>
      </c>
      <c r="S82" s="7" t="e">
        <f ca="1">_xll.DBRW($D$30,$L$62,$L$63,$C$35,$C$39,$C$37,$C82,$C$40,$B82,S$30,$C$38,S$31,$C$41)</f>
        <v>#VALUE!</v>
      </c>
      <c r="T82" s="7" t="e">
        <f ca="1">_xll.DBRW($D$30,$L$62,$L$63,$C$35,$C$39,$C$37,$C82,$C$40,$B82,T$30,$C$38,T$31,$C$41)</f>
        <v>#VALUE!</v>
      </c>
      <c r="U82" s="7" t="e">
        <f ca="1">_xll.DBRW($D$30,$L$62,$L$63,$C$35,$C$39,$C$37,$C82,$C$40,$B82,U$30,$C$38,U$31,$C$41)</f>
        <v>#VALUE!</v>
      </c>
      <c r="V82" s="7" t="e">
        <f ca="1">_xll.DBRW($D$30,$L$62,$L$63,$C$35,$C$39,$C$37,$C82,$C$40,$B82,V$30,$C$38,V$31,$C$41)</f>
        <v>#VALUE!</v>
      </c>
      <c r="W82" s="7" t="e">
        <f ca="1">_xll.DBRW($D$30,$L$62,$L$63,$C$35,$C$39,$C$37,$C82,$C$40,$B82,W$30,$C$38,W$31,$C$41)</f>
        <v>#VALUE!</v>
      </c>
      <c r="X82" s="7" t="e">
        <f ca="1">_xll.DBRW($D$30,$L$62,$L$63,$C$35,$C$39,$C$37,$C82,$C$40,$B82,X$30,$C$38,X$31,$C$41)</f>
        <v>#VALUE!</v>
      </c>
      <c r="Y82" s="7" t="e">
        <f ca="1">_xll.DBRW($D$30,$L$62,$L$63,$C$35,$C$39,$C$37,$C82,$C$40,$B82,Y$30,$C$38,Y$31,$C$41)</f>
        <v>#VALUE!</v>
      </c>
      <c r="Z82" s="7" t="e">
        <f ca="1">_xll.DBRW($D$30,$L$62,$L$63,$C$35,$C$39,$C$37,$C82,$C$40,$B82,Z$30,$C$38,Z$31,$C$41)</f>
        <v>#VALUE!</v>
      </c>
      <c r="AA82" s="7" t="e">
        <f ca="1">_xll.DBRW($D$30,$L$62,$L$63,$C$35,$C$39,$C$37,$C82,$C$40,$B82,AA$30,$C$38,AA$31,$C$41)</f>
        <v>#VALUE!</v>
      </c>
      <c r="AB82" s="7" t="e">
        <f ca="1">_xll.DBRW($D$30,$L$62,$L$63,$C$35,$C$39,$C$37,$C82,$C$40,$B82,AB$30,$C$38,AB$31,$C$41)</f>
        <v>#VALUE!</v>
      </c>
      <c r="AC82" s="7" t="e">
        <f ca="1">_xll.DBRW($D$30,$L$62,$L$63,$C$35,$C$39,$C$37,$C82,$C$40,$B82,AC$30,$C$38,AC$31,$C$41)</f>
        <v>#VALUE!</v>
      </c>
    </row>
    <row r="83" spans="1:29" ht="9.9499999999999993" customHeight="1" x14ac:dyDescent="0.25"/>
    <row r="84" spans="1:29" s="3" customFormat="1" x14ac:dyDescent="0.25">
      <c r="D84" s="6"/>
      <c r="E84" s="6"/>
      <c r="K84" s="6"/>
      <c r="L84" s="5" t="s">
        <v>0</v>
      </c>
      <c r="N84" s="4" t="str">
        <f ca="1">_xll.DBRW($D$27,$L$62,$L$63,"Total related entity",$C$39,"Total movement",$L$65,$C$40,"4000000",N$30,"Total jurisdictions",N$31,$C$41)</f>
        <v>RECALC_2_1504_</v>
      </c>
      <c r="O84" s="4" t="str">
        <f ca="1">_xll.DBRW($D$27,$L$62,$L$63,"Total related entity",$C$39,"Total movement",$L$65,$C$40,"4000000",O$30,"Total jurisdictions",O$31,$C$41)</f>
        <v>RECALC_2_1492_</v>
      </c>
      <c r="P84" s="4" t="e">
        <f ca="1">N84-O84</f>
        <v>#VALUE!</v>
      </c>
      <c r="R84" s="4" t="str">
        <f ca="1">_xll.DBRW($D$27,$L$62,$L$63,"Total related entity",$C$39,"Total movement",$L$65,$C$40,"4000000",R$30,"Total jurisdictions",R$31,$C$41)</f>
        <v>RECALC_2_1503_</v>
      </c>
      <c r="S84" s="4" t="str">
        <f ca="1">_xll.DBRW($D$27,$L$62,$L$63,"Total related entity",$C$39,"Total movement",$L$65,$C$40,"4000000",S$30,"Total jurisdictions",S$31,$C$41)</f>
        <v>RECALC_2_1502_</v>
      </c>
      <c r="T84" s="4" t="str">
        <f ca="1">_xll.DBRW($D$27,$L$62,$L$63,"Total related entity",$C$39,"Total movement",$L$65,$C$40,"4000000",T$30,"Total jurisdictions",T$31,$C$41)</f>
        <v>RECALC_2_1501_</v>
      </c>
      <c r="U84" s="4" t="str">
        <f ca="1">_xll.DBRW($D$27,$L$62,$L$63,"Total related entity",$C$39,"Total movement",$L$65,$C$40,"4000000",U$30,"Total jurisdictions",U$31,$C$41)</f>
        <v>RECALC_2_1500_</v>
      </c>
      <c r="V84" s="4" t="str">
        <f ca="1">_xll.DBRW($D$27,$L$62,$L$63,"Total related entity",$C$39,"Total movement",$L$65,$C$40,"4000000",V$30,"Total jurisdictions",V$31,$C$41)</f>
        <v>RECALC_2_1499_</v>
      </c>
      <c r="W84" s="4" t="str">
        <f ca="1">_xll.DBRW($D$27,$L$62,$L$63,"Total related entity",$C$39,"Total movement",$L$65,$C$40,"4000000",W$30,"Total jurisdictions",W$31,$C$41)</f>
        <v>RECALC_2_1498_</v>
      </c>
      <c r="X84" s="4" t="str">
        <f ca="1">_xll.DBRW($D$27,$L$62,$L$63,"Total related entity",$C$39,"Total movement",$L$65,$C$40,"4000000",X$30,"Total jurisdictions",X$31,$C$41)</f>
        <v>RECALC_2_1497_</v>
      </c>
      <c r="Y84" s="4" t="str">
        <f ca="1">_xll.DBRW($D$27,$L$62,$L$63,"Total related entity",$C$39,"Total movement",$L$65,$C$40,"4000000",Y$30,"Total jurisdictions",Y$31,$C$41)</f>
        <v>RECALC_2_1496_</v>
      </c>
      <c r="Z84" s="4" t="str">
        <f ca="1">_xll.DBRW($D$27,$L$62,$L$63,"Total related entity",$C$39,"Total movement",$L$65,$C$40,"4000000",Z$30,"Total jurisdictions",Z$31,$C$41)</f>
        <v>RECALC_2_1495_</v>
      </c>
      <c r="AA84" s="4" t="str">
        <f ca="1">_xll.DBRW($D$27,$L$62,$L$63,"Total related entity",$C$39,"Total movement",$L$65,$C$40,"4000000",AA$30,"Total jurisdictions",AA$31,$C$41)</f>
        <v>RECALC_2_1494_</v>
      </c>
      <c r="AB84" s="4" t="str">
        <f ca="1">_xll.DBRW($D$27,$L$62,$L$63,"Total related entity",$C$39,"Total movement",$L$65,$C$40,"4000000",AB$30,"Total jurisdictions",AB$31,$C$41)</f>
        <v>RECALC_2_1493_</v>
      </c>
      <c r="AC84" s="4" t="str">
        <f ca="1">_xll.DBRW($D$27,$L$62,$L$63,"Total related entity",$C$39,"Total movement",$L$65,$C$40,"4000000",AC$30,"Total jurisdictions",AC$31,$C$41)</f>
        <v>RECALC_2_1492_</v>
      </c>
    </row>
  </sheetData>
  <sheetProtection sheet="1" objects="1" scenarios="1"/>
  <mergeCells count="4">
    <mergeCell ref="B11:C11"/>
    <mergeCell ref="B15:C15"/>
    <mergeCell ref="B20:C20"/>
    <mergeCell ref="B43:C43"/>
  </mergeCells>
  <conditionalFormatting sqref="B75">
    <cfRule type="expression" dxfId="14" priority="69">
      <formula>$P75&lt;&gt;0</formula>
    </cfRule>
    <cfRule type="cellIs" dxfId="13" priority="70" operator="notEqual">
      <formula>"xxasda"</formula>
    </cfRule>
  </conditionalFormatting>
  <conditionalFormatting sqref="B80">
    <cfRule type="expression" dxfId="12" priority="67">
      <formula>$P80&lt;&gt;0</formula>
    </cfRule>
    <cfRule type="cellIs" dxfId="11" priority="68" operator="notEqual">
      <formula>"xxasda"</formula>
    </cfRule>
  </conditionalFormatting>
  <conditionalFormatting sqref="J7:L7">
    <cfRule type="expression" dxfId="10" priority="63">
      <formula>LEFT($L7,5)="Total"</formula>
    </cfRule>
  </conditionalFormatting>
  <conditionalFormatting sqref="J2:AC2 J72:L72 J77:L77 J82:L82">
    <cfRule type="expression" dxfId="9" priority="65">
      <formula>LEFT($L2,5)="Total"</formula>
    </cfRule>
  </conditionalFormatting>
  <conditionalFormatting sqref="L2:L7">
    <cfRule type="beginsWith" dxfId="8" priority="64" operator="beginsWith" text="Total">
      <formula>LEFT(L2,LEN("Total"))="Total"</formula>
    </cfRule>
  </conditionalFormatting>
  <conditionalFormatting sqref="L72">
    <cfRule type="beginsWith" dxfId="7" priority="2" operator="beginsWith" text="Total">
      <formula>LEFT(L72,LEN("Total"))="Total"</formula>
    </cfRule>
  </conditionalFormatting>
  <conditionalFormatting sqref="L77">
    <cfRule type="beginsWith" dxfId="6" priority="10" operator="beginsWith" text="Total">
      <formula>LEFT(L77,LEN("Total"))="Total"</formula>
    </cfRule>
  </conditionalFormatting>
  <conditionalFormatting sqref="L82">
    <cfRule type="beginsWith" dxfId="5" priority="18" operator="beginsWith" text="Total">
      <formula>LEFT(L82,LEN("Total"))="Total"</formula>
    </cfRule>
  </conditionalFormatting>
  <conditionalFormatting sqref="R7:AC7">
    <cfRule type="expression" dxfId="4" priority="72">
      <formula>$L$67="Year To Date"</formula>
    </cfRule>
  </conditionalFormatting>
  <conditionalFormatting sqref="R72:AC72">
    <cfRule type="expression" dxfId="3" priority="4">
      <formula>$L$67="Year To Date"</formula>
    </cfRule>
  </conditionalFormatting>
  <conditionalFormatting sqref="R77:AC77">
    <cfRule type="expression" dxfId="2" priority="12">
      <formula>$L$67="Year To Date"</formula>
    </cfRule>
  </conditionalFormatting>
  <conditionalFormatting sqref="R82:AC82 R77:AC77 R72:AC72 N7:P7 R7:AC7 N72:P72 N77:P77 N82:P82">
    <cfRule type="expression" dxfId="1" priority="71">
      <formula>$P7&lt;&gt;0</formula>
    </cfRule>
  </conditionalFormatting>
  <conditionalFormatting sqref="R82:AC82">
    <cfRule type="expression" dxfId="0" priority="20">
      <formula>$L$67="Year To Date"</formula>
    </cfRule>
  </conditionalFormatting>
  <dataValidations count="2">
    <dataValidation type="list" allowBlank="1" showInputMessage="1" showErrorMessage="1" sqref="L67" xr:uid="{00000000-0002-0000-0000-000000000000}">
      <formula1>"Data Entry, Year to Date,"</formula1>
    </dataValidation>
    <dataValidation type="list" allowBlank="1" showInputMessage="1" showErrorMessage="1" sqref="P62" xr:uid="{00000000-0002-0000-0000-000001000000}">
      <formula1>"N Level,Show Totals,Show All"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sheet 1</vt:lpstr>
      <vt:lpstr>db_name</vt:lpstr>
      <vt:lpstr>TM1MEHomeCAP</vt:lpstr>
      <vt:lpstr>TM1MEHomeWB</vt:lpstr>
      <vt:lpstr>TM1MEHomeWS</vt:lpstr>
      <vt:lpstr>TM1MERepBSCAP</vt:lpstr>
      <vt:lpstr>TM1MERepBSWB</vt:lpstr>
      <vt:lpstr>TM1MERepBSWS</vt:lpstr>
      <vt:lpstr>TM1MERepCFCAP</vt:lpstr>
      <vt:lpstr>TM1MERepCFWB</vt:lpstr>
      <vt:lpstr>TM1MERepCFWS</vt:lpstr>
      <vt:lpstr>TM1MERepOSCAP</vt:lpstr>
      <vt:lpstr>TM1MERepOSWB</vt:lpstr>
      <vt:lpstr>TM1MERepOSWS</vt:lpstr>
      <vt:lpstr>TM1MESummaryCAP</vt:lpstr>
      <vt:lpstr>TM1MESummaryWB</vt:lpstr>
      <vt:lpstr>TM1MESummaryWS</vt:lpstr>
      <vt:lpstr>'sheet 1'!TM1RPTDATARNGARPT2</vt:lpstr>
      <vt:lpstr>'sheet 1'!TM1RPTDATARNGARPT3</vt:lpstr>
      <vt:lpstr>'sheet 1'!TM1RPTDATARNGARPT4</vt:lpstr>
      <vt:lpstr>'sheet 1'!TM1RPTFMTIDCOL</vt:lpstr>
      <vt:lpstr>'sheet 1'!TM1RPTFMTRNG</vt:lpstr>
    </vt:vector>
  </TitlesOfParts>
  <Company>Department of Industry, Innovation and Science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Gimena, Khristian</dc:creator>
  <cp:lastModifiedBy>Kevin He</cp:lastModifiedBy>
  <dcterms:created xsi:type="dcterms:W3CDTF">2022-06-06T01:26:54Z</dcterms:created>
  <dcterms:modified xsi:type="dcterms:W3CDTF">2025-08-11T02:58:28Z</dcterms:modified>
</cp:coreProperties>
</file>