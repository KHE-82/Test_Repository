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90210FAF-F458-4EBD-80BC-F95D1A6D1AAB}" xr6:coauthVersionLast="47" xr6:coauthVersionMax="47" xr10:uidLastSave="{00000000-0000-0000-0000-000000000000}"/>
  <bookViews>
    <workbookView xWindow="57480" yWindow="-1965" windowWidth="29040" windowHeight="15840" xr2:uid="{80C4BBF9-EA89-4221-B58F-260925BD6771}"/>
  </bookViews>
  <sheets>
    <sheet name="report" sheetId="1" r:id="rId1"/>
  </sheets>
  <definedNames>
    <definedName name="db_name">report!$C$12</definedName>
    <definedName name="Freeze_HERE">report!$B$101</definedName>
    <definedName name="psApp">report!$C$27</definedName>
    <definedName name="psProgDimName">report!$C$23</definedName>
    <definedName name="psUser">report!$C$14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OthRprTBalDrillCAP">report!$D$34</definedName>
    <definedName name="TM1OthRprTBalDrillWB">report!$F$34</definedName>
    <definedName name="TM1OthRprTBalDrillWS">report!$H$34</definedName>
    <definedName name="TM1REBUILDOPTION">0</definedName>
    <definedName name="TM1RPTDATARNG1" localSheetId="0">report!$103:$103</definedName>
    <definedName name="TM1RPTDATARNGARPT1" localSheetId="0">report!$108:$108</definedName>
    <definedName name="TM1RPTDATARNGARPT2" localSheetId="0">report!$113:$113</definedName>
    <definedName name="TM1RPTDATARNGARPT3" localSheetId="0">report!$118:$118</definedName>
    <definedName name="TM1RPTDATARNGARPT4" localSheetId="0">report!$123:$123</definedName>
    <definedName name="TM1RPTDATARNGARPT5" localSheetId="0">report!$128:$128</definedName>
    <definedName name="TM1RPTDATARNGARPT6" localSheetId="0">report!$133:$133</definedName>
    <definedName name="TM1RPTFMTIDCOL" localSheetId="0">report!$A$1:$A$8</definedName>
    <definedName name="TM1RPTFMTRNG" localSheetId="0">report!$B$1:$R$8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" i="1" l="1" a="1"/>
  <c r="C20" i="1"/>
  <c r="C23" i="1" a="1"/>
  <c r="C23" i="1"/>
  <c r="C44" i="1"/>
  <c r="D133" i="1"/>
  <c r="C133" i="1"/>
  <c r="B133" i="1"/>
  <c r="C42" i="1" a="1"/>
  <c r="C42" i="1"/>
  <c r="D123" i="1"/>
  <c r="C41" i="1"/>
  <c r="D118" i="1"/>
  <c r="C40" i="1"/>
  <c r="D113" i="1"/>
  <c r="C65" i="1"/>
  <c r="C64" i="1"/>
  <c r="K96" i="1" a="1"/>
  <c r="K96" i="1"/>
  <c r="C62" i="1"/>
  <c r="C61" i="1"/>
  <c r="C59" i="1"/>
  <c r="C58" i="1"/>
  <c r="C57" i="1"/>
  <c r="C56" i="1"/>
  <c r="C55" i="1"/>
  <c r="C54" i="1"/>
  <c r="C53" i="1"/>
  <c r="C22" i="1" a="1"/>
  <c r="C22" i="1"/>
  <c r="K94" i="1" a="1"/>
  <c r="K94" i="1"/>
  <c r="C52" i="1"/>
  <c r="C21" i="1" a="1"/>
  <c r="C21" i="1"/>
  <c r="K93" i="1" a="1"/>
  <c r="K93" i="1"/>
  <c r="C51" i="1"/>
  <c r="C39" i="1"/>
  <c r="C48" i="1" a="1"/>
  <c r="C48" i="1"/>
  <c r="K22" i="1"/>
  <c r="R22" i="1" a="1"/>
  <c r="R22" i="1"/>
  <c r="R85" i="1"/>
  <c r="R135" i="1" a="1"/>
  <c r="R135" i="1"/>
  <c r="Q22" i="1" a="1"/>
  <c r="Q22" i="1"/>
  <c r="Q85" i="1"/>
  <c r="Q135" i="1" a="1"/>
  <c r="Q135" i="1"/>
  <c r="P22" i="1" a="1"/>
  <c r="P22" i="1"/>
  <c r="P85" i="1"/>
  <c r="P135" i="1" a="1"/>
  <c r="P135" i="1"/>
  <c r="O22" i="1" a="1"/>
  <c r="O22" i="1"/>
  <c r="O85" i="1"/>
  <c r="O135" i="1" a="1"/>
  <c r="O135" i="1"/>
  <c r="N22" i="1" a="1"/>
  <c r="N22" i="1"/>
  <c r="N85" i="1"/>
  <c r="N135" i="1" a="1"/>
  <c r="N135" i="1"/>
  <c r="R133" i="1" a="1"/>
  <c r="R133" i="1"/>
  <c r="Q133" i="1" a="1"/>
  <c r="Q133" i="1"/>
  <c r="P133" i="1" a="1"/>
  <c r="P133" i="1"/>
  <c r="O133" i="1" a="1"/>
  <c r="O133" i="1"/>
  <c r="N133" i="1" a="1"/>
  <c r="N133" i="1"/>
  <c r="C47" i="1" a="1"/>
  <c r="C47" i="1"/>
  <c r="K133" i="1"/>
  <c r="F133" i="1" a="1"/>
  <c r="F133" i="1"/>
  <c r="C46" i="1" a="1"/>
  <c r="C46" i="1"/>
  <c r="E133" i="1" a="1"/>
  <c r="E133" i="1"/>
  <c r="A133" i="1" a="1"/>
  <c r="A133" i="1"/>
  <c r="R130" i="1" a="1"/>
  <c r="R130" i="1"/>
  <c r="Q130" i="1" a="1"/>
  <c r="Q130" i="1"/>
  <c r="P130" i="1" a="1"/>
  <c r="P130" i="1"/>
  <c r="O130" i="1" a="1"/>
  <c r="O130" i="1"/>
  <c r="N130" i="1" a="1"/>
  <c r="N130" i="1"/>
  <c r="C43" i="1" a="1"/>
  <c r="C43" i="1"/>
  <c r="D128" i="1" a="1"/>
  <c r="D128" i="1"/>
  <c r="C128" i="1" a="1"/>
  <c r="B128" i="1" a="1"/>
  <c r="C128" i="1"/>
  <c r="B128" i="1"/>
  <c r="R128" i="1" a="1"/>
  <c r="R128" i="1"/>
  <c r="Q128" i="1" a="1"/>
  <c r="Q128" i="1"/>
  <c r="P128" i="1" a="1"/>
  <c r="P128" i="1"/>
  <c r="O128" i="1" a="1"/>
  <c r="O128" i="1"/>
  <c r="N128" i="1" a="1"/>
  <c r="N128" i="1"/>
  <c r="K128" i="1"/>
  <c r="F128" i="1" a="1"/>
  <c r="F128" i="1"/>
  <c r="E128" i="1" a="1"/>
  <c r="E128" i="1"/>
  <c r="A128" i="1" a="1"/>
  <c r="A128" i="1"/>
  <c r="R125" i="1" a="1"/>
  <c r="R125" i="1"/>
  <c r="Q125" i="1" a="1"/>
  <c r="Q125" i="1"/>
  <c r="P125" i="1" a="1"/>
  <c r="P125" i="1"/>
  <c r="O125" i="1" a="1"/>
  <c r="O125" i="1"/>
  <c r="N125" i="1" a="1"/>
  <c r="N125" i="1"/>
  <c r="C123" i="1" a="1"/>
  <c r="B123" i="1" a="1"/>
  <c r="C123" i="1"/>
  <c r="B123" i="1"/>
  <c r="R123" i="1" a="1"/>
  <c r="R123" i="1"/>
  <c r="Q123" i="1" a="1"/>
  <c r="Q123" i="1"/>
  <c r="P123" i="1" a="1"/>
  <c r="P123" i="1"/>
  <c r="O123" i="1" a="1"/>
  <c r="O123" i="1"/>
  <c r="N123" i="1" a="1"/>
  <c r="N123" i="1"/>
  <c r="K123" i="1"/>
  <c r="F123" i="1" a="1"/>
  <c r="F123" i="1"/>
  <c r="E123" i="1" a="1"/>
  <c r="E123" i="1"/>
  <c r="A123" i="1" a="1"/>
  <c r="A123" i="1"/>
  <c r="R120" i="1" a="1"/>
  <c r="R120" i="1"/>
  <c r="Q120" i="1" a="1"/>
  <c r="Q120" i="1"/>
  <c r="P120" i="1" a="1"/>
  <c r="P120" i="1"/>
  <c r="O120" i="1" a="1"/>
  <c r="O120" i="1"/>
  <c r="N120" i="1" a="1"/>
  <c r="N120" i="1"/>
  <c r="C118" i="1" a="1"/>
  <c r="B118" i="1" a="1"/>
  <c r="C118" i="1"/>
  <c r="B118" i="1"/>
  <c r="R118" i="1" a="1"/>
  <c r="R118" i="1"/>
  <c r="Q118" i="1" a="1"/>
  <c r="Q118" i="1"/>
  <c r="P118" i="1" a="1"/>
  <c r="P118" i="1"/>
  <c r="O118" i="1" a="1"/>
  <c r="O118" i="1"/>
  <c r="N118" i="1" a="1"/>
  <c r="N118" i="1"/>
  <c r="K118" i="1"/>
  <c r="F118" i="1" a="1"/>
  <c r="F118" i="1"/>
  <c r="E118" i="1" a="1"/>
  <c r="E118" i="1"/>
  <c r="A118" i="1" a="1"/>
  <c r="A118" i="1"/>
  <c r="R115" i="1" a="1"/>
  <c r="R115" i="1"/>
  <c r="Q115" i="1" a="1"/>
  <c r="Q115" i="1"/>
  <c r="P115" i="1" a="1"/>
  <c r="P115" i="1"/>
  <c r="O115" i="1" a="1"/>
  <c r="O115" i="1"/>
  <c r="N115" i="1" a="1"/>
  <c r="N115" i="1"/>
  <c r="C113" i="1" a="1"/>
  <c r="B113" i="1" a="1"/>
  <c r="C113" i="1"/>
  <c r="B113" i="1"/>
  <c r="R113" i="1" a="1"/>
  <c r="R113" i="1"/>
  <c r="Q113" i="1" a="1"/>
  <c r="Q113" i="1"/>
  <c r="P113" i="1" a="1"/>
  <c r="P113" i="1"/>
  <c r="O113" i="1" a="1"/>
  <c r="O113" i="1"/>
  <c r="N113" i="1" a="1"/>
  <c r="N113" i="1"/>
  <c r="K113" i="1"/>
  <c r="F113" i="1" a="1"/>
  <c r="F113" i="1"/>
  <c r="E113" i="1" a="1"/>
  <c r="E113" i="1"/>
  <c r="A113" i="1" a="1"/>
  <c r="A113" i="1"/>
  <c r="R110" i="1" a="1"/>
  <c r="R110" i="1"/>
  <c r="Q110" i="1" a="1"/>
  <c r="Q110" i="1"/>
  <c r="P110" i="1" a="1"/>
  <c r="P110" i="1"/>
  <c r="O110" i="1" a="1"/>
  <c r="O110" i="1"/>
  <c r="N110" i="1" a="1"/>
  <c r="N110" i="1"/>
  <c r="D108" i="1" a="1"/>
  <c r="D108" i="1"/>
  <c r="C108" i="1" a="1"/>
  <c r="B108" i="1" a="1"/>
  <c r="C108" i="1"/>
  <c r="B108" i="1"/>
  <c r="R108" i="1" a="1"/>
  <c r="R108" i="1"/>
  <c r="Q108" i="1" a="1"/>
  <c r="Q108" i="1"/>
  <c r="P108" i="1" a="1"/>
  <c r="P108" i="1"/>
  <c r="O108" i="1" a="1"/>
  <c r="O108" i="1"/>
  <c r="N108" i="1" a="1"/>
  <c r="N108" i="1"/>
  <c r="K108" i="1"/>
  <c r="F108" i="1" a="1"/>
  <c r="F108" i="1"/>
  <c r="E108" i="1" a="1"/>
  <c r="E108" i="1"/>
  <c r="A108" i="1" a="1"/>
  <c r="A108" i="1"/>
  <c r="R105" i="1" a="1"/>
  <c r="R105" i="1"/>
  <c r="Q105" i="1" a="1"/>
  <c r="Q105" i="1"/>
  <c r="P105" i="1" a="1"/>
  <c r="P105" i="1"/>
  <c r="O105" i="1" a="1"/>
  <c r="O105" i="1"/>
  <c r="N105" i="1" a="1"/>
  <c r="N105" i="1"/>
  <c r="C38" i="1" a="1"/>
  <c r="C38" i="1"/>
  <c r="D103" i="1" a="1"/>
  <c r="D103" i="1"/>
  <c r="C103" i="1" a="1"/>
  <c r="B103" i="1" a="1"/>
  <c r="C103" i="1"/>
  <c r="B103" i="1"/>
  <c r="R103" i="1" a="1"/>
  <c r="R103" i="1"/>
  <c r="Q103" i="1" a="1"/>
  <c r="Q103" i="1"/>
  <c r="P103" i="1" a="1"/>
  <c r="P103" i="1"/>
  <c r="O103" i="1" a="1"/>
  <c r="O103" i="1"/>
  <c r="N103" i="1" a="1"/>
  <c r="N103" i="1"/>
  <c r="K103" i="1"/>
  <c r="F103" i="1" a="1"/>
  <c r="F103" i="1"/>
  <c r="E103" i="1" a="1"/>
  <c r="E103" i="1"/>
  <c r="A103" i="1" a="1"/>
  <c r="A103" i="1"/>
  <c r="K95" i="1" a="1"/>
  <c r="K95" i="1"/>
  <c r="C26" i="1" a="1"/>
  <c r="C26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C13" i="1" a="1"/>
  <c r="C13" i="1"/>
  <c r="C14" i="1" a="1"/>
  <c r="C14" i="1"/>
  <c r="C16" i="1" a="1"/>
  <c r="C16" i="1"/>
  <c r="C15" i="1" a="1"/>
  <c r="C15" i="1"/>
  <c r="Q95" i="1"/>
  <c r="G133" i="1"/>
  <c r="L133" i="1"/>
  <c r="G128" i="1"/>
  <c r="L128" i="1"/>
  <c r="G123" i="1"/>
  <c r="L123" i="1"/>
  <c r="G118" i="1"/>
  <c r="L118" i="1"/>
  <c r="G113" i="1"/>
  <c r="L113" i="1"/>
  <c r="G108" i="1"/>
  <c r="L108" i="1"/>
  <c r="G103" i="1"/>
  <c r="L103" i="1"/>
  <c r="R100" i="1"/>
  <c r="Q100" i="1"/>
  <c r="P100" i="1"/>
  <c r="O100" i="1"/>
  <c r="N100" i="1"/>
  <c r="C17" i="1"/>
  <c r="J135" i="1"/>
  <c r="M133" i="1"/>
  <c r="J133" i="1"/>
  <c r="J130" i="1"/>
  <c r="M128" i="1"/>
  <c r="J128" i="1"/>
  <c r="J123" i="1"/>
  <c r="J125" i="1"/>
  <c r="M123" i="1"/>
  <c r="J120" i="1"/>
  <c r="M118" i="1"/>
  <c r="J118" i="1"/>
  <c r="J115" i="1"/>
  <c r="M113" i="1"/>
  <c r="J113" i="1"/>
  <c r="J110" i="1"/>
  <c r="M108" i="1"/>
  <c r="J108" i="1"/>
  <c r="L100" i="1"/>
  <c r="M103" i="1"/>
  <c r="J103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<sst xmlns="http://schemas.openxmlformats.org/spreadsheetml/2006/main" count="147" uniqueCount="129">
  <si>
    <t>headline year</t>
  </si>
  <si>
    <t>scenario</t>
  </si>
  <si>
    <t>status</t>
  </si>
  <si>
    <t>outcome</t>
  </si>
  <si>
    <t>function</t>
  </si>
  <si>
    <t>reason</t>
  </si>
  <si>
    <t>spp</t>
  </si>
  <si>
    <t>measure code</t>
  </si>
  <si>
    <t>appropriation type</t>
  </si>
  <si>
    <t>appropriation item</t>
  </si>
  <si>
    <t>programme</t>
  </si>
  <si>
    <t>id</t>
  </si>
  <si>
    <t>jurisdiction</t>
  </si>
  <si>
    <t>D</t>
  </si>
  <si>
    <t>N</t>
  </si>
  <si>
    <t>[Begin Format Range]</t>
  </si>
  <si>
    <t>[End Format Range]</t>
  </si>
  <si>
    <t>1000001 - Income</t>
  </si>
  <si>
    <t>2000000 - Total Expenses</t>
  </si>
  <si>
    <t>movement account</t>
  </si>
  <si>
    <t>Account</t>
  </si>
  <si>
    <t>account</t>
  </si>
  <si>
    <t>period</t>
  </si>
  <si>
    <t>Movt Acc MDX</t>
  </si>
  <si>
    <t>RE MDX</t>
  </si>
  <si>
    <t>{TM1SORTBYINDEX( {TM1FILTERBYLEVEL( {TM1SUBSETALL( [movement account] )}, 0)}, DESC)}</t>
  </si>
  <si>
    <t>{TM1SORTBYINDEX( {TM1FILTERBYLEVEL( {TM1SUBSETALL( [related entity] )}, 0)}, DESC)}</t>
  </si>
  <si>
    <t>Movt Account</t>
  </si>
  <si>
    <t>Related Entity</t>
  </si>
  <si>
    <t>DR/CR</t>
  </si>
  <si>
    <t>Acc Element Attrib View</t>
  </si>
  <si>
    <t>{TM1FILTERBYLEVEL( {DESCENDANTS(ACCOUNT.[1000001]) }, 0)}</t>
  </si>
  <si>
    <t>Revenue Account MDX</t>
  </si>
  <si>
    <t>{TM1FILTERBYLEVEL( {DESCENDANTS(ACCOUNT.[2000000]) }, 0)}</t>
  </si>
  <si>
    <t>Movt Acc Element Attrib View</t>
  </si>
  <si>
    <t>ae Adj Slice View</t>
  </si>
  <si>
    <t>Total movement</t>
  </si>
  <si>
    <t>Total related entity</t>
  </si>
  <si>
    <t>Freeze Rows HERE</t>
  </si>
  <si>
    <t>Active Form View - Expense Section</t>
  </si>
  <si>
    <t>Active Form View - Revenue Section</t>
  </si>
  <si>
    <t>RE</t>
  </si>
  <si>
    <t>Movt Acc</t>
  </si>
  <si>
    <t>Expense</t>
  </si>
  <si>
    <t>Income</t>
  </si>
  <si>
    <t>Total Income</t>
  </si>
  <si>
    <t>Financial Assets</t>
  </si>
  <si>
    <t>Expense Account MDX</t>
  </si>
  <si>
    <t>Financial Assets Account MDX</t>
  </si>
  <si>
    <t>{TM1FILTERBYLEVEL( {DESCENDANTS(ACCOUNT.[5200000]) }, 0)}</t>
  </si>
  <si>
    <t>5200000 - Financial Assets</t>
  </si>
  <si>
    <t>Non Financial Assets Account MDX</t>
  </si>
  <si>
    <t>{TM1FILTERBYLEVEL( {DESCENDANTS(ACCOUNT.[5300000]) }, 0)}</t>
  </si>
  <si>
    <t>Non-Financial Assets</t>
  </si>
  <si>
    <t>Non Financial Assets Movt Acc MDX</t>
  </si>
  <si>
    <t>5300000 - Non Financial Assets</t>
  </si>
  <si>
    <t>{TM1FILTERBYLEVEL( {TM1DRILLDOWNMEMBER( {[movement account].[no_mvt],[7110]}, ALL, RECURSIVE )}, 0)}</t>
  </si>
  <si>
    <t>Liabilities</t>
  </si>
  <si>
    <t>Active Form View - Non-Financial Assets Section</t>
  </si>
  <si>
    <t>Active Form View - Financial Assets Section</t>
  </si>
  <si>
    <t>Liability Accounts MDX</t>
  </si>
  <si>
    <t>{TM1FILTERBYLEVEL( {DESCENDANTS(ACCOUNT.[3000000]) }, 0)}</t>
  </si>
  <si>
    <t>Active Form View - Liabilities Section</t>
  </si>
  <si>
    <t>3000000 - Total Liability</t>
  </si>
  <si>
    <t>Equity Accounts MDX</t>
  </si>
  <si>
    <t>{TM1FILTERBYLEVEL( {DESCENDANTS(ACCOUNT.[4000000]) }, 0)}</t>
  </si>
  <si>
    <t>Equiyty Movt Acc MDX</t>
  </si>
  <si>
    <t>Active Form View - Equity Section</t>
  </si>
  <si>
    <t>{TM1FILTERBYLEVEL( {TM1DRILLDOWNMEMBER( {[movement account].[no_mvt],[7299]}, ALL, RECURSIVE )}, 0)}</t>
  </si>
  <si>
    <t>4000000 - Equity</t>
  </si>
  <si>
    <t>Equity</t>
  </si>
  <si>
    <t>Active Form View - Cash Flow Section</t>
  </si>
  <si>
    <t>Cash Flow Accounts MDX</t>
  </si>
  <si>
    <t>{TM1FILTERBYLEVEL( {DESCENDANTS(ACCOUNT.[9000003]) }, 0)}</t>
  </si>
  <si>
    <t>Cash Flow</t>
  </si>
  <si>
    <t>9000003 - Cashflow Statement</t>
  </si>
  <si>
    <t>Report Parameters:</t>
  </si>
  <si>
    <t>RB</t>
  </si>
  <si>
    <t>NB</t>
  </si>
  <si>
    <t>FE1</t>
  </si>
  <si>
    <t>FE2</t>
  </si>
  <si>
    <t>FE3</t>
  </si>
  <si>
    <t>$'000</t>
  </si>
  <si>
    <t>System Parameters</t>
  </si>
  <si>
    <t>Dataabase Name</t>
  </si>
  <si>
    <t xml:space="preserve">System Variables </t>
  </si>
  <si>
    <t>headline scenario</t>
  </si>
  <si>
    <t>Period Variables</t>
  </si>
  <si>
    <t>current</t>
  </si>
  <si>
    <t>}Clients</t>
  </si>
  <si>
    <t>TM1 User</t>
  </si>
  <si>
    <t>}TM1_DefaultDisplayValue</t>
  </si>
  <si>
    <t>GEUS User Name</t>
  </si>
  <si>
    <t>Current User</t>
  </si>
  <si>
    <t>VIEW</t>
  </si>
  <si>
    <t>program dimension name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</si>
  <si>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</si>
  <si>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</si>
  <si>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</si>
  <si>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</si>
  <si>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</si>
  <si>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</si>
  <si>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</si>
  <si>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</si>
  <si>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</si>
  <si>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</si>
  <si>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</si>
  <si>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</si>
  <si>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</si>
  <si>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Reports - Related Entity Report</t>
  </si>
  <si>
    <t>Report Variables</t>
  </si>
  <si>
    <t>Active Form Views and Slices</t>
  </si>
  <si>
    <t>Related Entity Report</t>
  </si>
  <si>
    <t>REPORT PARAMETERS</t>
  </si>
  <si>
    <t>Headline Year :</t>
  </si>
  <si>
    <t>Scenario :</t>
  </si>
  <si>
    <t>Program :</t>
  </si>
  <si>
    <t>Status  :</t>
  </si>
  <si>
    <t>Account DRCR</t>
  </si>
  <si>
    <t>MA DRCR</t>
  </si>
  <si>
    <t>DRCR TO Use</t>
  </si>
  <si>
    <t>As at</t>
  </si>
  <si>
    <t>ACCOUNT</t>
  </si>
  <si>
    <t>MOVEMENT ACCOUNT</t>
  </si>
  <si>
    <t>RELATED ENTITY</t>
  </si>
  <si>
    <t>Other Reports - Trial Balance Drill</t>
  </si>
  <si>
    <t>Homepage - Reports - Analytical</t>
  </si>
  <si>
    <t>Note : Highlight any financial values to do a TBAL Drill Down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</si>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</sst>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[Red]* \(#,##0\)_-;_-* &quot;-&quot;??_-;_-@_-"/>
    <numFmt numFmtId="166" formatCode="dd\ mmmm\ yyyy\ h:mm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BDD6E7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</cellStyleXfs>
  <cellXfs count="1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164" fontId="0" fillId="0" borderId="0" xfId="1" applyFont="1" applyAlignment="1">
      <alignment vertical="top"/>
    </xf>
    <xf numFmtId="0" fontId="1" fillId="7" borderId="1" xfId="0" applyFont="1" applyFill="1" applyBorder="1" applyAlignment="1">
      <alignment vertical="top"/>
    </xf>
    <xf numFmtId="0" fontId="0" fillId="7" borderId="0" xfId="0" applyFill="1" applyAlignment="1">
      <alignment vertical="top"/>
    </xf>
    <xf numFmtId="0" fontId="3" fillId="7" borderId="0" xfId="0" applyFont="1" applyFill="1" applyAlignment="1">
      <alignment vertical="top" wrapText="1"/>
    </xf>
    <xf numFmtId="0" fontId="3" fillId="7" borderId="0" xfId="0" applyFont="1" applyFill="1" applyAlignment="1">
      <alignment horizontal="center" vertical="top"/>
    </xf>
    <xf numFmtId="0" fontId="3" fillId="7" borderId="0" xfId="0" applyFont="1" applyFill="1" applyAlignment="1">
      <alignment vertical="top"/>
    </xf>
    <xf numFmtId="165" fontId="3" fillId="7" borderId="2" xfId="2" applyNumberFormat="1" applyFont="1" applyFill="1" applyBorder="1" applyAlignment="1">
      <alignment vertical="top"/>
    </xf>
    <xf numFmtId="165" fontId="3" fillId="7" borderId="0" xfId="2" applyNumberFormat="1" applyFont="1" applyFill="1" applyAlignment="1">
      <alignment vertical="top"/>
    </xf>
    <xf numFmtId="165" fontId="3" fillId="7" borderId="3" xfId="2" applyNumberFormat="1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0" xfId="0" applyFill="1" applyAlignment="1">
      <alignment vertical="top"/>
    </xf>
    <xf numFmtId="0" fontId="3" fillId="4" borderId="0" xfId="0" applyFont="1" applyFill="1" applyAlignment="1">
      <alignment vertical="top" wrapText="1"/>
    </xf>
    <xf numFmtId="0" fontId="3" fillId="4" borderId="0" xfId="0" applyFont="1" applyFill="1" applyAlignment="1">
      <alignment horizontal="center" vertical="top"/>
    </xf>
    <xf numFmtId="0" fontId="3" fillId="8" borderId="0" xfId="0" applyFont="1" applyFill="1" applyAlignment="1">
      <alignment vertical="top" wrapText="1"/>
    </xf>
    <xf numFmtId="0" fontId="3" fillId="4" borderId="0" xfId="0" applyFont="1" applyFill="1" applyAlignment="1">
      <alignment vertical="top"/>
    </xf>
    <xf numFmtId="165" fontId="3" fillId="8" borderId="2" xfId="2" applyNumberFormat="1" applyFont="1" applyFill="1" applyBorder="1" applyAlignment="1">
      <alignment vertical="top"/>
    </xf>
    <xf numFmtId="165" fontId="3" fillId="8" borderId="0" xfId="2" applyNumberFormat="1" applyFont="1" applyFill="1" applyAlignment="1">
      <alignment vertical="top"/>
    </xf>
    <xf numFmtId="165" fontId="3" fillId="8" borderId="3" xfId="2" applyNumberFormat="1" applyFont="1" applyFill="1" applyBorder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165" fontId="3" fillId="0" borderId="2" xfId="2" applyNumberFormat="1" applyFont="1" applyBorder="1" applyAlignment="1">
      <alignment vertical="top"/>
    </xf>
    <xf numFmtId="165" fontId="3" fillId="0" borderId="0" xfId="2" applyNumberFormat="1" applyFont="1" applyAlignment="1">
      <alignment vertical="top"/>
    </xf>
    <xf numFmtId="165" fontId="3" fillId="0" borderId="3" xfId="2" applyNumberFormat="1" applyFont="1" applyBorder="1" applyAlignment="1">
      <alignment vertical="top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  <xf numFmtId="164" fontId="2" fillId="2" borderId="0" xfId="1" applyFont="1" applyFill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164" fontId="2" fillId="0" borderId="0" xfId="1" applyFont="1" applyFill="1" applyAlignment="1">
      <alignment horizontal="center" vertical="top"/>
    </xf>
    <xf numFmtId="0" fontId="7" fillId="0" borderId="0" xfId="0" applyFont="1" applyAlignment="1">
      <alignment vertical="top"/>
    </xf>
    <xf numFmtId="0" fontId="0" fillId="9" borderId="0" xfId="0" applyFill="1" applyAlignment="1">
      <alignment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/>
    </xf>
    <xf numFmtId="164" fontId="8" fillId="0" borderId="0" xfId="1" applyFont="1" applyFill="1" applyAlignment="1">
      <alignment horizontal="left" vertical="top"/>
    </xf>
    <xf numFmtId="0" fontId="8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49" fontId="0" fillId="3" borderId="1" xfId="0" applyNumberFormat="1" applyFill="1" applyBorder="1" applyAlignment="1">
      <alignment vertical="top"/>
    </xf>
    <xf numFmtId="49" fontId="0" fillId="0" borderId="0" xfId="0" applyNumberFormat="1" applyAlignment="1">
      <alignment vertical="top"/>
    </xf>
    <xf numFmtId="49" fontId="4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164" fontId="3" fillId="0" borderId="2" xfId="1" applyFont="1" applyFill="1" applyBorder="1" applyAlignment="1">
      <alignment vertical="top"/>
    </xf>
    <xf numFmtId="164" fontId="3" fillId="0" borderId="0" xfId="1" applyFont="1" applyFill="1" applyBorder="1" applyAlignment="1">
      <alignment vertical="top"/>
    </xf>
    <xf numFmtId="164" fontId="3" fillId="0" borderId="3" xfId="1" applyFont="1" applyFill="1" applyBorder="1" applyAlignment="1">
      <alignment vertical="top"/>
    </xf>
    <xf numFmtId="49" fontId="1" fillId="0" borderId="0" xfId="0" applyNumberFormat="1" applyFont="1" applyAlignment="1">
      <alignment vertical="top"/>
    </xf>
    <xf numFmtId="0" fontId="10" fillId="6" borderId="4" xfId="0" applyFont="1" applyFill="1" applyBorder="1" applyAlignment="1">
      <alignment vertical="top" wrapText="1"/>
    </xf>
    <xf numFmtId="0" fontId="1" fillId="6" borderId="4" xfId="0" applyFont="1" applyFill="1" applyBorder="1" applyAlignment="1">
      <alignment horizontal="center" vertical="top"/>
    </xf>
    <xf numFmtId="0" fontId="1" fillId="6" borderId="4" xfId="0" applyFont="1" applyFill="1" applyBorder="1" applyAlignment="1">
      <alignment vertical="top" wrapText="1"/>
    </xf>
    <xf numFmtId="0" fontId="1" fillId="6" borderId="4" xfId="0" applyFont="1" applyFill="1" applyBorder="1" applyAlignment="1">
      <alignment vertical="top"/>
    </xf>
    <xf numFmtId="165" fontId="9" fillId="6" borderId="6" xfId="2" applyNumberFormat="1" applyFont="1" applyFill="1" applyBorder="1" applyAlignment="1">
      <alignment vertical="top"/>
    </xf>
    <xf numFmtId="165" fontId="9" fillId="6" borderId="4" xfId="2" applyNumberFormat="1" applyFont="1" applyFill="1" applyBorder="1" applyAlignment="1">
      <alignment vertical="top"/>
    </xf>
    <xf numFmtId="165" fontId="9" fillId="6" borderId="5" xfId="2" applyNumberFormat="1" applyFont="1" applyFill="1" applyBorder="1" applyAlignment="1">
      <alignment vertical="top"/>
    </xf>
    <xf numFmtId="164" fontId="0" fillId="0" borderId="2" xfId="1" applyFont="1" applyBorder="1" applyAlignment="1">
      <alignment vertical="top"/>
    </xf>
    <xf numFmtId="164" fontId="0" fillId="0" borderId="0" xfId="1" applyFont="1" applyBorder="1" applyAlignment="1">
      <alignment vertical="top"/>
    </xf>
    <xf numFmtId="164" fontId="0" fillId="0" borderId="3" xfId="1" applyFont="1" applyBorder="1" applyAlignment="1">
      <alignment vertical="top"/>
    </xf>
    <xf numFmtId="165" fontId="3" fillId="0" borderId="2" xfId="2" applyNumberFormat="1" applyFont="1" applyFill="1" applyBorder="1" applyAlignment="1">
      <alignment vertical="top"/>
    </xf>
    <xf numFmtId="165" fontId="3" fillId="0" borderId="0" xfId="2" applyNumberFormat="1" applyFont="1" applyFill="1" applyBorder="1" applyAlignment="1">
      <alignment vertical="top"/>
    </xf>
    <xf numFmtId="165" fontId="3" fillId="0" borderId="3" xfId="2" applyNumberFormat="1" applyFont="1" applyFill="1" applyBorder="1" applyAlignment="1">
      <alignment vertical="top"/>
    </xf>
    <xf numFmtId="0" fontId="1" fillId="0" borderId="9" xfId="0" applyFont="1" applyBorder="1"/>
    <xf numFmtId="0" fontId="0" fillId="0" borderId="10" xfId="0" applyBorder="1" applyAlignment="1">
      <alignment horizontal="center"/>
    </xf>
    <xf numFmtId="0" fontId="1" fillId="5" borderId="6" xfId="0" applyFont="1" applyFill="1" applyBorder="1"/>
    <xf numFmtId="0" fontId="1" fillId="5" borderId="4" xfId="0" applyFont="1" applyFill="1" applyBorder="1"/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0" fontId="0" fillId="0" borderId="11" xfId="0" applyBorder="1"/>
    <xf numFmtId="0" fontId="0" fillId="5" borderId="11" xfId="0" applyFill="1" applyBorder="1"/>
    <xf numFmtId="0" fontId="0" fillId="0" borderId="11" xfId="0" applyBorder="1" applyAlignment="1">
      <alignment horizontal="center"/>
    </xf>
    <xf numFmtId="0" fontId="1" fillId="0" borderId="0" xfId="0" applyFont="1"/>
    <xf numFmtId="0" fontId="1" fillId="0" borderId="11" xfId="0" applyFont="1" applyBorder="1"/>
    <xf numFmtId="0" fontId="0" fillId="0" borderId="11" xfId="0" applyBorder="1" applyAlignment="1">
      <alignment horizontal="left"/>
    </xf>
    <xf numFmtId="0" fontId="0" fillId="0" borderId="11" xfId="0" applyBorder="1" applyAlignment="1">
      <alignment vertical="top"/>
    </xf>
    <xf numFmtId="0" fontId="0" fillId="0" borderId="11" xfId="0" applyBorder="1" applyAlignment="1">
      <alignment horizontal="left" vertical="top"/>
    </xf>
    <xf numFmtId="0" fontId="1" fillId="0" borderId="11" xfId="0" applyFont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0" fillId="5" borderId="11" xfId="0" applyFill="1" applyBorder="1" applyAlignment="1">
      <alignment vertical="top"/>
    </xf>
    <xf numFmtId="0" fontId="12" fillId="10" borderId="0" xfId="0" applyFont="1" applyFill="1" applyAlignment="1">
      <alignment vertical="center" wrapText="1"/>
    </xf>
    <xf numFmtId="0" fontId="13" fillId="10" borderId="0" xfId="0" applyFont="1" applyFill="1" applyAlignment="1">
      <alignment horizontal="right" vertical="center"/>
    </xf>
    <xf numFmtId="0" fontId="2" fillId="10" borderId="0" xfId="0" applyFont="1" applyFill="1" applyAlignment="1">
      <alignment horizontal="center" vertical="top" wrapText="1"/>
    </xf>
    <xf numFmtId="0" fontId="2" fillId="10" borderId="0" xfId="0" applyFont="1" applyFill="1" applyAlignment="1">
      <alignment horizontal="center" vertical="top"/>
    </xf>
    <xf numFmtId="0" fontId="11" fillId="10" borderId="0" xfId="0" applyFont="1" applyFill="1" applyAlignment="1">
      <alignment horizontal="center" vertical="top"/>
    </xf>
    <xf numFmtId="0" fontId="0" fillId="10" borderId="0" xfId="0" applyFill="1" applyAlignment="1">
      <alignment vertical="top" wrapText="1"/>
    </xf>
    <xf numFmtId="0" fontId="0" fillId="0" borderId="0" xfId="0" applyAlignment="1" applyProtection="1">
      <alignment vertical="top"/>
      <protection locked="0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" fillId="0" borderId="0" xfId="0" applyFont="1" applyAlignment="1">
      <alignment horizontal="right" indent="1"/>
    </xf>
    <xf numFmtId="164" fontId="11" fillId="10" borderId="0" xfId="0" applyNumberFormat="1" applyFont="1" applyFill="1" applyAlignment="1">
      <alignment horizontal="center" vertical="top"/>
    </xf>
    <xf numFmtId="0" fontId="1" fillId="0" borderId="0" xfId="0" applyFont="1" applyAlignment="1">
      <alignment horizontal="right"/>
    </xf>
    <xf numFmtId="165" fontId="3" fillId="0" borderId="2" xfId="2" applyNumberFormat="1" applyFont="1" applyBorder="1" applyAlignment="1">
      <alignment horizontal="left" vertical="top"/>
    </xf>
    <xf numFmtId="0" fontId="11" fillId="10" borderId="0" xfId="0" applyFont="1" applyFill="1" applyAlignment="1">
      <alignment horizontal="left" vertical="top" wrapText="1"/>
    </xf>
    <xf numFmtId="0" fontId="11" fillId="10" borderId="0" xfId="0" applyFont="1" applyFill="1" applyAlignment="1">
      <alignment horizontal="left" vertical="top"/>
    </xf>
    <xf numFmtId="0" fontId="7" fillId="0" borderId="11" xfId="0" applyFont="1" applyBorder="1" applyAlignment="1" applyProtection="1">
      <alignment horizontal="left" vertical="center" indent="1"/>
      <protection locked="0"/>
    </xf>
    <xf numFmtId="0" fontId="11" fillId="11" borderId="2" xfId="0" applyFont="1" applyFill="1" applyBorder="1" applyAlignment="1">
      <alignment horizontal="center" wrapText="1"/>
    </xf>
    <xf numFmtId="0" fontId="11" fillId="11" borderId="0" xfId="0" applyFont="1" applyFill="1" applyAlignment="1">
      <alignment horizontal="center" wrapText="1"/>
    </xf>
    <xf numFmtId="0" fontId="14" fillId="0" borderId="11" xfId="0" applyFont="1" applyBorder="1" applyAlignment="1">
      <alignment horizontal="center" vertical="top"/>
    </xf>
    <xf numFmtId="166" fontId="1" fillId="0" borderId="0" xfId="0" applyNumberFormat="1" applyFont="1" applyAlignment="1">
      <alignment horizontal="left" indent="1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</cellXfs>
  <cellStyles count="4">
    <cellStyle name="Comma" xfId="1" builtinId="3"/>
    <cellStyle name="Comma 4" xfId="2" xr:uid="{1CE794D2-CCA7-465B-8FC5-CB491FEFEAAA}"/>
    <cellStyle name="Normal" xfId="0" builtinId="0"/>
    <cellStyle name="Normal 3" xfId="3" xr:uid="{CDD00F53-93F1-4E25-8919-6A6449CE624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  <color rgb="FF004274"/>
      <color rgb="FF0010A6"/>
      <color rgb="FF305496"/>
      <color rgb="FF99CCFF"/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86</xdr:row>
      <xdr:rowOff>28575</xdr:rowOff>
    </xdr:from>
    <xdr:to>
      <xdr:col>9</xdr:col>
      <xdr:colOff>1811355</xdr:colOff>
      <xdr:row>87</xdr:row>
      <xdr:rowOff>20141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5897225"/>
          <a:ext cx="1841835" cy="484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45720</xdr:colOff>
          <xdr:row>88</xdr:row>
          <xdr:rowOff>0</xdr:rowOff>
        </xdr:from>
        <xdr:to>
          <xdr:col>9</xdr:col>
          <xdr:colOff>632460</xdr:colOff>
          <xdr:row>88</xdr:row>
          <xdr:rowOff>251460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1813560</xdr:colOff>
          <xdr:row>88</xdr:row>
          <xdr:rowOff>0</xdr:rowOff>
        </xdr:from>
        <xdr:to>
          <xdr:col>10</xdr:col>
          <xdr:colOff>2590800</xdr:colOff>
          <xdr:row>88</xdr:row>
          <xdr:rowOff>251460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670560</xdr:colOff>
          <xdr:row>88</xdr:row>
          <xdr:rowOff>0</xdr:rowOff>
        </xdr:from>
        <xdr:to>
          <xdr:col>9</xdr:col>
          <xdr:colOff>1607820</xdr:colOff>
          <xdr:row>88</xdr:row>
          <xdr:rowOff>251460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716280</xdr:colOff>
          <xdr:row>87</xdr:row>
          <xdr:rowOff>30480</xdr:rowOff>
        </xdr:from>
        <xdr:to>
          <xdr:col>17</xdr:col>
          <xdr:colOff>1028700</xdr:colOff>
          <xdr:row>88</xdr:row>
          <xdr:rowOff>289560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1638300</xdr:colOff>
          <xdr:row>88</xdr:row>
          <xdr:rowOff>0</xdr:rowOff>
        </xdr:from>
        <xdr:to>
          <xdr:col>9</xdr:col>
          <xdr:colOff>2994660</xdr:colOff>
          <xdr:row>88</xdr:row>
          <xdr:rowOff>251460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3017520</xdr:colOff>
          <xdr:row>88</xdr:row>
          <xdr:rowOff>0</xdr:rowOff>
        </xdr:from>
        <xdr:to>
          <xdr:col>10</xdr:col>
          <xdr:colOff>525780</xdr:colOff>
          <xdr:row>88</xdr:row>
          <xdr:rowOff>251460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556260</xdr:colOff>
          <xdr:row>88</xdr:row>
          <xdr:rowOff>0</xdr:rowOff>
        </xdr:from>
        <xdr:to>
          <xdr:col>10</xdr:col>
          <xdr:colOff>1760220</xdr:colOff>
          <xdr:row>88</xdr:row>
          <xdr:rowOff>251460</xdr:rowOff>
        </xdr:to>
        <xdr:sp macro="" textlink="">
          <xdr:nvSpPr>
            <xdr:cNvPr id="1032" name="TIButton7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136C-3459-41AA-AC2F-CB94542F6B06}">
  <sheetPr codeName="Sheet1">
    <outlinePr showOutlineSymbols="0"/>
    <pageSetUpPr fitToPage="1"/>
  </sheetPr>
  <dimension ref="A1:S135"/>
  <sheetViews>
    <sheetView showGridLines="0" showRowColHeaders="0" tabSelected="1" showOutlineSymbols="0" topLeftCell="A87" workbookViewId="0">
      <pane ySplit="15" topLeftCell="A102" activePane="bottomLeft" state="frozen"/>
      <selection activeCell="I87" sqref="I87"/>
      <selection pane="bottomLeft" activeCell="B101" sqref="B101"/>
    </sheetView>
  </sheetViews>
  <sheetFormatPr defaultColWidth="8.88671875" defaultRowHeight="14.4" outlineLevelRow="1" outlineLevelCol="1" x14ac:dyDescent="0.3"/>
  <cols>
    <col min="1" max="1" width="10.44140625" style="1" hidden="1" customWidth="1" outlineLevel="1"/>
    <col min="2" max="2" width="44.6640625" style="1" hidden="1" customWidth="1" outlineLevel="1"/>
    <col min="3" max="3" width="20.6640625" style="1" hidden="1" customWidth="1" outlineLevel="1"/>
    <col min="4" max="4" width="22.33203125" style="1" hidden="1" customWidth="1" outlineLevel="1"/>
    <col min="5" max="5" width="24.33203125" style="1" hidden="1" customWidth="1" outlineLevel="1"/>
    <col min="6" max="6" width="23.44140625" style="1" hidden="1" customWidth="1" outlineLevel="1"/>
    <col min="7" max="7" width="19.44140625" style="1" hidden="1" customWidth="1" outlineLevel="1"/>
    <col min="8" max="8" width="21.5546875" style="1" hidden="1" customWidth="1" outlineLevel="1"/>
    <col min="9" max="9" width="0.88671875" style="1" customWidth="1" collapsed="1"/>
    <col min="10" max="10" width="60.6640625" style="2" customWidth="1"/>
    <col min="11" max="11" width="50.6640625" style="2" customWidth="1"/>
    <col min="12" max="12" width="6.44140625" style="3" bestFit="1" customWidth="1"/>
    <col min="13" max="13" width="20.6640625" style="1" customWidth="1"/>
    <col min="14" max="18" width="15.6640625" style="4" customWidth="1"/>
    <col min="19" max="16384" width="8.88671875" style="1"/>
  </cols>
  <sheetData>
    <row r="1" spans="1:18" hidden="1" outlineLevel="1" x14ac:dyDescent="0.3">
      <c r="A1" s="1" t="s">
        <v>15</v>
      </c>
    </row>
    <row r="2" spans="1:18" hidden="1" outlineLevel="1" x14ac:dyDescent="0.3">
      <c r="A2" s="1">
        <f>0</f>
        <v>0</v>
      </c>
      <c r="B2" s="5"/>
      <c r="C2" s="6"/>
      <c r="D2" s="6"/>
      <c r="E2" s="6"/>
      <c r="F2" s="6"/>
      <c r="G2" s="6"/>
      <c r="H2" s="6"/>
      <c r="I2" s="6"/>
      <c r="J2" s="7"/>
      <c r="K2" s="7"/>
      <c r="L2" s="8"/>
      <c r="M2" s="9"/>
      <c r="N2" s="10"/>
      <c r="O2" s="11"/>
      <c r="P2" s="11"/>
      <c r="Q2" s="11"/>
      <c r="R2" s="12"/>
    </row>
    <row r="3" spans="1:18" hidden="1" outlineLevel="1" x14ac:dyDescent="0.3">
      <c r="A3" s="1">
        <f>1</f>
        <v>1</v>
      </c>
      <c r="B3" s="13"/>
      <c r="C3" s="14"/>
      <c r="D3" s="14"/>
      <c r="E3" s="14"/>
      <c r="F3" s="14"/>
      <c r="G3" s="14"/>
      <c r="H3" s="14"/>
      <c r="I3" s="14"/>
      <c r="J3" s="15"/>
      <c r="K3" s="17"/>
      <c r="L3" s="16"/>
      <c r="M3" s="18"/>
      <c r="N3" s="19"/>
      <c r="O3" s="20"/>
      <c r="P3" s="20"/>
      <c r="Q3" s="20"/>
      <c r="R3" s="21"/>
    </row>
    <row r="4" spans="1:18" hidden="1" outlineLevel="1" x14ac:dyDescent="0.3">
      <c r="A4" s="1">
        <f>2</f>
        <v>2</v>
      </c>
      <c r="B4" s="13"/>
      <c r="C4" s="14"/>
      <c r="D4" s="14"/>
      <c r="E4" s="14"/>
      <c r="F4" s="14"/>
      <c r="G4" s="14"/>
      <c r="H4" s="14"/>
      <c r="I4" s="14"/>
      <c r="J4" s="15"/>
      <c r="K4" s="15"/>
      <c r="L4" s="16"/>
      <c r="M4" s="18"/>
      <c r="N4" s="19"/>
      <c r="O4" s="20"/>
      <c r="P4" s="20"/>
      <c r="Q4" s="20"/>
      <c r="R4" s="21"/>
    </row>
    <row r="5" spans="1:18" hidden="1" outlineLevel="1" x14ac:dyDescent="0.3">
      <c r="A5" s="1">
        <f>3</f>
        <v>3</v>
      </c>
      <c r="B5" s="13"/>
      <c r="C5" s="14"/>
      <c r="D5" s="14"/>
      <c r="E5" s="14"/>
      <c r="F5" s="14"/>
      <c r="G5" s="14"/>
      <c r="H5" s="14"/>
      <c r="I5" s="14"/>
      <c r="J5" s="15"/>
      <c r="K5" s="15"/>
      <c r="L5" s="16"/>
      <c r="M5" s="18"/>
      <c r="N5" s="19"/>
      <c r="O5" s="20"/>
      <c r="P5" s="20"/>
      <c r="Q5" s="20"/>
      <c r="R5" s="21"/>
    </row>
    <row r="6" spans="1:18" hidden="1" outlineLevel="1" x14ac:dyDescent="0.3">
      <c r="A6" s="1" t="s">
        <v>13</v>
      </c>
      <c r="B6" s="13"/>
      <c r="C6" s="14"/>
      <c r="D6" s="14"/>
      <c r="E6" s="14"/>
      <c r="F6" s="14"/>
      <c r="G6" s="14"/>
      <c r="H6" s="14"/>
      <c r="I6" s="14"/>
      <c r="J6" s="15"/>
      <c r="K6" s="15"/>
      <c r="L6" s="16"/>
      <c r="M6" s="18"/>
      <c r="N6" s="19"/>
      <c r="O6" s="20"/>
      <c r="P6" s="20"/>
      <c r="Q6" s="20"/>
      <c r="R6" s="21"/>
    </row>
    <row r="7" spans="1:18" hidden="1" outlineLevel="1" x14ac:dyDescent="0.3">
      <c r="A7" s="1" t="s">
        <v>14</v>
      </c>
      <c r="B7" s="13"/>
      <c r="J7" s="22"/>
      <c r="K7" s="22"/>
      <c r="L7" s="23"/>
      <c r="M7" s="24"/>
      <c r="N7" s="25"/>
      <c r="O7" s="26"/>
      <c r="P7" s="26"/>
      <c r="Q7" s="26"/>
      <c r="R7" s="27"/>
    </row>
    <row r="8" spans="1:18" hidden="1" outlineLevel="1" x14ac:dyDescent="0.3">
      <c r="A8" s="1" t="s">
        <v>16</v>
      </c>
    </row>
    <row r="9" spans="1:18" hidden="1" outlineLevel="1" x14ac:dyDescent="0.3"/>
    <row r="10" spans="1:18" ht="15" hidden="1" outlineLevel="1" thickBot="1" x14ac:dyDescent="0.35"/>
    <row r="11" spans="1:18" ht="15" hidden="1" outlineLevel="1" thickBot="1" x14ac:dyDescent="0.35">
      <c r="B11" s="104" t="s">
        <v>83</v>
      </c>
      <c r="C11" s="105"/>
    </row>
    <row r="12" spans="1:18" ht="15" hidden="1" outlineLevel="1" thickBot="1" x14ac:dyDescent="0.35">
      <c r="B12" s="66" t="s">
        <v>84</v>
      </c>
      <c r="C12" s="67" t="s">
        <v>128</v>
      </c>
    </row>
    <row r="13" spans="1:18" hidden="1" outlineLevel="1" x14ac:dyDescent="0.3">
      <c r="B13" s="76" t="s">
        <v>89</v>
      </c>
      <c r="C13" s="77" t="str" cm="1">
        <f t="array" aca="1" ref="C13" ca="1">_xll.VIEW(db_name&amp;":}ElementAttributes_}Clients","!","!")</f>
        <v>dcceew_geus:}ElementAttributes_}Clients</v>
      </c>
    </row>
    <row r="14" spans="1:18" hidden="1" outlineLevel="1" x14ac:dyDescent="0.3">
      <c r="B14" s="76" t="s">
        <v>90</v>
      </c>
      <c r="C14" s="74" t="str" cm="1">
        <f t="array" aca="1" ref="C14" ca="1">_xll.TM1USER(db_name)</f>
        <v/>
      </c>
    </row>
    <row r="15" spans="1:18" hidden="1" outlineLevel="1" x14ac:dyDescent="0.3">
      <c r="B15" s="76" t="s">
        <v>91</v>
      </c>
      <c r="C15" s="74" t="str" cm="1">
        <f t="array" aca="1" ref="C15" ca="1">_xll.DBR($C$13,$C$14,$B15)</f>
        <v>*KEY_ERR</v>
      </c>
    </row>
    <row r="16" spans="1:18" hidden="1" outlineLevel="1" x14ac:dyDescent="0.3">
      <c r="B16" s="76" t="s">
        <v>92</v>
      </c>
      <c r="C16" s="74" t="str" cm="1">
        <f t="array" aca="1" ref="C16" ca="1">_xll.DBR($C$13,$C$14,$B16)</f>
        <v>*KEY_ERR</v>
      </c>
    </row>
    <row r="17" spans="2:19" hidden="1" outlineLevel="1" x14ac:dyDescent="0.3">
      <c r="B17" s="76" t="s">
        <v>93</v>
      </c>
      <c r="C17" s="74" t="str">
        <f ca="1">IF(LEFT($C$15,6)="CAM_AD",$C$16,$C$15)</f>
        <v>*KEY_ERR</v>
      </c>
    </row>
    <row r="18" spans="2:19" ht="15" hidden="1" outlineLevel="1" thickBot="1" x14ac:dyDescent="0.35"/>
    <row r="19" spans="2:19" hidden="1" outlineLevel="1" x14ac:dyDescent="0.3">
      <c r="B19" s="106" t="s">
        <v>85</v>
      </c>
      <c r="C19" s="107"/>
    </row>
    <row r="20" spans="2:19" hidden="1" outlineLevel="1" x14ac:dyDescent="0.3">
      <c r="B20" s="72" t="s">
        <v>94</v>
      </c>
      <c r="C20" s="72" t="str" cm="1">
        <f t="array" aca="1" ref="C20" ca="1">_xll.VIEW(db_name&amp;":}ElementAttributes_variables","!","!")</f>
        <v>dcceew_geus:}ElementAttributes_variables</v>
      </c>
    </row>
    <row r="21" spans="2:19" hidden="1" outlineLevel="1" x14ac:dyDescent="0.3">
      <c r="B21" s="72" t="s">
        <v>0</v>
      </c>
      <c r="C21" s="72" t="str" cm="1">
        <f t="array" aca="1" ref="C21" ca="1">_xll.DBR($C$20,$B21,"value")</f>
        <v>*KEY_ERR</v>
      </c>
      <c r="K21" s="68" t="s">
        <v>87</v>
      </c>
      <c r="L21" s="69"/>
      <c r="M21" s="70"/>
      <c r="N21" s="71"/>
      <c r="O21" s="71"/>
      <c r="P21" s="71"/>
      <c r="Q21" s="71"/>
      <c r="R21" s="71"/>
    </row>
    <row r="22" spans="2:19" hidden="1" outlineLevel="1" x14ac:dyDescent="0.3">
      <c r="B22" s="72" t="s">
        <v>86</v>
      </c>
      <c r="C22" s="72" t="str" cm="1">
        <f t="array" aca="1" ref="C22" ca="1">_xll.DBR($C$20,$B22,"value")</f>
        <v>*KEY_ERR</v>
      </c>
      <c r="K22" s="72" t="str">
        <f ca="1">RIGHT(K93,9)</f>
        <v/>
      </c>
      <c r="L22" s="72"/>
      <c r="M22" s="73"/>
      <c r="N22" s="74" t="str" cm="1">
        <f t="array" aca="1" ref="N22" ca="1">_xll.DIMNM(db_name&amp;":period",_xll.DIMIX(db_name&amp;":period",$K$22)+N$23)</f>
        <v/>
      </c>
      <c r="O22" s="74" t="str" cm="1">
        <f t="array" aca="1" ref="O22" ca="1">_xll.DIMNM(db_name&amp;":period",_xll.DIMIX(db_name&amp;":period",$K$22)+O$23)</f>
        <v/>
      </c>
      <c r="P22" s="74" t="str" cm="1">
        <f t="array" aca="1" ref="P22" ca="1">_xll.DIMNM(db_name&amp;":period",_xll.DIMIX(db_name&amp;":period",$K$22)+P$23)</f>
        <v/>
      </c>
      <c r="Q22" s="74" t="str" cm="1">
        <f t="array" aca="1" ref="Q22" ca="1">_xll.DIMNM(db_name&amp;":period",_xll.DIMIX(db_name&amp;":period",$K$22)+Q$23)</f>
        <v/>
      </c>
      <c r="R22" s="74" t="str" cm="1">
        <f t="array" aca="1" ref="R22" ca="1">_xll.DIMNM(db_name&amp;":period",_xll.DIMIX(db_name&amp;":period",$K$22)+R$23)</f>
        <v/>
      </c>
    </row>
    <row r="23" spans="2:19" hidden="1" outlineLevel="1" x14ac:dyDescent="0.3">
      <c r="B23" s="72" t="s">
        <v>95</v>
      </c>
      <c r="C23" s="72" t="str" cm="1">
        <f t="array" aca="1" ref="C23" ca="1">_xll.DBR($C$20,$B23,"value")</f>
        <v>*KEY_ERR</v>
      </c>
      <c r="K23" s="72" t="s">
        <v>88</v>
      </c>
      <c r="L23" s="72"/>
      <c r="M23" s="73"/>
      <c r="N23" s="74">
        <v>-1</v>
      </c>
      <c r="O23" s="74">
        <v>0</v>
      </c>
      <c r="P23" s="74">
        <v>1</v>
      </c>
      <c r="Q23" s="74">
        <v>2</v>
      </c>
      <c r="R23" s="74">
        <v>3</v>
      </c>
    </row>
    <row r="24" spans="2:19" hidden="1" outlineLevel="1" x14ac:dyDescent="0.3">
      <c r="K24" s="1"/>
      <c r="L24" s="1"/>
      <c r="N24" s="1"/>
      <c r="O24" s="1"/>
      <c r="P24" s="1"/>
      <c r="Q24" s="1"/>
      <c r="R24" s="1"/>
    </row>
    <row r="25" spans="2:19" hidden="1" outlineLevel="1" x14ac:dyDescent="0.3">
      <c r="B25" s="108" t="s">
        <v>96</v>
      </c>
      <c r="C25" s="109"/>
      <c r="D25" s="110"/>
      <c r="E25"/>
      <c r="F25"/>
      <c r="G25"/>
      <c r="H25"/>
      <c r="K25" s="1"/>
      <c r="L25" s="1"/>
      <c r="N25" s="1"/>
      <c r="O25" s="1"/>
      <c r="P25" s="1"/>
      <c r="Q25" s="1"/>
      <c r="R25" s="1"/>
    </row>
    <row r="26" spans="2:19" hidden="1" outlineLevel="1" x14ac:dyDescent="0.3">
      <c r="B26" s="76" t="s">
        <v>97</v>
      </c>
      <c r="C26" s="72" t="str" cm="1">
        <f t="array" aca="1" ref="C26" ca="1">_xll.VIEW(db_name&amp;":sys_application","!","!")</f>
        <v>dcceew_geus:sys_application</v>
      </c>
      <c r="D26" s="72"/>
      <c r="E26"/>
      <c r="F26"/>
      <c r="G26"/>
      <c r="H26"/>
      <c r="K26" s="1"/>
      <c r="L26" s="1"/>
      <c r="N26" s="1"/>
      <c r="O26" s="1"/>
      <c r="P26" s="1"/>
      <c r="Q26" s="1"/>
      <c r="R26" s="1"/>
    </row>
    <row r="27" spans="2:19" hidden="1" outlineLevel="1" x14ac:dyDescent="0.3">
      <c r="B27" s="76" t="s">
        <v>98</v>
      </c>
      <c r="C27" t="s">
        <v>109</v>
      </c>
      <c r="D27" s="72"/>
      <c r="E27"/>
      <c r="F27"/>
      <c r="G27"/>
      <c r="H27"/>
    </row>
    <row r="28" spans="2:19" hidden="1" outlineLevel="1" x14ac:dyDescent="0.3">
      <c r="B28" s="72"/>
      <c r="C28" s="76" t="s">
        <v>99</v>
      </c>
      <c r="D28" s="76" t="s">
        <v>100</v>
      </c>
      <c r="E28" s="76" t="s">
        <v>101</v>
      </c>
      <c r="F28" s="76" t="s">
        <v>102</v>
      </c>
      <c r="G28" s="76" t="s">
        <v>103</v>
      </c>
      <c r="H28" s="76" t="s">
        <v>104</v>
      </c>
    </row>
    <row r="29" spans="2:19" hidden="1" outlineLevel="1" x14ac:dyDescent="0.3">
      <c r="B29" s="72" t="s">
        <v>105</v>
      </c>
      <c r="C29" s="72" t="str" cm="1">
        <f t="array" aca="1" ref="C29" ca="1">_xll.DBR($C$26,$B29,C$28)</f>
        <v>*KEY_ERR</v>
      </c>
      <c r="D29" s="72" t="str" cm="1">
        <f t="array" aca="1" ref="D29" ca="1">_xll.DBR($C$26,$B29,D$28)</f>
        <v>*KEY_ERR</v>
      </c>
      <c r="E29" s="72" t="str" cm="1">
        <f t="array" aca="1" ref="E29" ca="1">_xll.DBR($C$26,$B29,E$28)</f>
        <v>*KEY_ERR</v>
      </c>
      <c r="F29" s="72" t="str" cm="1">
        <f t="array" aca="1" ref="F29" ca="1">_xll.DBR($C$26,$B29,F$28)</f>
        <v>*KEY_ERR</v>
      </c>
      <c r="G29" s="72" t="str" cm="1">
        <f t="array" aca="1" ref="G29" ca="1">_xll.DBR($C$26,$B29,G$28)</f>
        <v>*KEY_ERR</v>
      </c>
      <c r="H29" s="72" t="str" cm="1">
        <f t="array" aca="1" ref="H29" ca="1">_xll.DBR($C$26,$B29,H$28)</f>
        <v>*KEY_ERR</v>
      </c>
    </row>
    <row r="30" spans="2:19" hidden="1" outlineLevel="1" x14ac:dyDescent="0.3">
      <c r="B30" s="72" t="s">
        <v>106</v>
      </c>
      <c r="C30" s="72" t="str" cm="1">
        <f t="array" aca="1" ref="C30" ca="1">_xll.DBR($C$26,$B30,C$28)</f>
        <v>*KEY_ERR</v>
      </c>
      <c r="D30" s="72" t="str" cm="1">
        <f t="array" aca="1" ref="D30" ca="1">_xll.DBR($C$26,$B30,D$28)</f>
        <v>*KEY_ERR</v>
      </c>
      <c r="E30" s="72" t="str" cm="1">
        <f t="array" aca="1" ref="E30" ca="1">_xll.DBR($C$26,$B30,E$28)</f>
        <v>*KEY_ERR</v>
      </c>
      <c r="F30" s="72" t="str" cm="1">
        <f t="array" aca="1" ref="F30" ca="1">_xll.DBR($C$26,$B30,F$28)</f>
        <v>*KEY_ERR</v>
      </c>
      <c r="G30" s="72" t="str" cm="1">
        <f t="array" aca="1" ref="G30" ca="1">_xll.DBR($C$26,$B30,G$28)</f>
        <v>*KEY_ERR</v>
      </c>
      <c r="H30" s="72" t="str" cm="1">
        <f t="array" aca="1" ref="H30" ca="1">_xll.DBR($C$26,$B30,H$28)</f>
        <v>*KEY_ERR</v>
      </c>
      <c r="J30" s="1"/>
      <c r="K30" s="1"/>
      <c r="L30" s="1"/>
      <c r="N30" s="1"/>
      <c r="O30" s="1"/>
      <c r="P30" s="1"/>
      <c r="Q30" s="1"/>
      <c r="R30" s="1"/>
      <c r="S30" s="4"/>
    </row>
    <row r="31" spans="2:19" hidden="1" outlineLevel="1" x14ac:dyDescent="0.3">
      <c r="B31" s="72" t="s">
        <v>107</v>
      </c>
      <c r="C31" s="72" t="str" cm="1">
        <f t="array" aca="1" ref="C31" ca="1">_xll.DBR($C$26,$B31,C$28)</f>
        <v>*KEY_ERR</v>
      </c>
      <c r="D31" s="72" t="str" cm="1">
        <f t="array" aca="1" ref="D31" ca="1">_xll.DBR($C$26,$B31,D$28)</f>
        <v>*KEY_ERR</v>
      </c>
      <c r="E31" s="72" t="str" cm="1">
        <f t="array" aca="1" ref="E31" ca="1">_xll.DBR($C$26,$B31,E$28)</f>
        <v>*KEY_ERR</v>
      </c>
      <c r="F31" s="72" t="str" cm="1">
        <f t="array" aca="1" ref="F31" ca="1">_xll.DBR($C$26,$B31,F$28)</f>
        <v>*KEY_ERR</v>
      </c>
      <c r="G31" s="72" t="str" cm="1">
        <f t="array" aca="1" ref="G31" ca="1">_xll.DBR($C$26,$B31,G$28)</f>
        <v>*KEY_ERR</v>
      </c>
      <c r="H31" s="72" t="str" cm="1">
        <f t="array" aca="1" ref="H31" ca="1">_xll.DBR($C$26,$B31,H$28)</f>
        <v>*KEY_ERR</v>
      </c>
      <c r="J31" s="1"/>
      <c r="K31" s="1"/>
      <c r="L31" s="1"/>
      <c r="N31" s="1"/>
      <c r="O31" s="1"/>
      <c r="P31" s="1"/>
      <c r="Q31" s="1"/>
      <c r="R31" s="1"/>
      <c r="S31" s="4"/>
    </row>
    <row r="32" spans="2:19" hidden="1" outlineLevel="1" x14ac:dyDescent="0.3">
      <c r="B32" s="72" t="s">
        <v>108</v>
      </c>
      <c r="C32" s="72" t="str" cm="1">
        <f t="array" aca="1" ref="C32" ca="1">_xll.DBR($C$26,$B32,C$28)</f>
        <v>*KEY_ERR</v>
      </c>
      <c r="D32" s="72" t="str" cm="1">
        <f t="array" aca="1" ref="D32" ca="1">_xll.DBR($C$26,$B32,D$28)</f>
        <v>*KEY_ERR</v>
      </c>
      <c r="E32" s="72" t="str" cm="1">
        <f t="array" aca="1" ref="E32" ca="1">_xll.DBR($C$26,$B32,E$28)</f>
        <v>*KEY_ERR</v>
      </c>
      <c r="F32" s="72" t="str" cm="1">
        <f t="array" aca="1" ref="F32" ca="1">_xll.DBR($C$26,$B32,F$28)</f>
        <v>*KEY_ERR</v>
      </c>
      <c r="G32" s="72" t="str" cm="1">
        <f t="array" aca="1" ref="G32" ca="1">_xll.DBR($C$26,$B32,G$28)</f>
        <v>*KEY_ERR</v>
      </c>
      <c r="H32" s="72" t="str" cm="1">
        <f t="array" aca="1" ref="H32" ca="1">_xll.DBR($C$26,$B32,H$28)</f>
        <v>*KEY_ERR</v>
      </c>
      <c r="J32" s="1"/>
      <c r="K32" s="1"/>
      <c r="L32" s="1"/>
      <c r="N32" s="1"/>
      <c r="O32" s="1"/>
      <c r="P32" s="1"/>
      <c r="Q32" s="1"/>
      <c r="R32" s="1"/>
      <c r="S32" s="4"/>
    </row>
    <row r="33" spans="2:19" hidden="1" outlineLevel="1" x14ac:dyDescent="0.3">
      <c r="B33" s="72" t="s">
        <v>126</v>
      </c>
      <c r="C33" s="72" t="str" cm="1">
        <f t="array" aca="1" ref="C33" ca="1">_xll.DBR($C$26,$B33,C$28)</f>
        <v>*KEY_ERR</v>
      </c>
      <c r="D33" s="72" t="str" cm="1">
        <f t="array" aca="1" ref="D33" ca="1">_xll.DBR($C$26,$B33,D$28)</f>
        <v>*KEY_ERR</v>
      </c>
      <c r="E33" s="72" t="str" cm="1">
        <f t="array" aca="1" ref="E33" ca="1">_xll.DBR($C$26,$B33,E$28)</f>
        <v>*KEY_ERR</v>
      </c>
      <c r="F33" s="72" t="str" cm="1">
        <f t="array" aca="1" ref="F33" ca="1">_xll.DBR($C$26,$B33,F$28)</f>
        <v>*KEY_ERR</v>
      </c>
      <c r="G33" s="72" t="str" cm="1">
        <f t="array" aca="1" ref="G33" ca="1">_xll.DBR($C$26,$B33,G$28)</f>
        <v>*KEY_ERR</v>
      </c>
      <c r="H33" s="72" t="str" cm="1">
        <f t="array" aca="1" ref="H33" ca="1">_xll.DBR($C$26,$B33,H$28)</f>
        <v>*KEY_ERR</v>
      </c>
      <c r="J33" s="1"/>
      <c r="K33" s="1"/>
      <c r="L33" s="1"/>
      <c r="N33" s="1"/>
      <c r="O33" s="1"/>
      <c r="P33" s="1"/>
      <c r="Q33" s="1"/>
      <c r="R33" s="1"/>
      <c r="S33" s="4"/>
    </row>
    <row r="34" spans="2:19" hidden="1" outlineLevel="1" x14ac:dyDescent="0.3">
      <c r="B34" s="72" t="s">
        <v>125</v>
      </c>
      <c r="C34" s="72" t="str" cm="1">
        <f t="array" aca="1" ref="C34" ca="1">_xll.DBR($C$26,$B34,C$28)</f>
        <v>*KEY_ERR</v>
      </c>
      <c r="D34" s="72" t="str" cm="1">
        <f t="array" aca="1" ref="D34" ca="1">_xll.DBR($C$26,$B34,D$28)</f>
        <v>*KEY_ERR</v>
      </c>
      <c r="E34" s="72" t="str" cm="1">
        <f t="array" aca="1" ref="E34" ca="1">_xll.DBR($C$26,$B34,E$28)</f>
        <v>*KEY_ERR</v>
      </c>
      <c r="F34" s="72" t="str" cm="1">
        <f t="array" aca="1" ref="F34" ca="1">_xll.DBR($C$26,$B34,F$28)</f>
        <v>*KEY_ERR</v>
      </c>
      <c r="G34" s="72" t="str" cm="1">
        <f t="array" aca="1" ref="G34" ca="1">_xll.DBR($C$26,$B34,G$28)</f>
        <v>*KEY_ERR</v>
      </c>
      <c r="H34" s="72" t="str" cm="1">
        <f t="array" aca="1" ref="H34" ca="1">_xll.DBR($C$26,$B34,H$28)</f>
        <v>*KEY_ERR</v>
      </c>
      <c r="J34" s="1"/>
      <c r="K34" s="1"/>
      <c r="L34" s="1"/>
      <c r="N34" s="1"/>
      <c r="O34" s="1"/>
      <c r="P34" s="1"/>
      <c r="Q34" s="1"/>
      <c r="R34" s="1"/>
      <c r="S34" s="4"/>
    </row>
    <row r="35" spans="2:19" hidden="1" outlineLevel="1" x14ac:dyDescent="0.3">
      <c r="B35"/>
      <c r="C35"/>
      <c r="D35"/>
      <c r="E35"/>
      <c r="F35"/>
      <c r="G35"/>
      <c r="H35"/>
      <c r="J35" s="1"/>
      <c r="K35" s="1"/>
      <c r="L35" s="1"/>
      <c r="N35" s="1"/>
      <c r="O35" s="1"/>
      <c r="P35" s="1"/>
      <c r="Q35" s="1"/>
      <c r="R35" s="1"/>
      <c r="S35" s="4"/>
    </row>
    <row r="36" spans="2:19" ht="15" hidden="1" outlineLevel="1" thickBot="1" x14ac:dyDescent="0.35"/>
    <row r="37" spans="2:19" hidden="1" outlineLevel="1" x14ac:dyDescent="0.3">
      <c r="B37" s="106" t="s">
        <v>111</v>
      </c>
      <c r="C37" s="107"/>
    </row>
    <row r="38" spans="2:19" hidden="1" outlineLevel="1" x14ac:dyDescent="0.3">
      <c r="B38" s="78" t="s">
        <v>40</v>
      </c>
      <c r="C38" s="78" t="str" cm="1">
        <f t="array" aca="1" ref="C38" ca="1">_xll.TM1RPTVIEW(db_name&amp;":AE adjustments:1", 1, _xll.TM1RPTTITLE(db_name&amp;":headline year",$C$51), _xll.TM1RPTTITLE(db_name&amp;":scenario",$C$52), _xll.TM1RPTTITLE(db_name&amp;":status",$C$53), _xll.TM1RPTTITLE(db_name&amp;":outcome",$C$54), _xll.TM1RPTTITLE(db_name&amp;":function",$C$55), _xll.TM1RPTTITLE(db_name&amp;":reason",$C$56), _xll.TM1RPTTITLE(db_name&amp;":spp",$C$57), _xll.TM1RPTTITLE(db_name&amp;":measure code",$C$58), _xll.TM1RPTTITLE(db_name&amp;":appropriation type",$C$59), _xll.TM1RPTTITLE(db_name&amp;":appropriation item",$C$61), _xll.TM1RPTTITLE(db_name&amp;":" &amp; psProgDimName,$C$62), _xll.TM1RPTTITLE(db_name&amp;":id",$C$64), _xll.TM1RPTTITLE(db_name&amp;":jurisdiction",$C$65),TM1RPTFMTRNG,TM1RPTFMTIDCOL)</f>
        <v>dcceew_geus:AE adjustments:1</v>
      </c>
    </row>
    <row r="39" spans="2:19" hidden="1" outlineLevel="1" x14ac:dyDescent="0.3">
      <c r="B39" s="78" t="s">
        <v>39</v>
      </c>
      <c r="C39" s="78" t="str">
        <f ca="1">_xll.TM1RPTVIEW(db_name&amp;":AE adjustments:ARPT1", 1, _xll.TM1RPTTITLE(db_name&amp;":headline year",$C$51), _xll.TM1RPTTITLE(db_name&amp;":scenario",$C$52), _xll.TM1RPTTITLE(db_name&amp;":status",$C$53), _xll.TM1RPTTITLE(db_name&amp;":outcome",$C$54), _xll.TM1RPTTITLE(db_name&amp;":function",$C$55), _xll.TM1RPTTITLE(db_name&amp;":reason",$C$56), _xll.TM1RPTTITLE(db_name&amp;":spp",$C$57), _xll.TM1RPTTITLE(db_name&amp;":measure code",$C$58), _xll.TM1RPTTITLE(db_name&amp;":appropriation type",$C$59), _xll.TM1RPTTITLE(db_name&amp;":appropriation item",$C$61), _xll.TM1RPTTITLE(db_name&amp;":" &amp; psProgDimName,$C$62), _xll.TM1RPTTITLE(db_name&amp;":id",$C$64), _xll.TM1RPTTITLE(db_name&amp;":jurisdiction",$C$65),TM1RPTFMTRNG,TM1RPTFMTIDCOL)</f>
        <v>dcceew_geus:AE adjustments:ARPT1</v>
      </c>
    </row>
    <row r="40" spans="2:19" hidden="1" outlineLevel="1" x14ac:dyDescent="0.3">
      <c r="B40" s="78" t="s">
        <v>59</v>
      </c>
      <c r="C40" s="78" t="str">
        <f ca="1">_xll.TM1RPTVIEW(db_name&amp;":AE adjustments:ARPT2", 1, _xll.TM1RPTTITLE(db_name&amp;":headline year",$C$51), _xll.TM1RPTTITLE(db_name&amp;":scenario",$C$52), _xll.TM1RPTTITLE(db_name&amp;":status",$C$53), _xll.TM1RPTTITLE(db_name&amp;":outcome",$C$54), _xll.TM1RPTTITLE(db_name&amp;":function",$C$55), _xll.TM1RPTTITLE(db_name&amp;":reason",$C$56), _xll.TM1RPTTITLE(db_name&amp;":spp",$C$57), _xll.TM1RPTTITLE(db_name&amp;":measure code",$C$58), _xll.TM1RPTTITLE(db_name&amp;":appropriation type",$C$59), _xll.TM1RPTTITLE(db_name&amp;":appropriation item",$C$61), _xll.TM1RPTTITLE(db_name&amp;":" &amp; psProgDimName,$C$62), _xll.TM1RPTTITLE(db_name&amp;":id",$C$64), _xll.TM1RPTTITLE(db_name&amp;":jurisdiction",$C$65),TM1RPTFMTRNG,TM1RPTFMTIDCOL)</f>
        <v>dcceew_geus:AE adjustments:ARPT2</v>
      </c>
    </row>
    <row r="41" spans="2:19" hidden="1" outlineLevel="1" x14ac:dyDescent="0.3">
      <c r="B41" s="78" t="s">
        <v>58</v>
      </c>
      <c r="C41" s="78" t="str">
        <f ca="1">_xll.TM1RPTVIEW(db_name&amp;":AE adjustments:ARPT3", 1, _xll.TM1RPTTITLE(db_name&amp;":headline year",$C$51), _xll.TM1RPTTITLE(db_name&amp;":scenario",$C$52), _xll.TM1RPTTITLE(db_name&amp;":status",$C$53), _xll.TM1RPTTITLE(db_name&amp;":outcome",$C$54), _xll.TM1RPTTITLE(db_name&amp;":function",$C$55), _xll.TM1RPTTITLE(db_name&amp;":reason",$C$56), _xll.TM1RPTTITLE(db_name&amp;":spp",$C$57), _xll.TM1RPTTITLE(db_name&amp;":measure code",$C$58), _xll.TM1RPTTITLE(db_name&amp;":appropriation type",$C$59), _xll.TM1RPTTITLE(db_name&amp;":appropriation item",$C$61), _xll.TM1RPTTITLE(db_name&amp;":" &amp; psProgDimName,$C$62), _xll.TM1RPTTITLE(db_name&amp;":id",$C$64), _xll.TM1RPTTITLE(db_name&amp;":jurisdiction",$C$65),TM1RPTFMTRNG,TM1RPTFMTIDCOL)</f>
        <v>dcceew_geus:AE adjustments:ARPT3</v>
      </c>
    </row>
    <row r="42" spans="2:19" hidden="1" outlineLevel="1" x14ac:dyDescent="0.3">
      <c r="B42" s="78" t="s">
        <v>62</v>
      </c>
      <c r="C42" s="78" t="str" cm="1">
        <f t="array" aca="1" ref="C42" ca="1">_xll.TM1RPTVIEW(db_name&amp;":AE adjustments:ARPT4", 1, _xll.TM1RPTTITLE(db_name&amp;":headline year",$C$51), _xll.TM1RPTTITLE(db_name&amp;":scenario",$C$52), _xll.TM1RPTTITLE(db_name&amp;":status",$C$53), _xll.TM1RPTTITLE(db_name&amp;":outcome",$C$54), _xll.TM1RPTTITLE(db_name&amp;":function",$C$55), _xll.TM1RPTTITLE(db_name&amp;":reason",$C$56), _xll.TM1RPTTITLE(db_name&amp;":spp",$C$57), _xll.TM1RPTTITLE(db_name&amp;":measure code",$C$58), _xll.TM1RPTTITLE(db_name&amp;":appropriation type",$C$59), _xll.TM1RPTTITLE(db_name&amp;":appropriation item",$C$61), _xll.TM1RPTTITLE(db_name&amp;":" &amp; psProgDimName,$C$62), _xll.TM1RPTTITLE(db_name&amp;":id",$C$64), _xll.TM1RPTTITLE(db_name&amp;":jurisdiction",$C$65),TM1RPTFMTRNG,TM1RPTFMTIDCOL)</f>
        <v>dcceew_geus:AE adjustments:ARPT4</v>
      </c>
    </row>
    <row r="43" spans="2:19" hidden="1" outlineLevel="1" x14ac:dyDescent="0.3">
      <c r="B43" s="78" t="s">
        <v>67</v>
      </c>
      <c r="C43" s="78" t="str" cm="1">
        <f t="array" aca="1" ref="C43" ca="1">_xll.TM1RPTVIEW(db_name&amp;":AE adjustments:ARPT5", 1, _xll.TM1RPTTITLE(db_name&amp;":headline year",$C$51), _xll.TM1RPTTITLE(db_name&amp;":scenario",$C$52), _xll.TM1RPTTITLE(db_name&amp;":status",$C$53), _xll.TM1RPTTITLE(db_name&amp;":outcome",$C$54), _xll.TM1RPTTITLE(db_name&amp;":function",$C$55), _xll.TM1RPTTITLE(db_name&amp;":reason",$C$56), _xll.TM1RPTTITLE(db_name&amp;":spp",$C$57), _xll.TM1RPTTITLE(db_name&amp;":measure code",$C$58), _xll.TM1RPTTITLE(db_name&amp;":appropriation type",$C$59), _xll.TM1RPTTITLE(db_name&amp;":appropriation item",$C$61), _xll.TM1RPTTITLE(db_name&amp;":" &amp; psProgDimName,$C$62), _xll.TM1RPTTITLE(db_name&amp;":id",$C$64), _xll.TM1RPTTITLE(db_name&amp;":jurisdiction",$C$65),TM1RPTFMTRNG,TM1RPTFMTIDCOL)</f>
        <v>dcceew_geus:AE adjustments:ARPT5</v>
      </c>
    </row>
    <row r="44" spans="2:19" hidden="1" outlineLevel="1" x14ac:dyDescent="0.3">
      <c r="B44" s="78" t="s">
        <v>71</v>
      </c>
      <c r="C44" s="78" t="str">
        <f ca="1">_xll.TM1RPTVIEW(db_name&amp;":AE adjustments:ARPT6", 1, _xll.TM1RPTTITLE(db_name&amp;":headline year",$C$51), _xll.TM1RPTTITLE(db_name&amp;":scenario",$C$52), _xll.TM1RPTTITLE(db_name&amp;":status",$C$53), _xll.TM1RPTTITLE(db_name&amp;":outcome",$C$54), _xll.TM1RPTTITLE(db_name&amp;":function",$C$55), _xll.TM1RPTTITLE(db_name&amp;":reason",$C$56), _xll.TM1RPTTITLE(db_name&amp;":spp",$C$57), _xll.TM1RPTTITLE(db_name&amp;":measure code",$C$58), _xll.TM1RPTTITLE(db_name&amp;":appropriation type",$C$59), _xll.TM1RPTTITLE(db_name&amp;":appropriation item",$C$61), _xll.TM1RPTTITLE(db_name&amp;":" &amp; psProgDimName,$C$62), _xll.TM1RPTTITLE(db_name&amp;":id",$C$64), _xll.TM1RPTTITLE(db_name&amp;":jurisdiction",$C$65),TM1RPTFMTRNG,TM1RPTFMTIDCOL)</f>
        <v>dcceew_geus:AE adjustments:ARPT6</v>
      </c>
    </row>
    <row r="45" spans="2:19" hidden="1" outlineLevel="1" x14ac:dyDescent="0.3"/>
    <row r="46" spans="2:19" hidden="1" outlineLevel="1" x14ac:dyDescent="0.3">
      <c r="B46" s="79" t="s">
        <v>30</v>
      </c>
      <c r="C46" s="78" t="str" cm="1">
        <f t="array" aca="1" ref="C46" ca="1">_xll.VIEW(db_name&amp;":}ElementAttributes_account","!","!")</f>
        <v>dcceew_geus:}ElementAttributes_account</v>
      </c>
    </row>
    <row r="47" spans="2:19" hidden="1" outlineLevel="1" x14ac:dyDescent="0.3">
      <c r="B47" s="79" t="s">
        <v>34</v>
      </c>
      <c r="C47" s="78" t="str" cm="1">
        <f t="array" aca="1" ref="C47" ca="1">_xll.VIEW(db_name&amp;":}ElementAttributes_movement account","!","!")</f>
        <v>dcceew_geus:}ElementAttributes_movement account</v>
      </c>
    </row>
    <row r="48" spans="2:19" hidden="1" outlineLevel="1" x14ac:dyDescent="0.3">
      <c r="B48" s="78" t="s">
        <v>35</v>
      </c>
      <c r="C48" s="78" t="str" cm="1">
        <f t="array" aca="1" ref="C48" ca="1">_xll.VIEW(db_name&amp;":AE adjustments",$C$51,$C$52,$C$53,$C$54,"!",$C$55,$C$56,$C$57,$C$58,$C$59,"!",$C$61,$C$62,"!",$C$64,$C$65,"!")</f>
        <v>dcceew_geus:AE adjustments</v>
      </c>
    </row>
    <row r="49" spans="2:3" ht="15" hidden="1" outlineLevel="1" thickBot="1" x14ac:dyDescent="0.35"/>
    <row r="50" spans="2:3" hidden="1" outlineLevel="1" x14ac:dyDescent="0.3">
      <c r="B50" s="106" t="s">
        <v>110</v>
      </c>
      <c r="C50" s="107"/>
    </row>
    <row r="51" spans="2:3" hidden="1" outlineLevel="1" x14ac:dyDescent="0.3">
      <c r="B51" s="80" t="s">
        <v>0</v>
      </c>
      <c r="C51" s="78" t="str">
        <f ca="1">_xll.SUBNM(db_name&amp;":headline year","",$K$93)</f>
        <v/>
      </c>
    </row>
    <row r="52" spans="2:3" hidden="1" outlineLevel="1" x14ac:dyDescent="0.3">
      <c r="B52" s="80" t="s">
        <v>1</v>
      </c>
      <c r="C52" s="78" t="str">
        <f ca="1">_xll.SUBNM(db_name&amp;":scenario","",$K$94)</f>
        <v/>
      </c>
    </row>
    <row r="53" spans="2:3" hidden="1" outlineLevel="1" x14ac:dyDescent="0.3">
      <c r="B53" s="80" t="s">
        <v>2</v>
      </c>
      <c r="C53" s="78" t="str">
        <f ca="1">_xll.SUBNM(db_name&amp;":status","","Total approved")</f>
        <v/>
      </c>
    </row>
    <row r="54" spans="2:3" hidden="1" outlineLevel="1" x14ac:dyDescent="0.3">
      <c r="B54" s="80" t="s">
        <v>3</v>
      </c>
      <c r="C54" s="78" t="str">
        <f ca="1">_xll.SUBNM(db_name&amp;":outcome","","Total outcomes")</f>
        <v/>
      </c>
    </row>
    <row r="55" spans="2:3" hidden="1" outlineLevel="1" x14ac:dyDescent="0.3">
      <c r="B55" s="80" t="s">
        <v>4</v>
      </c>
      <c r="C55" s="78" t="str">
        <f ca="1">_xll.SUBNM(db_name&amp;":function","","Total functions")</f>
        <v/>
      </c>
    </row>
    <row r="56" spans="2:3" hidden="1" outlineLevel="1" x14ac:dyDescent="0.3">
      <c r="B56" s="80" t="s">
        <v>5</v>
      </c>
      <c r="C56" s="78" t="str">
        <f ca="1">_xll.SUBNM(db_name&amp;":reason","","Total reason")</f>
        <v/>
      </c>
    </row>
    <row r="57" spans="2:3" hidden="1" outlineLevel="1" x14ac:dyDescent="0.3">
      <c r="B57" s="80" t="s">
        <v>6</v>
      </c>
      <c r="C57" s="78" t="str">
        <f ca="1">_xll.SUBNM(db_name&amp;":spp","","Total SPP")</f>
        <v/>
      </c>
    </row>
    <row r="58" spans="2:3" hidden="1" outlineLevel="1" x14ac:dyDescent="0.3">
      <c r="B58" s="80" t="s">
        <v>7</v>
      </c>
      <c r="C58" s="78" t="str">
        <f ca="1">_xll.SUBNM(db_name&amp;":measure code","","Total Measures","CBMS")</f>
        <v/>
      </c>
    </row>
    <row r="59" spans="2:3" hidden="1" outlineLevel="1" x14ac:dyDescent="0.3">
      <c r="B59" s="80" t="s">
        <v>8</v>
      </c>
      <c r="C59" s="78" t="str">
        <f ca="1">_xll.SUBNM(db_name&amp;":appropriation type","","Total approp types")</f>
        <v/>
      </c>
    </row>
    <row r="60" spans="2:3" hidden="1" outlineLevel="1" x14ac:dyDescent="0.3">
      <c r="B60" s="81" t="s">
        <v>19</v>
      </c>
      <c r="C60" s="82"/>
    </row>
    <row r="61" spans="2:3" hidden="1" outlineLevel="1" x14ac:dyDescent="0.3">
      <c r="B61" s="80" t="s">
        <v>9</v>
      </c>
      <c r="C61" s="78" t="str">
        <f ca="1">_xll.SUBNM(db_name&amp;":appropriation item","","Total approp item")</f>
        <v/>
      </c>
    </row>
    <row r="62" spans="2:3" hidden="1" outlineLevel="1" x14ac:dyDescent="0.3">
      <c r="B62" s="80" t="s">
        <v>10</v>
      </c>
      <c r="C62" s="78" t="str">
        <f ca="1">_xll.SUBNM(db_name&amp;":programme","",$K$96,"code and description")</f>
        <v/>
      </c>
    </row>
    <row r="63" spans="2:3" hidden="1" outlineLevel="1" x14ac:dyDescent="0.3">
      <c r="B63" s="81" t="s">
        <v>21</v>
      </c>
      <c r="C63" s="82"/>
    </row>
    <row r="64" spans="2:3" hidden="1" outlineLevel="1" x14ac:dyDescent="0.3">
      <c r="B64" s="80" t="s">
        <v>11</v>
      </c>
      <c r="C64" s="78" t="str">
        <f ca="1">_xll.SUBNM(db_name&amp;":id","","Total IDs")</f>
        <v/>
      </c>
    </row>
    <row r="65" spans="2:3" hidden="1" outlineLevel="1" x14ac:dyDescent="0.3">
      <c r="B65" s="80" t="s">
        <v>12</v>
      </c>
      <c r="C65" s="78" t="str">
        <f ca="1">_xll.SUBNM(db_name&amp;":jurisdiction","","Total jurisdictions")</f>
        <v/>
      </c>
    </row>
    <row r="66" spans="2:3" hidden="1" outlineLevel="1" x14ac:dyDescent="0.3">
      <c r="B66" s="81" t="s">
        <v>22</v>
      </c>
      <c r="C66" s="82"/>
    </row>
    <row r="67" spans="2:3" hidden="1" outlineLevel="1" x14ac:dyDescent="0.3"/>
    <row r="68" spans="2:3" hidden="1" outlineLevel="1" x14ac:dyDescent="0.3">
      <c r="B68" s="78" t="s">
        <v>32</v>
      </c>
      <c r="C68" s="78" t="s">
        <v>31</v>
      </c>
    </row>
    <row r="69" spans="2:3" hidden="1" outlineLevel="1" x14ac:dyDescent="0.3">
      <c r="B69" s="78" t="s">
        <v>47</v>
      </c>
      <c r="C69" s="78" t="s">
        <v>33</v>
      </c>
    </row>
    <row r="70" spans="2:3" hidden="1" outlineLevel="1" x14ac:dyDescent="0.3">
      <c r="B70" s="78" t="s">
        <v>48</v>
      </c>
      <c r="C70" s="78" t="s">
        <v>49</v>
      </c>
    </row>
    <row r="71" spans="2:3" hidden="1" outlineLevel="1" x14ac:dyDescent="0.3">
      <c r="B71" s="78" t="s">
        <v>60</v>
      </c>
      <c r="C71" s="78" t="s">
        <v>61</v>
      </c>
    </row>
    <row r="72" spans="2:3" hidden="1" outlineLevel="1" x14ac:dyDescent="0.3">
      <c r="B72" s="78" t="s">
        <v>72</v>
      </c>
      <c r="C72" s="78" t="s">
        <v>73</v>
      </c>
    </row>
    <row r="73" spans="2:3" hidden="1" outlineLevel="1" x14ac:dyDescent="0.3">
      <c r="B73" s="78" t="s">
        <v>23</v>
      </c>
      <c r="C73" s="78" t="s">
        <v>25</v>
      </c>
    </row>
    <row r="74" spans="2:3" hidden="1" outlineLevel="1" x14ac:dyDescent="0.3">
      <c r="B74" s="78" t="s">
        <v>24</v>
      </c>
      <c r="C74" s="78" t="s">
        <v>26</v>
      </c>
    </row>
    <row r="75" spans="2:3" hidden="1" outlineLevel="1" x14ac:dyDescent="0.3">
      <c r="B75" s="78"/>
      <c r="C75" s="78"/>
    </row>
    <row r="76" spans="2:3" hidden="1" outlineLevel="1" x14ac:dyDescent="0.3">
      <c r="B76" s="78" t="s">
        <v>51</v>
      </c>
      <c r="C76" s="78" t="s">
        <v>52</v>
      </c>
    </row>
    <row r="77" spans="2:3" hidden="1" outlineLevel="1" x14ac:dyDescent="0.3">
      <c r="B77" s="78" t="s">
        <v>54</v>
      </c>
      <c r="C77" s="78" t="s">
        <v>56</v>
      </c>
    </row>
    <row r="78" spans="2:3" hidden="1" outlineLevel="1" x14ac:dyDescent="0.3">
      <c r="B78" s="78"/>
      <c r="C78" s="78"/>
    </row>
    <row r="79" spans="2:3" hidden="1" outlineLevel="1" x14ac:dyDescent="0.3">
      <c r="B79" s="78" t="s">
        <v>64</v>
      </c>
      <c r="C79" s="78" t="s">
        <v>65</v>
      </c>
    </row>
    <row r="80" spans="2:3" hidden="1" outlineLevel="1" x14ac:dyDescent="0.3">
      <c r="B80" s="78" t="s">
        <v>66</v>
      </c>
      <c r="C80" s="78" t="s">
        <v>68</v>
      </c>
    </row>
    <row r="81" spans="9:18" hidden="1" outlineLevel="1" x14ac:dyDescent="0.3"/>
    <row r="82" spans="9:18" hidden="1" outlineLevel="1" x14ac:dyDescent="0.3"/>
    <row r="83" spans="9:18" hidden="1" outlineLevel="1" x14ac:dyDescent="0.3"/>
    <row r="84" spans="9:18" hidden="1" outlineLevel="1" x14ac:dyDescent="0.3"/>
    <row r="85" spans="9:18" hidden="1" outlineLevel="1" x14ac:dyDescent="0.3">
      <c r="J85" s="29" t="s">
        <v>20</v>
      </c>
      <c r="K85" s="29" t="s">
        <v>27</v>
      </c>
      <c r="L85" s="30" t="s">
        <v>29</v>
      </c>
      <c r="M85" s="30" t="s">
        <v>28</v>
      </c>
      <c r="N85" s="31" t="str">
        <f ca="1">+N22</f>
        <v/>
      </c>
      <c r="O85" s="31" t="str">
        <f ca="1">+O22</f>
        <v/>
      </c>
      <c r="P85" s="31" t="str">
        <f ca="1">+P22</f>
        <v/>
      </c>
      <c r="Q85" s="31" t="str">
        <f ca="1">+Q22</f>
        <v/>
      </c>
      <c r="R85" s="31" t="str">
        <f ca="1">+R22</f>
        <v/>
      </c>
    </row>
    <row r="86" spans="9:18" hidden="1" outlineLevel="1" x14ac:dyDescent="0.3">
      <c r="J86" s="32"/>
      <c r="K86" s="32"/>
      <c r="L86" s="33"/>
      <c r="M86" s="33"/>
      <c r="N86" s="34"/>
      <c r="O86" s="34"/>
      <c r="P86" s="34"/>
      <c r="Q86" s="34"/>
      <c r="R86" s="34"/>
    </row>
    <row r="87" spans="9:18" ht="39.9" customHeight="1" collapsed="1" x14ac:dyDescent="0.3">
      <c r="I87" s="83"/>
      <c r="J87" s="84"/>
      <c r="K87" s="84"/>
      <c r="L87" s="84"/>
      <c r="M87" s="84"/>
      <c r="N87" s="84"/>
      <c r="O87" s="84"/>
      <c r="P87" s="84"/>
      <c r="Q87" s="84"/>
      <c r="R87" s="84" t="s">
        <v>112</v>
      </c>
    </row>
    <row r="88" spans="9:18" ht="4.5" customHeight="1" x14ac:dyDescent="0.3">
      <c r="J88" s="32"/>
      <c r="K88" s="32"/>
      <c r="L88" s="33"/>
      <c r="M88" s="33"/>
      <c r="N88" s="34"/>
      <c r="O88" s="34"/>
      <c r="P88" s="34"/>
      <c r="Q88" s="34"/>
      <c r="R88" s="34"/>
    </row>
    <row r="89" spans="9:18" ht="24" customHeight="1" x14ac:dyDescent="0.3">
      <c r="J89" s="75"/>
      <c r="K89" s="32"/>
      <c r="L89" s="33"/>
      <c r="M89" s="33"/>
      <c r="N89" s="34"/>
      <c r="O89" s="34"/>
      <c r="P89" s="34"/>
      <c r="Q89"/>
      <c r="R89" s="34"/>
    </row>
    <row r="90" spans="9:18" ht="1.5" customHeight="1" x14ac:dyDescent="0.3">
      <c r="I90" s="83"/>
      <c r="J90" s="83"/>
      <c r="K90" s="83"/>
      <c r="L90" s="83"/>
      <c r="M90" s="83"/>
      <c r="N90" s="83"/>
      <c r="O90" s="83"/>
      <c r="P90" s="83"/>
      <c r="Q90" s="83"/>
      <c r="R90" s="83"/>
    </row>
    <row r="91" spans="9:18" ht="4.5" customHeight="1" x14ac:dyDescent="0.3">
      <c r="J91" s="32"/>
      <c r="K91" s="32"/>
      <c r="L91" s="33"/>
      <c r="M91" s="33"/>
      <c r="N91" s="34"/>
      <c r="O91" s="34"/>
      <c r="P91" s="34"/>
      <c r="Q91" s="34"/>
      <c r="R91" s="34"/>
    </row>
    <row r="92" spans="9:18" x14ac:dyDescent="0.3">
      <c r="J92" s="90" t="s">
        <v>76</v>
      </c>
      <c r="K92" s="100" t="s">
        <v>113</v>
      </c>
      <c r="L92" s="101"/>
      <c r="M92" s="91"/>
      <c r="N92" s="1"/>
      <c r="O92" s="1"/>
      <c r="P92" s="91"/>
      <c r="Q92" s="91"/>
      <c r="R92" s="91"/>
    </row>
    <row r="93" spans="9:18" x14ac:dyDescent="0.3">
      <c r="J93" s="93" t="s">
        <v>114</v>
      </c>
      <c r="K93" s="99" t="str" cm="1">
        <f t="array" aca="1" ref="K93" ca="1">_xll.SUBNM(db_name&amp;":headline year","",$C$21)</f>
        <v/>
      </c>
      <c r="L93" s="99"/>
      <c r="N93" s="1"/>
      <c r="O93" s="1"/>
      <c r="P93" s="92"/>
      <c r="Q93" s="92"/>
      <c r="R93" s="92"/>
    </row>
    <row r="94" spans="9:18" x14ac:dyDescent="0.3">
      <c r="J94" s="93" t="s">
        <v>115</v>
      </c>
      <c r="K94" s="99" t="str" cm="1">
        <f t="array" aca="1" ref="K94" ca="1">_xll.SUBNM(db_name&amp;":scenario","sys_BudgetRound",$C$22)</f>
        <v/>
      </c>
      <c r="L94" s="99"/>
      <c r="N94" s="1"/>
      <c r="O94" s="1"/>
      <c r="P94" s="92"/>
      <c r="Q94" s="92"/>
      <c r="R94" s="92"/>
    </row>
    <row r="95" spans="9:18" x14ac:dyDescent="0.3">
      <c r="J95" s="93" t="s">
        <v>117</v>
      </c>
      <c r="K95" s="99" t="str" cm="1">
        <f t="array" aca="1" ref="K95" ca="1">_xll.SUBNM(db_name&amp;":status","","Total approved")</f>
        <v/>
      </c>
      <c r="L95" s="99"/>
      <c r="N95" s="1"/>
      <c r="O95" s="1"/>
      <c r="P95" s="95" t="s">
        <v>121</v>
      </c>
      <c r="Q95" s="103">
        <f ca="1">NOW()</f>
        <v>44972.398193402776</v>
      </c>
      <c r="R95" s="103"/>
    </row>
    <row r="96" spans="9:18" x14ac:dyDescent="0.3">
      <c r="J96" s="93" t="s">
        <v>116</v>
      </c>
      <c r="K96" s="99" t="str" cm="1">
        <f t="array" aca="1" ref="K96" ca="1">_xll.SUBNM(db_name&amp;":"&amp; psProgDimName,"","Departmental Programmes","code and description")</f>
        <v/>
      </c>
      <c r="L96" s="99"/>
      <c r="M96" s="89"/>
      <c r="N96" s="102" t="s">
        <v>127</v>
      </c>
      <c r="O96" s="102"/>
      <c r="P96" s="102"/>
      <c r="Q96" s="102"/>
      <c r="R96" s="102"/>
    </row>
    <row r="97" spans="1:18" ht="3" customHeight="1" x14ac:dyDescent="0.3">
      <c r="J97" s="32"/>
      <c r="K97" s="32"/>
      <c r="L97" s="33"/>
      <c r="M97" s="33"/>
      <c r="N97" s="34"/>
      <c r="O97" s="34"/>
      <c r="P97" s="34"/>
      <c r="Q97" s="34"/>
      <c r="R97" s="34"/>
    </row>
    <row r="98" spans="1:18" x14ac:dyDescent="0.3">
      <c r="J98" s="85"/>
      <c r="K98" s="85"/>
      <c r="L98" s="86"/>
      <c r="M98" s="86"/>
      <c r="N98" s="87" t="s">
        <v>77</v>
      </c>
      <c r="O98" s="87" t="s">
        <v>78</v>
      </c>
      <c r="P98" s="87" t="s">
        <v>79</v>
      </c>
      <c r="Q98" s="87" t="s">
        <v>80</v>
      </c>
      <c r="R98" s="87" t="s">
        <v>81</v>
      </c>
    </row>
    <row r="99" spans="1:18" x14ac:dyDescent="0.3">
      <c r="J99" s="88"/>
      <c r="K99" s="85"/>
      <c r="L99" s="86"/>
      <c r="M99" s="86"/>
      <c r="N99" s="87" t="s">
        <v>82</v>
      </c>
      <c r="O99" s="87" t="s">
        <v>82</v>
      </c>
      <c r="P99" s="87" t="s">
        <v>82</v>
      </c>
      <c r="Q99" s="87" t="s">
        <v>82</v>
      </c>
      <c r="R99" s="87" t="s">
        <v>82</v>
      </c>
    </row>
    <row r="100" spans="1:18" s="35" customFormat="1" x14ac:dyDescent="0.3">
      <c r="J100" s="97" t="s">
        <v>122</v>
      </c>
      <c r="K100" s="98" t="s">
        <v>123</v>
      </c>
      <c r="L100" s="87" t="str">
        <f t="shared" ref="L100" ca="1" si="0">L85</f>
        <v>DR/CR</v>
      </c>
      <c r="M100" s="87" t="s">
        <v>124</v>
      </c>
      <c r="N100" s="94" t="str">
        <f ca="1">N$85</f>
        <v/>
      </c>
      <c r="O100" s="94" t="str">
        <f ca="1">O$85</f>
        <v/>
      </c>
      <c r="P100" s="94" t="str">
        <f ca="1">P$85</f>
        <v/>
      </c>
      <c r="Q100" s="94" t="str">
        <f ca="1">Q$85</f>
        <v/>
      </c>
      <c r="R100" s="94" t="str">
        <f ca="1">R$85</f>
        <v/>
      </c>
    </row>
    <row r="101" spans="1:18" s="35" customFormat="1" ht="3" customHeight="1" x14ac:dyDescent="0.3">
      <c r="B101" s="36" t="s">
        <v>38</v>
      </c>
      <c r="J101" s="37"/>
      <c r="K101" s="37"/>
      <c r="L101" s="38"/>
      <c r="M101" s="38"/>
      <c r="N101" s="39"/>
      <c r="O101" s="39"/>
      <c r="P101" s="39"/>
      <c r="Q101" s="39"/>
      <c r="R101" s="39"/>
    </row>
    <row r="102" spans="1:18" s="35" customFormat="1" x14ac:dyDescent="0.3">
      <c r="B102" s="35" t="s">
        <v>20</v>
      </c>
      <c r="C102" s="35" t="s">
        <v>42</v>
      </c>
      <c r="D102" s="40" t="s">
        <v>41</v>
      </c>
      <c r="E102" s="40" t="s">
        <v>118</v>
      </c>
      <c r="F102" s="40" t="s">
        <v>119</v>
      </c>
      <c r="G102" s="40" t="s">
        <v>120</v>
      </c>
      <c r="H102" s="40"/>
      <c r="J102" s="41" t="s">
        <v>44</v>
      </c>
      <c r="K102" s="41"/>
      <c r="L102" s="42"/>
      <c r="M102" s="42"/>
      <c r="N102" s="43"/>
      <c r="O102" s="42"/>
      <c r="P102" s="42"/>
      <c r="Q102" s="42"/>
      <c r="R102" s="44"/>
    </row>
    <row r="103" spans="1:18" x14ac:dyDescent="0.3">
      <c r="A103" s="1" t="str" cm="1">
        <f t="array" aca="1" ref="A103" ca="1">IF(_xll.TM1RPTELISCONSOLIDATED($D$103,$D103),IF(_xll.TM1RPTELLEV($D$103,$D103)&lt;=3,_xll.TM1RPTELLEV($D$103,$D103),"D"),"N")</f>
        <v>N</v>
      </c>
      <c r="B103" s="45" t="str" cm="1">
        <f t="array" aca="1" ref="B103" ca="1">_xll.TM1RPTROW($C$38,db_name&amp;":account","","","code and description",1,C68,1)</f>
        <v/>
      </c>
      <c r="C103" s="46" t="str" cm="1">
        <f t="array" aca="1" ref="C103" ca="1">_xll.TM1RPTROW($C$38,db_name&amp;":movement account","","","code and description",,C73)</f>
        <v/>
      </c>
      <c r="D103" s="46" t="str" cm="1">
        <f t="array" aca="1" ref="D103" ca="1">_xll.TM1RPTROW($C$38,db_name&amp;":related entity","","","code and description",,C74)</f>
        <v/>
      </c>
      <c r="E103" s="1" t="str" cm="1">
        <f t="array" aca="1" ref="E103" ca="1">_xll.DBR($C$46,$B103,L$85)</f>
        <v>*KEY_ERR</v>
      </c>
      <c r="F103" s="1" t="str" cm="1">
        <f t="array" aca="1" ref="F103" ca="1">_xll.DBR($C$47,$K103,L$85)</f>
        <v>*KEY_ERR</v>
      </c>
      <c r="G103" s="1" t="str">
        <f ca="1">IF(OR($C103="-",$C103="No_Mvt"),$E103,$F103)</f>
        <v>*KEY_ERR</v>
      </c>
      <c r="J103" s="22" t="str">
        <f ca="1">+B103</f>
        <v/>
      </c>
      <c r="K103" s="22" t="str">
        <f ca="1">+C103</f>
        <v/>
      </c>
      <c r="L103" s="23" t="str">
        <f ca="1">$G103</f>
        <v>*KEY_ERR</v>
      </c>
      <c r="M103" s="24" t="str">
        <f ca="1">+D103</f>
        <v/>
      </c>
      <c r="N103" s="25" t="str" cm="1">
        <f t="array" aca="1" ref="N103" ca="1">_xll.DBRW($C$38,$C$51,$C$52,$C$53,$C$54,$D103,$C$55,$C$56,$C$57,$C$58,$C$59,$C103,$C$61,$C$62,$B103,$C$64,$C$65,N$85)</f>
        <v/>
      </c>
      <c r="O103" s="26" t="str" cm="1">
        <f t="array" aca="1" ref="O103" ca="1">_xll.DBRW($C$38,$C$51,$C$52,$C$53,$C$54,$D103,$C$55,$C$56,$C$57,$C$58,$C$59,$C103,$C$61,$C$62,$B103,$C$64,$C$65,O$85)</f>
        <v/>
      </c>
      <c r="P103" s="26" t="str" cm="1">
        <f t="array" aca="1" ref="P103" ca="1">_xll.DBRW($C$38,$C$51,$C$52,$C$53,$C$54,$D103,$C$55,$C$56,$C$57,$C$58,$C$59,$C103,$C$61,$C$62,$B103,$C$64,$C$65,P$85)</f>
        <v/>
      </c>
      <c r="Q103" s="26" t="str" cm="1">
        <f t="array" aca="1" ref="Q103" ca="1">_xll.DBRW($C$38,$C$51,$C$52,$C$53,$C$54,$D103,$C$55,$C$56,$C$57,$C$58,$C$59,$C103,$C$61,$C$62,$B103,$C$64,$C$65,Q$85)</f>
        <v/>
      </c>
      <c r="R103" s="27" t="str" cm="1">
        <f t="array" aca="1" ref="R103" ca="1">_xll.DBRW($C$38,$C$51,$C$52,$C$53,$C$54,$D103,$C$55,$C$56,$C$57,$C$58,$C$59,$C103,$C$61,$C$62,$B103,$C$64,$C$65,R$85)</f>
        <v/>
      </c>
    </row>
    <row r="104" spans="1:18" ht="3" customHeight="1" x14ac:dyDescent="0.3">
      <c r="B104" s="47"/>
      <c r="C104" s="48"/>
      <c r="D104" s="46"/>
      <c r="E104" s="46"/>
      <c r="F104" s="46"/>
      <c r="G104" s="46"/>
      <c r="H104" s="46"/>
      <c r="I104" s="46"/>
      <c r="N104" s="49"/>
      <c r="O104" s="50"/>
      <c r="P104" s="50"/>
      <c r="Q104" s="50"/>
      <c r="R104" s="51"/>
    </row>
    <row r="105" spans="1:18" x14ac:dyDescent="0.3">
      <c r="B105" s="28" t="s">
        <v>17</v>
      </c>
      <c r="C105" s="52" t="s">
        <v>36</v>
      </c>
      <c r="D105" s="52" t="s">
        <v>37</v>
      </c>
      <c r="E105" s="52"/>
      <c r="F105" s="52"/>
      <c r="G105" s="52"/>
      <c r="H105" s="52"/>
      <c r="I105" s="52"/>
      <c r="J105" s="53" t="s">
        <v>45</v>
      </c>
      <c r="K105" s="55"/>
      <c r="L105" s="54"/>
      <c r="M105" s="56"/>
      <c r="N105" s="57" t="str" cm="1">
        <f t="array" aca="1" ref="N105" ca="1">_xll.DBRW($C$48,$C$51,$C$52,$C$53,$C$54,$D105,$C$55,$C$56,$C$57,$C$58,$C$59,$C105,$C$61,$C$62,$B105,$C$64,$C$65,N$85)</f>
        <v/>
      </c>
      <c r="O105" s="58" t="str" cm="1">
        <f t="array" aca="1" ref="O105" ca="1">_xll.DBRW($C$48,$C$51,$C$52,$C$53,$C$54,$D105,$C$55,$C$56,$C$57,$C$58,$C$59,$C105,$C$61,$C$62,$B105,$C$64,$C$65,O$85)</f>
        <v/>
      </c>
      <c r="P105" s="58" t="str" cm="1">
        <f t="array" aca="1" ref="P105" ca="1">_xll.DBRW($C$48,$C$51,$C$52,$C$53,$C$54,$D105,$C$55,$C$56,$C$57,$C$58,$C$59,$C105,$C$61,$C$62,$B105,$C$64,$C$65,P$85)</f>
        <v/>
      </c>
      <c r="Q105" s="58" t="str" cm="1">
        <f t="array" aca="1" ref="Q105" ca="1">_xll.DBRW($C$48,$C$51,$C$52,$C$53,$C$54,$D105,$C$55,$C$56,$C$57,$C$58,$C$59,$C105,$C$61,$C$62,$B105,$C$64,$C$65,Q$85)</f>
        <v/>
      </c>
      <c r="R105" s="59" t="str" cm="1">
        <f t="array" aca="1" ref="R105" ca="1">_xll.DBRW($C$48,$C$51,$C$52,$C$53,$C$54,$D105,$C$55,$C$56,$C$57,$C$58,$C$59,$C105,$C$61,$C$62,$B105,$C$64,$C$65,R$85)</f>
        <v/>
      </c>
    </row>
    <row r="106" spans="1:18" ht="3" customHeight="1" x14ac:dyDescent="0.3">
      <c r="N106" s="60"/>
      <c r="O106" s="61"/>
      <c r="P106" s="61"/>
      <c r="Q106" s="61"/>
      <c r="R106" s="62"/>
    </row>
    <row r="107" spans="1:18" x14ac:dyDescent="0.3">
      <c r="J107" s="41" t="s">
        <v>43</v>
      </c>
      <c r="K107" s="41"/>
      <c r="L107" s="23"/>
      <c r="M107" s="42"/>
      <c r="N107" s="43"/>
      <c r="O107" s="42"/>
      <c r="P107" s="42"/>
      <c r="Q107" s="42"/>
      <c r="R107" s="44"/>
    </row>
    <row r="108" spans="1:18" x14ac:dyDescent="0.3">
      <c r="A108" s="1" t="str" cm="1">
        <f t="array" aca="1" ref="A108" ca="1">IF(_xll.TM1RPTELISCONSOLIDATED($D$108,$D108),IF(_xll.TM1RPTELLEV($D$108,$D108)&lt;=3,_xll.TM1RPTELLEV($D$108,$D108),"D"),"N")</f>
        <v>N</v>
      </c>
      <c r="B108" s="45" t="str" cm="1">
        <f t="array" aca="1" ref="B108" ca="1">_xll.TM1RPTROW($C$39,db_name&amp;":account","",,"code and description",,C69)</f>
        <v/>
      </c>
      <c r="C108" s="46" t="str" cm="1">
        <f t="array" aca="1" ref="C108" ca="1">_xll.TM1RPTROW($C$39,db_name&amp;":movement account","",,"code and description",,C73)</f>
        <v/>
      </c>
      <c r="D108" s="46" t="str" cm="1">
        <f t="array" aca="1" ref="D108" ca="1">_xll.TM1RPTROW($C$39,db_name&amp;":related entity","","","code and description",0,C74)</f>
        <v/>
      </c>
      <c r="E108" s="1" t="str" cm="1">
        <f t="array" aca="1" ref="E108" ca="1">_xll.DBR($C$46,$B108,L$85)</f>
        <v>*KEY_ERR</v>
      </c>
      <c r="F108" s="1" t="str" cm="1">
        <f t="array" aca="1" ref="F108" ca="1">_xll.DBR($C$47,$K108,L$85)</f>
        <v>*KEY_ERR</v>
      </c>
      <c r="G108" s="1" t="str">
        <f ca="1">IF(OR($C108="-",$C108="No_Mvt"),$E108,$F108)</f>
        <v>*KEY_ERR</v>
      </c>
      <c r="J108" s="22" t="str">
        <f ca="1">+B108</f>
        <v/>
      </c>
      <c r="K108" s="22" t="str">
        <f ca="1">+C108</f>
        <v/>
      </c>
      <c r="L108" s="23" t="str">
        <f t="shared" ref="L108" ca="1" si="1">$G108</f>
        <v>*KEY_ERR</v>
      </c>
      <c r="M108" s="24" t="str">
        <f ca="1">+D108</f>
        <v/>
      </c>
      <c r="N108" s="25" t="str" cm="1">
        <f t="array" aca="1" ref="N108" ca="1">_xll.DBRW($C$39,$C$51,$C$52,$C$53,$C$54,$D108,$C$55,$C$56,$C$57,$C$58,$C$59,$C108,$C$61,$C$62,$B108,$C$64,$C$65,N$85)</f>
        <v/>
      </c>
      <c r="O108" s="26" t="str" cm="1">
        <f t="array" aca="1" ref="O108" ca="1">_xll.DBRW($C$39,$C$51,$C$52,$C$53,$C$54,$D108,$C$55,$C$56,$C$57,$C$58,$C$59,$C108,$C$61,$C$62,$B108,$C$64,$C$65,O$85)</f>
        <v/>
      </c>
      <c r="P108" s="26" t="str" cm="1">
        <f t="array" aca="1" ref="P108" ca="1">_xll.DBRW($C$39,$C$51,$C$52,$C$53,$C$54,$D108,$C$55,$C$56,$C$57,$C$58,$C$59,$C108,$C$61,$C$62,$B108,$C$64,$C$65,P$85)</f>
        <v/>
      </c>
      <c r="Q108" s="26" t="str" cm="1">
        <f t="array" aca="1" ref="Q108" ca="1">_xll.DBRW($C$39,$C$51,$C$52,$C$53,$C$54,$D108,$C$55,$C$56,$C$57,$C$58,$C$59,$C108,$C$61,$C$62,$B108,$C$64,$C$65,Q$85)</f>
        <v/>
      </c>
      <c r="R108" s="27" t="str" cm="1">
        <f t="array" aca="1" ref="R108" ca="1">_xll.DBRW($C$39,$C$51,$C$52,$C$53,$C$54,$D108,$C$55,$C$56,$C$57,$C$58,$C$59,$C108,$C$61,$C$62,$B108,$C$64,$C$65,R$85)</f>
        <v/>
      </c>
    </row>
    <row r="109" spans="1:18" ht="3" customHeight="1" x14ac:dyDescent="0.3">
      <c r="N109" s="60"/>
      <c r="O109" s="61"/>
      <c r="P109" s="61"/>
      <c r="Q109" s="61"/>
      <c r="R109" s="62"/>
    </row>
    <row r="110" spans="1:18" x14ac:dyDescent="0.3">
      <c r="B110" s="28" t="s">
        <v>18</v>
      </c>
      <c r="C110" s="52" t="s">
        <v>36</v>
      </c>
      <c r="D110" s="52" t="s">
        <v>37</v>
      </c>
      <c r="E110" s="52"/>
      <c r="F110" s="52"/>
      <c r="G110" s="52"/>
      <c r="H110" s="52"/>
      <c r="I110" s="52"/>
      <c r="J110" s="53" t="str">
        <f ca="1">+B110</f>
        <v>2000000 - Total Expenses</v>
      </c>
      <c r="K110" s="55"/>
      <c r="L110" s="54"/>
      <c r="M110" s="56"/>
      <c r="N110" s="57" t="str" cm="1">
        <f t="array" aca="1" ref="N110" ca="1">_xll.DBRW($C$48,$C$51,$C$52,$C$53,$C$54,$D110,$C$55,$C$56,$C$57,$C$58,$C$59,$C110,$C$61,$C$62,$B110,$C$64,$C$65,N$85)</f>
        <v/>
      </c>
      <c r="O110" s="58" t="str" cm="1">
        <f t="array" aca="1" ref="O110" ca="1">_xll.DBRW($C$48,$C$51,$C$52,$C$53,$C$54,$D110,$C$55,$C$56,$C$57,$C$58,$C$59,$C110,$C$61,$C$62,$B110,$C$64,$C$65,O$85)</f>
        <v/>
      </c>
      <c r="P110" s="58" t="str" cm="1">
        <f t="array" aca="1" ref="P110" ca="1">_xll.DBRW($C$48,$C$51,$C$52,$C$53,$C$54,$D110,$C$55,$C$56,$C$57,$C$58,$C$59,$C110,$C$61,$C$62,$B110,$C$64,$C$65,P$85)</f>
        <v/>
      </c>
      <c r="Q110" s="58" t="str" cm="1">
        <f t="array" aca="1" ref="Q110" ca="1">_xll.DBRW($C$48,$C$51,$C$52,$C$53,$C$54,$D110,$C$55,$C$56,$C$57,$C$58,$C$59,$C110,$C$61,$C$62,$B110,$C$64,$C$65,Q$85)</f>
        <v/>
      </c>
      <c r="R110" s="59" t="str" cm="1">
        <f t="array" aca="1" ref="R110" ca="1">_xll.DBRW($C$48,$C$51,$C$52,$C$53,$C$54,$D110,$C$55,$C$56,$C$57,$C$58,$C$59,$C110,$C$61,$C$62,$B110,$C$64,$C$65,R$85)</f>
        <v/>
      </c>
    </row>
    <row r="111" spans="1:18" ht="3" customHeight="1" x14ac:dyDescent="0.3">
      <c r="N111" s="60"/>
      <c r="O111" s="61"/>
      <c r="P111" s="61"/>
      <c r="Q111" s="61"/>
      <c r="R111" s="62"/>
    </row>
    <row r="112" spans="1:18" x14ac:dyDescent="0.3">
      <c r="J112" s="41" t="s">
        <v>46</v>
      </c>
      <c r="N112" s="60"/>
      <c r="O112" s="61"/>
      <c r="P112" s="61"/>
      <c r="Q112" s="61"/>
      <c r="R112" s="62"/>
    </row>
    <row r="113" spans="1:18" x14ac:dyDescent="0.3">
      <c r="A113" s="1" t="str" cm="1">
        <f t="array" aca="1" ref="A113" ca="1">IF(_xll.TM1RPTELISCONSOLIDATED($D$113,$D113),IF(_xll.TM1RPTELLEV($D$113,$D113)&lt;=3,_xll.TM1RPTELLEV($D$113,$D113),"D"),"N")</f>
        <v>N</v>
      </c>
      <c r="B113" s="45" t="str" cm="1">
        <f t="array" aca="1" ref="B113" ca="1">_xll.TM1RPTROW($C$40,db_name&amp;":account","",,"code and description",,C70)</f>
        <v/>
      </c>
      <c r="C113" s="46" t="str" cm="1">
        <f t="array" aca="1" ref="C113" ca="1">_xll.TM1RPTROW($C$40,db_name&amp;":movement account","",,"code and description",,C73)</f>
        <v/>
      </c>
      <c r="D113" s="46" t="str">
        <f ca="1">_xll.TM1RPTROW($C$40,db_name&amp;":related entity","","","code and description",0,C74)</f>
        <v/>
      </c>
      <c r="E113" s="1" t="str" cm="1">
        <f t="array" aca="1" ref="E113" ca="1">_xll.DBR($C$46,$B113,L$85)</f>
        <v>*KEY_ERR</v>
      </c>
      <c r="F113" s="1" t="str" cm="1">
        <f t="array" aca="1" ref="F113" ca="1">_xll.DBR($C$47,$K113,L$85)</f>
        <v>*KEY_ERR</v>
      </c>
      <c r="G113" s="1" t="str">
        <f ca="1">IF(OR($C113="-",$C113="No_Mvt"),$E113,$F113)</f>
        <v>*KEY_ERR</v>
      </c>
      <c r="J113" s="22" t="str">
        <f ca="1">+B113</f>
        <v/>
      </c>
      <c r="K113" s="22" t="str">
        <f ca="1">+C113</f>
        <v/>
      </c>
      <c r="L113" s="23" t="str">
        <f t="shared" ref="L113" ca="1" si="2">$G113</f>
        <v>*KEY_ERR</v>
      </c>
      <c r="M113" s="24" t="str">
        <f ca="1">+D113</f>
        <v/>
      </c>
      <c r="N113" s="25" t="str" cm="1">
        <f t="array" aca="1" ref="N113" ca="1">_xll.DBRW($C$40,$C$51,$C$52,$C$53,$C$54,$D113,$C$55,$C$56,$C$57,$C$58,$C$59,$C113,$C$61,$C$62,$B113,$C$64,$C$65,N$85)</f>
        <v/>
      </c>
      <c r="O113" s="26" t="str" cm="1">
        <f t="array" aca="1" ref="O113" ca="1">_xll.DBRW($C$40,$C$51,$C$52,$C$53,$C$54,$D113,$C$55,$C$56,$C$57,$C$58,$C$59,$C113,$C$61,$C$62,$B113,$C$64,$C$65,O$85)</f>
        <v/>
      </c>
      <c r="P113" s="26" t="str" cm="1">
        <f t="array" aca="1" ref="P113" ca="1">_xll.DBRW($C$40,$C$51,$C$52,$C$53,$C$54,$D113,$C$55,$C$56,$C$57,$C$58,$C$59,$C113,$C$61,$C$62,$B113,$C$64,$C$65,P$85)</f>
        <v/>
      </c>
      <c r="Q113" s="26" t="str" cm="1">
        <f t="array" aca="1" ref="Q113" ca="1">_xll.DBRW($C$40,$C$51,$C$52,$C$53,$C$54,$D113,$C$55,$C$56,$C$57,$C$58,$C$59,$C113,$C$61,$C$62,$B113,$C$64,$C$65,Q$85)</f>
        <v/>
      </c>
      <c r="R113" s="27" t="str" cm="1">
        <f t="array" aca="1" ref="R113" ca="1">_xll.DBRW($C$40,$C$51,$C$52,$C$53,$C$54,$D113,$C$55,$C$56,$C$57,$C$58,$C$59,$C113,$C$61,$C$62,$B113,$C$64,$C$65,R$85)</f>
        <v/>
      </c>
    </row>
    <row r="114" spans="1:18" ht="3" customHeight="1" x14ac:dyDescent="0.3">
      <c r="B114" s="46"/>
      <c r="C114" s="46"/>
      <c r="D114" s="46"/>
      <c r="E114" s="46"/>
      <c r="F114" s="46"/>
      <c r="G114" s="46"/>
      <c r="H114" s="46"/>
      <c r="J114" s="22"/>
      <c r="K114" s="22"/>
      <c r="L114" s="23"/>
      <c r="M114" s="24"/>
      <c r="N114" s="63"/>
      <c r="O114" s="64"/>
      <c r="P114" s="64"/>
      <c r="Q114" s="64"/>
      <c r="R114" s="65"/>
    </row>
    <row r="115" spans="1:18" x14ac:dyDescent="0.3">
      <c r="B115" s="28" t="s">
        <v>50</v>
      </c>
      <c r="C115" s="52" t="s">
        <v>36</v>
      </c>
      <c r="D115" s="52" t="s">
        <v>37</v>
      </c>
      <c r="E115" s="52"/>
      <c r="F115" s="52"/>
      <c r="G115" s="52"/>
      <c r="H115" s="52"/>
      <c r="I115" s="52"/>
      <c r="J115" s="53" t="str">
        <f ca="1">+B115</f>
        <v>5200000 - Financial Assets</v>
      </c>
      <c r="K115" s="55"/>
      <c r="L115" s="54"/>
      <c r="M115" s="56"/>
      <c r="N115" s="57" t="str" cm="1">
        <f t="array" aca="1" ref="N115" ca="1">_xll.DBRW($C$48,$C$51,$C$52,$C$53,$C$54,$D115,$C$55,$C$56,$C$57,$C$58,$C$59,$C115,$C$61,$C$62,$B115,$C$64,$C$65,N$85)</f>
        <v/>
      </c>
      <c r="O115" s="58" t="str" cm="1">
        <f t="array" aca="1" ref="O115" ca="1">_xll.DBRW($C$48,$C$51,$C$52,$C$53,$C$54,$D115,$C$55,$C$56,$C$57,$C$58,$C$59,$C115,$C$61,$C$62,$B115,$C$64,$C$65,O$85)</f>
        <v/>
      </c>
      <c r="P115" s="58" t="str" cm="1">
        <f t="array" aca="1" ref="P115" ca="1">_xll.DBRW($C$48,$C$51,$C$52,$C$53,$C$54,$D115,$C$55,$C$56,$C$57,$C$58,$C$59,$C115,$C$61,$C$62,$B115,$C$64,$C$65,P$85)</f>
        <v/>
      </c>
      <c r="Q115" s="58" t="str" cm="1">
        <f t="array" aca="1" ref="Q115" ca="1">_xll.DBRW($C$48,$C$51,$C$52,$C$53,$C$54,$D115,$C$55,$C$56,$C$57,$C$58,$C$59,$C115,$C$61,$C$62,$B115,$C$64,$C$65,Q$85)</f>
        <v/>
      </c>
      <c r="R115" s="59" t="str" cm="1">
        <f t="array" aca="1" ref="R115" ca="1">_xll.DBRW($C$48,$C$51,$C$52,$C$53,$C$54,$D115,$C$55,$C$56,$C$57,$C$58,$C$59,$C115,$C$61,$C$62,$B115,$C$64,$C$65,R$85)</f>
        <v/>
      </c>
    </row>
    <row r="116" spans="1:18" ht="3" customHeight="1" x14ac:dyDescent="0.3">
      <c r="N116" s="60"/>
      <c r="O116" s="61"/>
      <c r="P116" s="61"/>
      <c r="Q116" s="61"/>
      <c r="R116" s="62"/>
    </row>
    <row r="117" spans="1:18" x14ac:dyDescent="0.3">
      <c r="J117" s="41" t="s">
        <v>53</v>
      </c>
      <c r="N117" s="60"/>
      <c r="O117" s="61"/>
      <c r="P117" s="61"/>
      <c r="Q117" s="61"/>
      <c r="R117" s="62"/>
    </row>
    <row r="118" spans="1:18" x14ac:dyDescent="0.3">
      <c r="A118" s="1" t="str" cm="1">
        <f t="array" aca="1" ref="A118" ca="1">IF(_xll.TM1RPTELISCONSOLIDATED($D$118,$D118),IF(_xll.TM1RPTELLEV($D$118,$D118)&lt;=3,_xll.TM1RPTELLEV($D$118,$D118),"D"),"N")</f>
        <v>N</v>
      </c>
      <c r="B118" s="45" t="str" cm="1">
        <f t="array" aca="1" ref="B118" ca="1">_xll.TM1RPTROW($C$41,db_name&amp;":account","",,"code and description",,C76)</f>
        <v/>
      </c>
      <c r="C118" s="46" t="str" cm="1">
        <f t="array" aca="1" ref="C118" ca="1">_xll.TM1RPTROW($C$41,db_name&amp;":movement account","",,"code and description",,C77)</f>
        <v/>
      </c>
      <c r="D118" s="46" t="str">
        <f ca="1">_xll.TM1RPTROW($C$41,db_name&amp;":related entity","","","code and description",0,C74)</f>
        <v/>
      </c>
      <c r="E118" s="1" t="str" cm="1">
        <f t="array" aca="1" ref="E118" ca="1">_xll.DBR($C$46,$B118,L$85)</f>
        <v>*KEY_ERR</v>
      </c>
      <c r="F118" s="1" t="str" cm="1">
        <f t="array" aca="1" ref="F118" ca="1">_xll.DBR($C$47,$K118,L$85)</f>
        <v>*KEY_ERR</v>
      </c>
      <c r="G118" s="1" t="str">
        <f ca="1">IF(OR($C118="-",$C118="No_Mvt"),$E118,$F118)</f>
        <v>*KEY_ERR</v>
      </c>
      <c r="J118" s="22" t="str">
        <f ca="1">+B118</f>
        <v/>
      </c>
      <c r="K118" s="22" t="str">
        <f ca="1">+C118</f>
        <v/>
      </c>
      <c r="L118" s="23" t="str">
        <f t="shared" ref="L118" ca="1" si="3">$G118</f>
        <v>*KEY_ERR</v>
      </c>
      <c r="M118" s="24" t="str">
        <f ca="1">+D118</f>
        <v/>
      </c>
      <c r="N118" s="25" t="str" cm="1">
        <f t="array" aca="1" ref="N118" ca="1">_xll.DBRW($C$41,$C$51,$C$52,$C$53,$C$54,$D118,$C$55,$C$56,$C$57,$C$58,$C$59,$C118,$C$61,$C$62,$B118,$C$64,$C$65,N$85)</f>
        <v/>
      </c>
      <c r="O118" s="26" t="str" cm="1">
        <f t="array" aca="1" ref="O118" ca="1">_xll.DBRW($C$41,$C$51,$C$52,$C$53,$C$54,$D118,$C$55,$C$56,$C$57,$C$58,$C$59,$C118,$C$61,$C$62,$B118,$C$64,$C$65,O$85)</f>
        <v/>
      </c>
      <c r="P118" s="26" t="str" cm="1">
        <f t="array" aca="1" ref="P118" ca="1">_xll.DBRW($C$41,$C$51,$C$52,$C$53,$C$54,$D118,$C$55,$C$56,$C$57,$C$58,$C$59,$C118,$C$61,$C$62,$B118,$C$64,$C$65,P$85)</f>
        <v/>
      </c>
      <c r="Q118" s="26" t="str" cm="1">
        <f t="array" aca="1" ref="Q118" ca="1">_xll.DBRW($C$41,$C$51,$C$52,$C$53,$C$54,$D118,$C$55,$C$56,$C$57,$C$58,$C$59,$C118,$C$61,$C$62,$B118,$C$64,$C$65,Q$85)</f>
        <v/>
      </c>
      <c r="R118" s="27" t="str" cm="1">
        <f t="array" aca="1" ref="R118" ca="1">_xll.DBRW($C$41,$C$51,$C$52,$C$53,$C$54,$D118,$C$55,$C$56,$C$57,$C$58,$C$59,$C118,$C$61,$C$62,$B118,$C$64,$C$65,R$85)</f>
        <v/>
      </c>
    </row>
    <row r="119" spans="1:18" ht="3" customHeight="1" x14ac:dyDescent="0.3">
      <c r="N119" s="60"/>
      <c r="O119" s="61"/>
      <c r="P119" s="61"/>
      <c r="Q119" s="61"/>
      <c r="R119" s="62"/>
    </row>
    <row r="120" spans="1:18" x14ac:dyDescent="0.3">
      <c r="B120" s="28" t="s">
        <v>55</v>
      </c>
      <c r="C120" s="52" t="s">
        <v>36</v>
      </c>
      <c r="D120" s="52" t="s">
        <v>37</v>
      </c>
      <c r="E120" s="52"/>
      <c r="F120" s="52"/>
      <c r="G120" s="52"/>
      <c r="H120" s="52"/>
      <c r="I120" s="52"/>
      <c r="J120" s="53" t="str">
        <f ca="1">+B120</f>
        <v>5300000 - Non Financial Assets</v>
      </c>
      <c r="K120" s="55"/>
      <c r="L120" s="54"/>
      <c r="M120" s="56"/>
      <c r="N120" s="57" t="str" cm="1">
        <f t="array" aca="1" ref="N120" ca="1">_xll.DBRW($C$48,$C$51,$C$52,$C$53,$C$54,$D120,$C$55,$C$56,$C$57,$C$58,$C$59,$C120,$C$61,$C$62,$B120,$C$64,$C$65,N$85)</f>
        <v/>
      </c>
      <c r="O120" s="58" t="str" cm="1">
        <f t="array" aca="1" ref="O120" ca="1">_xll.DBRW($C$48,$C$51,$C$52,$C$53,$C$54,$D120,$C$55,$C$56,$C$57,$C$58,$C$59,$C120,$C$61,$C$62,$B120,$C$64,$C$65,O$85)</f>
        <v/>
      </c>
      <c r="P120" s="58" t="str" cm="1">
        <f t="array" aca="1" ref="P120" ca="1">_xll.DBRW($C$48,$C$51,$C$52,$C$53,$C$54,$D120,$C$55,$C$56,$C$57,$C$58,$C$59,$C120,$C$61,$C$62,$B120,$C$64,$C$65,P$85)</f>
        <v/>
      </c>
      <c r="Q120" s="58" t="str" cm="1">
        <f t="array" aca="1" ref="Q120" ca="1">_xll.DBRW($C$48,$C$51,$C$52,$C$53,$C$54,$D120,$C$55,$C$56,$C$57,$C$58,$C$59,$C120,$C$61,$C$62,$B120,$C$64,$C$65,Q$85)</f>
        <v/>
      </c>
      <c r="R120" s="59" t="str" cm="1">
        <f t="array" aca="1" ref="R120" ca="1">_xll.DBRW($C$48,$C$51,$C$52,$C$53,$C$54,$D120,$C$55,$C$56,$C$57,$C$58,$C$59,$C120,$C$61,$C$62,$B120,$C$64,$C$65,R$85)</f>
        <v/>
      </c>
    </row>
    <row r="121" spans="1:18" ht="3" customHeight="1" x14ac:dyDescent="0.3">
      <c r="N121" s="60"/>
      <c r="O121" s="61"/>
      <c r="P121" s="61"/>
      <c r="Q121" s="61"/>
      <c r="R121" s="62"/>
    </row>
    <row r="122" spans="1:18" x14ac:dyDescent="0.3">
      <c r="J122" s="41" t="s">
        <v>57</v>
      </c>
      <c r="N122" s="60"/>
      <c r="O122" s="61"/>
      <c r="P122" s="61"/>
      <c r="Q122" s="61"/>
      <c r="R122" s="62"/>
    </row>
    <row r="123" spans="1:18" x14ac:dyDescent="0.3">
      <c r="A123" s="1" t="str" cm="1">
        <f t="array" aca="1" ref="A123" ca="1">IF(_xll.TM1RPTELISCONSOLIDATED($D$123,$D123),IF(_xll.TM1RPTELLEV($D$123,$D123)&lt;=3,_xll.TM1RPTELLEV($D$123,$D123),"D"),"N")</f>
        <v>N</v>
      </c>
      <c r="B123" s="45" t="str" cm="1">
        <f t="array" aca="1" ref="B123" ca="1">_xll.TM1RPTROW($C$42,db_name&amp;":account","",,"code and description",,C71)</f>
        <v/>
      </c>
      <c r="C123" s="46" t="str" cm="1">
        <f t="array" aca="1" ref="C123" ca="1">_xll.TM1RPTROW($C$42,db_name&amp;":movement account","",,"code and description",,C73)</f>
        <v/>
      </c>
      <c r="D123" s="46" t="str">
        <f ca="1">_xll.TM1RPTROW($C$42,db_name&amp;":related entity","","","code and description",0,C74)</f>
        <v/>
      </c>
      <c r="E123" s="1" t="str" cm="1">
        <f t="array" aca="1" ref="E123" ca="1">_xll.DBR($C$46,$B123,L$85)</f>
        <v>*KEY_ERR</v>
      </c>
      <c r="F123" s="1" t="str" cm="1">
        <f t="array" aca="1" ref="F123" ca="1">_xll.DBR($C$47,$K123,L$85)</f>
        <v>*KEY_ERR</v>
      </c>
      <c r="G123" s="1" t="str">
        <f ca="1">IF(OR($C123="-",$C123="No_Mvt"),$E123,$F123)</f>
        <v>*KEY_ERR</v>
      </c>
      <c r="J123" s="22" t="str">
        <f ca="1">+B123</f>
        <v/>
      </c>
      <c r="K123" s="22" t="str">
        <f ca="1">+C123</f>
        <v/>
      </c>
      <c r="L123" s="23" t="str">
        <f t="shared" ref="L123" ca="1" si="4">$G123</f>
        <v>*KEY_ERR</v>
      </c>
      <c r="M123" s="24" t="str">
        <f ca="1">+D123</f>
        <v/>
      </c>
      <c r="N123" s="96" t="str" cm="1">
        <f t="array" aca="1" ref="N123" ca="1">_xll.DBRW($C$42,$C$51,$C$52,$C$53,$C$54,$D123,$C$55,$C$56,$C$57,$C$58,$C$59,$C123,$C$61,$C$62,$B123,$C$64,$C$65,N$85)</f>
        <v/>
      </c>
      <c r="O123" s="26" t="str" cm="1">
        <f t="array" aca="1" ref="O123" ca="1">_xll.DBRW($C$42,$C$51,$C$52,$C$53,$C$54,$D123,$C$55,$C$56,$C$57,$C$58,$C$59,$C123,$C$61,$C$62,$B123,$C$64,$C$65,O$85)</f>
        <v/>
      </c>
      <c r="P123" s="26" t="str" cm="1">
        <f t="array" aca="1" ref="P123" ca="1">_xll.DBRW($C$42,$C$51,$C$52,$C$53,$C$54,$D123,$C$55,$C$56,$C$57,$C$58,$C$59,$C123,$C$61,$C$62,$B123,$C$64,$C$65,P$85)</f>
        <v/>
      </c>
      <c r="Q123" s="26" t="str" cm="1">
        <f t="array" aca="1" ref="Q123" ca="1">_xll.DBRW($C$42,$C$51,$C$52,$C$53,$C$54,$D123,$C$55,$C$56,$C$57,$C$58,$C$59,$C123,$C$61,$C$62,$B123,$C$64,$C$65,Q$85)</f>
        <v/>
      </c>
      <c r="R123" s="27" t="str" cm="1">
        <f t="array" aca="1" ref="R123" ca="1">_xll.DBRW($C$42,$C$51,$C$52,$C$53,$C$54,$D123,$C$55,$C$56,$C$57,$C$58,$C$59,$C123,$C$61,$C$62,$B123,$C$64,$C$65,R$85)</f>
        <v/>
      </c>
    </row>
    <row r="124" spans="1:18" ht="3" customHeight="1" x14ac:dyDescent="0.3">
      <c r="B124" s="46"/>
      <c r="C124" s="46"/>
      <c r="D124" s="46"/>
      <c r="E124" s="46"/>
      <c r="F124" s="46"/>
      <c r="G124" s="46"/>
      <c r="H124" s="46"/>
      <c r="J124" s="22"/>
      <c r="K124" s="22"/>
      <c r="L124" s="23"/>
      <c r="M124" s="24"/>
      <c r="N124" s="63"/>
      <c r="O124" s="64"/>
      <c r="P124" s="64"/>
      <c r="Q124" s="64"/>
      <c r="R124" s="65"/>
    </row>
    <row r="125" spans="1:18" x14ac:dyDescent="0.3">
      <c r="B125" s="28" t="s">
        <v>63</v>
      </c>
      <c r="C125" s="52" t="s">
        <v>36</v>
      </c>
      <c r="D125" s="52" t="s">
        <v>37</v>
      </c>
      <c r="E125" s="52"/>
      <c r="F125" s="52"/>
      <c r="G125" s="52"/>
      <c r="H125" s="52"/>
      <c r="I125" s="52"/>
      <c r="J125" s="53" t="str">
        <f ca="1">+B125</f>
        <v>3000000 - Total Liability</v>
      </c>
      <c r="K125" s="55"/>
      <c r="L125" s="54"/>
      <c r="M125" s="56"/>
      <c r="N125" s="57" t="str" cm="1">
        <f t="array" aca="1" ref="N125" ca="1">_xll.DBRW($C$48,$C$51,$C$52,$C$53,$C$54,$D125,$C$55,$C$56,$C$57,$C$58,$C$59,$C125,$C$61,$C$62,$B125,$C$64,$C$65,N$85)</f>
        <v/>
      </c>
      <c r="O125" s="58" t="str" cm="1">
        <f t="array" aca="1" ref="O125" ca="1">_xll.DBRW($C$48,$C$51,$C$52,$C$53,$C$54,$D125,$C$55,$C$56,$C$57,$C$58,$C$59,$C125,$C$61,$C$62,$B125,$C$64,$C$65,O$85)</f>
        <v/>
      </c>
      <c r="P125" s="58" t="str" cm="1">
        <f t="array" aca="1" ref="P125" ca="1">_xll.DBRW($C$48,$C$51,$C$52,$C$53,$C$54,$D125,$C$55,$C$56,$C$57,$C$58,$C$59,$C125,$C$61,$C$62,$B125,$C$64,$C$65,P$85)</f>
        <v/>
      </c>
      <c r="Q125" s="58" t="str" cm="1">
        <f t="array" aca="1" ref="Q125" ca="1">_xll.DBRW($C$48,$C$51,$C$52,$C$53,$C$54,$D125,$C$55,$C$56,$C$57,$C$58,$C$59,$C125,$C$61,$C$62,$B125,$C$64,$C$65,Q$85)</f>
        <v/>
      </c>
      <c r="R125" s="59" t="str" cm="1">
        <f t="array" aca="1" ref="R125" ca="1">_xll.DBRW($C$48,$C$51,$C$52,$C$53,$C$54,$D125,$C$55,$C$56,$C$57,$C$58,$C$59,$C125,$C$61,$C$62,$B125,$C$64,$C$65,R$85)</f>
        <v/>
      </c>
    </row>
    <row r="126" spans="1:18" ht="3" customHeight="1" x14ac:dyDescent="0.3">
      <c r="N126" s="60"/>
      <c r="O126" s="61"/>
      <c r="P126" s="61"/>
      <c r="Q126" s="61"/>
      <c r="R126" s="62"/>
    </row>
    <row r="127" spans="1:18" x14ac:dyDescent="0.3">
      <c r="J127" s="41" t="s">
        <v>70</v>
      </c>
      <c r="N127" s="60"/>
      <c r="O127" s="61"/>
      <c r="P127" s="61"/>
      <c r="Q127" s="61"/>
      <c r="R127" s="62"/>
    </row>
    <row r="128" spans="1:18" x14ac:dyDescent="0.3">
      <c r="A128" s="1" t="str" cm="1">
        <f t="array" aca="1" ref="A128" ca="1">IF(_xll.TM1RPTELISCONSOLIDATED($D$128,$D128),IF(_xll.TM1RPTELLEV($D$128,$D128)&lt;=3,_xll.TM1RPTELLEV($D$128,$D128),"D"),"N")</f>
        <v>N</v>
      </c>
      <c r="B128" s="45" t="str" cm="1">
        <f t="array" aca="1" ref="B128" ca="1">_xll.TM1RPTROW($C$43,db_name&amp;":account",,,"code and description",,C79)</f>
        <v/>
      </c>
      <c r="C128" s="46" t="str" cm="1">
        <f t="array" aca="1" ref="C128" ca="1">_xll.TM1RPTROW($C$43,db_name&amp;":movement account","",,"code and description",0,C80)</f>
        <v/>
      </c>
      <c r="D128" s="46" t="str" cm="1">
        <f t="array" aca="1" ref="D128" ca="1">_xll.TM1RPTROW($C$43,db_name&amp;":related entity","",,"code and description",0,C74)</f>
        <v/>
      </c>
      <c r="E128" s="1" t="str" cm="1">
        <f t="array" aca="1" ref="E128" ca="1">_xll.DBR($C$46,$B128,L$85)</f>
        <v>*KEY_ERR</v>
      </c>
      <c r="F128" s="1" t="str" cm="1">
        <f t="array" aca="1" ref="F128" ca="1">_xll.DBR($C$47,$K128,L$85)</f>
        <v>*KEY_ERR</v>
      </c>
      <c r="G128" s="1" t="str">
        <f ca="1">IF(OR($C128="-",$C128="No_Mvt"),$E128,$F128)</f>
        <v>*KEY_ERR</v>
      </c>
      <c r="J128" s="22" t="str">
        <f ca="1">+B128</f>
        <v/>
      </c>
      <c r="K128" s="22" t="str">
        <f ca="1">+C128</f>
        <v/>
      </c>
      <c r="L128" s="23" t="str">
        <f t="shared" ref="L128" ca="1" si="5">$G128</f>
        <v>*KEY_ERR</v>
      </c>
      <c r="M128" s="24" t="str">
        <f ca="1">+D128</f>
        <v/>
      </c>
      <c r="N128" s="25" t="str" cm="1">
        <f t="array" aca="1" ref="N128" ca="1">_xll.DBRW($C$43,$C$51,$C$52,$C$53,$C$54,$D128,$C$55,$C$56,$C$57,$C$58,$C$59,$C128,$C$61,$C$62,$B128,$C$64,$C$65,N$85)</f>
        <v/>
      </c>
      <c r="O128" s="26" t="str" cm="1">
        <f t="array" aca="1" ref="O128" ca="1">_xll.DBRW($C$43,$C$51,$C$52,$C$53,$C$54,$D128,$C$55,$C$56,$C$57,$C$58,$C$59,$C128,$C$61,$C$62,$B128,$C$64,$C$65,O$85)</f>
        <v/>
      </c>
      <c r="P128" s="26" t="str" cm="1">
        <f t="array" aca="1" ref="P128" ca="1">_xll.DBRW($C$43,$C$51,$C$52,$C$53,$C$54,$D128,$C$55,$C$56,$C$57,$C$58,$C$59,$C128,$C$61,$C$62,$B128,$C$64,$C$65,P$85)</f>
        <v/>
      </c>
      <c r="Q128" s="26" t="str" cm="1">
        <f t="array" aca="1" ref="Q128" ca="1">_xll.DBRW($C$43,$C$51,$C$52,$C$53,$C$54,$D128,$C$55,$C$56,$C$57,$C$58,$C$59,$C128,$C$61,$C$62,$B128,$C$64,$C$65,Q$85)</f>
        <v/>
      </c>
      <c r="R128" s="27" t="str" cm="1">
        <f t="array" aca="1" ref="R128" ca="1">_xll.DBRW($C$43,$C$51,$C$52,$C$53,$C$54,$D128,$C$55,$C$56,$C$57,$C$58,$C$59,$C128,$C$61,$C$62,$B128,$C$64,$C$65,R$85)</f>
        <v/>
      </c>
    </row>
    <row r="129" spans="1:18" ht="3.6" customHeight="1" x14ac:dyDescent="0.3">
      <c r="N129" s="60"/>
      <c r="O129" s="61"/>
      <c r="P129" s="61"/>
      <c r="Q129" s="61"/>
      <c r="R129" s="62"/>
    </row>
    <row r="130" spans="1:18" x14ac:dyDescent="0.3">
      <c r="B130" s="28" t="s">
        <v>69</v>
      </c>
      <c r="C130" s="52" t="s">
        <v>36</v>
      </c>
      <c r="D130" s="52" t="s">
        <v>37</v>
      </c>
      <c r="E130" s="52"/>
      <c r="F130" s="52"/>
      <c r="G130" s="52"/>
      <c r="H130" s="52"/>
      <c r="I130" s="52"/>
      <c r="J130" s="53" t="str">
        <f ca="1">+B130</f>
        <v>4000000 - Equity</v>
      </c>
      <c r="K130" s="55"/>
      <c r="L130" s="54"/>
      <c r="M130" s="56"/>
      <c r="N130" s="57" t="str" cm="1">
        <f t="array" aca="1" ref="N130" ca="1">_xll.DBRW($C$48,$C$51,$C$52,$C$53,$C$54,$D130,$C$55,$C$56,$C$57,$C$58,$C$59,$C130,$C$61,$C$62,$B130,$C$64,$C$65,N$85)</f>
        <v/>
      </c>
      <c r="O130" s="58" t="str" cm="1">
        <f t="array" aca="1" ref="O130" ca="1">_xll.DBRW($C$48,$C$51,$C$52,$C$53,$C$54,$D130,$C$55,$C$56,$C$57,$C$58,$C$59,$C130,$C$61,$C$62,$B130,$C$64,$C$65,O$85)</f>
        <v/>
      </c>
      <c r="P130" s="58" t="str" cm="1">
        <f t="array" aca="1" ref="P130" ca="1">_xll.DBRW($C$48,$C$51,$C$52,$C$53,$C$54,$D130,$C$55,$C$56,$C$57,$C$58,$C$59,$C130,$C$61,$C$62,$B130,$C$64,$C$65,P$85)</f>
        <v/>
      </c>
      <c r="Q130" s="58" t="str" cm="1">
        <f t="array" aca="1" ref="Q130" ca="1">_xll.DBRW($C$48,$C$51,$C$52,$C$53,$C$54,$D130,$C$55,$C$56,$C$57,$C$58,$C$59,$C130,$C$61,$C$62,$B130,$C$64,$C$65,Q$85)</f>
        <v/>
      </c>
      <c r="R130" s="59" t="str" cm="1">
        <f t="array" aca="1" ref="R130" ca="1">_xll.DBRW($C$48,$C$51,$C$52,$C$53,$C$54,$D130,$C$55,$C$56,$C$57,$C$58,$C$59,$C130,$C$61,$C$62,$B130,$C$64,$C$65,R$85)</f>
        <v/>
      </c>
    </row>
    <row r="131" spans="1:18" ht="3" customHeight="1" x14ac:dyDescent="0.3">
      <c r="N131" s="60"/>
      <c r="O131" s="61"/>
      <c r="P131" s="61"/>
      <c r="Q131" s="61"/>
      <c r="R131" s="62"/>
    </row>
    <row r="132" spans="1:18" x14ac:dyDescent="0.3">
      <c r="J132" s="41" t="s">
        <v>74</v>
      </c>
      <c r="N132" s="60"/>
      <c r="O132" s="61"/>
      <c r="P132" s="61"/>
      <c r="Q132" s="61"/>
      <c r="R132" s="62"/>
    </row>
    <row r="133" spans="1:18" x14ac:dyDescent="0.3">
      <c r="A133" s="1" t="str" cm="1">
        <f t="array" aca="1" ref="A133" ca="1">IF(_xll.TM1RPTELISCONSOLIDATED($D$133,$D133),IF(_xll.TM1RPTELLEV($D$133,$D133)&lt;=3,_xll.TM1RPTELLEV($D$133,$D133),"D"),"N")</f>
        <v>N</v>
      </c>
      <c r="B133" s="45" t="str">
        <f ca="1">_xll.TM1RPTROW($C$44,db_name&amp;":account",,,"code and Description",,C72)</f>
        <v/>
      </c>
      <c r="C133" s="46" t="str">
        <f ca="1">_xll.TM1RPTROW($C$44,db_name&amp;":movement account","",,"code and description",0,C73)</f>
        <v/>
      </c>
      <c r="D133" s="46" t="str">
        <f ca="1">_xll.TM1RPTROW($C$44,db_name&amp;":related entity","",,"code and description",0,C74)</f>
        <v/>
      </c>
      <c r="E133" s="1" t="str" cm="1">
        <f t="array" aca="1" ref="E133" ca="1">_xll.DBR($C$46,$B133,L$85)</f>
        <v>*KEY_ERR</v>
      </c>
      <c r="F133" s="1" t="str" cm="1">
        <f t="array" aca="1" ref="F133" ca="1">_xll.DBR($C$47,$K133,L$85)</f>
        <v>*KEY_ERR</v>
      </c>
      <c r="G133" s="1" t="str">
        <f ca="1">IF(OR($C133="-",$C133="No_Mvt"),$E133,$F133)</f>
        <v>*KEY_ERR</v>
      </c>
      <c r="J133" s="22" t="str">
        <f ca="1">+B133</f>
        <v/>
      </c>
      <c r="K133" s="22" t="str">
        <f ca="1">+C133</f>
        <v/>
      </c>
      <c r="L133" s="23" t="str">
        <f t="shared" ref="L133" ca="1" si="6">$G133</f>
        <v>*KEY_ERR</v>
      </c>
      <c r="M133" s="24" t="str">
        <f ca="1">+D133</f>
        <v/>
      </c>
      <c r="N133" s="25" t="str" cm="1">
        <f t="array" aca="1" ref="N133" ca="1">_xll.DBRW($C$44,$C$51,$C$52,$C$53,$C$54,$D133,$C$55,$C$56,$C$57,$C$58,$C$59,$C133,$C$61,$C$62,$B133,$C$64,$C$65,N$85)</f>
        <v/>
      </c>
      <c r="O133" s="26" t="str" cm="1">
        <f t="array" aca="1" ref="O133" ca="1">_xll.DBRW($C$44,$C$51,$C$52,$C$53,$C$54,$D133,$C$55,$C$56,$C$57,$C$58,$C$59,$C133,$C$61,$C$62,$B133,$C$64,$C$65,O$85)</f>
        <v/>
      </c>
      <c r="P133" s="26" t="str" cm="1">
        <f t="array" aca="1" ref="P133" ca="1">_xll.DBRW($C$44,$C$51,$C$52,$C$53,$C$54,$D133,$C$55,$C$56,$C$57,$C$58,$C$59,$C133,$C$61,$C$62,$B133,$C$64,$C$65,P$85)</f>
        <v/>
      </c>
      <c r="Q133" s="26" t="str" cm="1">
        <f t="array" aca="1" ref="Q133" ca="1">_xll.DBRW($C$44,$C$51,$C$52,$C$53,$C$54,$D133,$C$55,$C$56,$C$57,$C$58,$C$59,$C133,$C$61,$C$62,$B133,$C$64,$C$65,Q$85)</f>
        <v/>
      </c>
      <c r="R133" s="27" t="str" cm="1">
        <f t="array" aca="1" ref="R133" ca="1">_xll.DBRW($C$44,$C$51,$C$52,$C$53,$C$54,$D133,$C$55,$C$56,$C$57,$C$58,$C$59,$C133,$C$61,$C$62,$B133,$C$64,$C$65,R$85)</f>
        <v/>
      </c>
    </row>
    <row r="134" spans="1:18" ht="3" customHeight="1" x14ac:dyDescent="0.3">
      <c r="N134" s="60"/>
      <c r="O134" s="61"/>
      <c r="P134" s="61"/>
      <c r="Q134" s="61"/>
      <c r="R134" s="62"/>
    </row>
    <row r="135" spans="1:18" x14ac:dyDescent="0.3">
      <c r="B135" s="28" t="s">
        <v>75</v>
      </c>
      <c r="C135" s="52" t="s">
        <v>36</v>
      </c>
      <c r="D135" s="52" t="s">
        <v>37</v>
      </c>
      <c r="E135" s="52"/>
      <c r="F135" s="52"/>
      <c r="G135" s="52"/>
      <c r="H135" s="52"/>
      <c r="I135" s="52"/>
      <c r="J135" s="53" t="str">
        <f ca="1">+B135</f>
        <v>9000003 - Cashflow Statement</v>
      </c>
      <c r="K135" s="55"/>
      <c r="L135" s="54"/>
      <c r="M135" s="56"/>
      <c r="N135" s="57" t="str" cm="1">
        <f t="array" aca="1" ref="N135" ca="1">_xll.DBRW($C$48,$C$51,$C$52,$C$53,$C$54,$D135,$C$55,$C$56,$C$57,$C$58,$C$59,$C135,$C$61,$C$62,$B135,$C$64,$C$65,N$85)</f>
        <v/>
      </c>
      <c r="O135" s="58" t="str" cm="1">
        <f t="array" aca="1" ref="O135" ca="1">_xll.DBRW($C$48,$C$51,$C$52,$C$53,$C$54,$D135,$C$55,$C$56,$C$57,$C$58,$C$59,$C135,$C$61,$C$62,$B135,$C$64,$C$65,O$85)</f>
        <v/>
      </c>
      <c r="P135" s="58" t="str" cm="1">
        <f t="array" aca="1" ref="P135" ca="1">_xll.DBRW($C$48,$C$51,$C$52,$C$53,$C$54,$D135,$C$55,$C$56,$C$57,$C$58,$C$59,$C135,$C$61,$C$62,$B135,$C$64,$C$65,P$85)</f>
        <v/>
      </c>
      <c r="Q135" s="58" t="str" cm="1">
        <f t="array" aca="1" ref="Q135" ca="1">_xll.DBRW($C$48,$C$51,$C$52,$C$53,$C$54,$D135,$C$55,$C$56,$C$57,$C$58,$C$59,$C135,$C$61,$C$62,$B135,$C$64,$C$65,Q$85)</f>
        <v/>
      </c>
      <c r="R135" s="59" t="str" cm="1">
        <f t="array" aca="1" ref="R135" ca="1">_xll.DBRW($C$48,$C$51,$C$52,$C$53,$C$54,$D135,$C$55,$C$56,$C$57,$C$58,$C$59,$C135,$C$61,$C$62,$B135,$C$64,$C$65,R$85)</f>
        <v/>
      </c>
    </row>
  </sheetData>
  <sheetProtection sheet="1" objects="1" scenarios="1"/>
  <mergeCells count="12">
    <mergeCell ref="B11:C11"/>
    <mergeCell ref="B19:C19"/>
    <mergeCell ref="B25:D25"/>
    <mergeCell ref="B37:C37"/>
    <mergeCell ref="B50:C50"/>
    <mergeCell ref="K96:L96"/>
    <mergeCell ref="K92:L92"/>
    <mergeCell ref="K95:L95"/>
    <mergeCell ref="N96:R96"/>
    <mergeCell ref="Q95:R95"/>
    <mergeCell ref="K93:L93"/>
    <mergeCell ref="K94:L94"/>
  </mergeCells>
  <pageMargins left="0.70866141732283472" right="0.70866141732283472" top="0.74803149606299213" bottom="0.74803149606299213" header="0.31496062992125984" footer="0.31496062992125984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2" r:id="rId4" name="TIButton7">
          <controlPr defaultSize="0" print="0" autoLine="0" autoPict="0" r:id="rId5">
            <anchor moveWithCells="1" sizeWithCells="1">
              <from>
                <xdr:col>10</xdr:col>
                <xdr:colOff>556260</xdr:colOff>
                <xdr:row>88</xdr:row>
                <xdr:rowOff>0</xdr:rowOff>
              </from>
              <to>
                <xdr:col>10</xdr:col>
                <xdr:colOff>1760220</xdr:colOff>
                <xdr:row>88</xdr:row>
                <xdr:rowOff>251460</xdr:rowOff>
              </to>
            </anchor>
          </controlPr>
        </control>
      </mc:Choice>
      <mc:Fallback>
        <control shapeId="1032" r:id="rId4" name="TIButton7"/>
      </mc:Fallback>
    </mc:AlternateContent>
    <mc:AlternateContent xmlns:mc="http://schemas.openxmlformats.org/markup-compatibility/2006">
      <mc:Choice Requires="x14">
        <control shapeId="1031" r:id="rId6" name="TIButton6">
          <controlPr defaultSize="0" print="0" autoLine="0" autoPict="0" r:id="rId7">
            <anchor moveWithCells="1" sizeWithCells="1">
              <from>
                <xdr:col>9</xdr:col>
                <xdr:colOff>3017520</xdr:colOff>
                <xdr:row>88</xdr:row>
                <xdr:rowOff>0</xdr:rowOff>
              </from>
              <to>
                <xdr:col>10</xdr:col>
                <xdr:colOff>525780</xdr:colOff>
                <xdr:row>88</xdr:row>
                <xdr:rowOff>251460</xdr:rowOff>
              </to>
            </anchor>
          </controlPr>
        </control>
      </mc:Choice>
      <mc:Fallback>
        <control shapeId="1031" r:id="rId6" name="TIButton6"/>
      </mc:Fallback>
    </mc:AlternateContent>
    <mc:AlternateContent xmlns:mc="http://schemas.openxmlformats.org/markup-compatibility/2006">
      <mc:Choice Requires="x14">
        <control shapeId="1030" r:id="rId8" name="TIButton5">
          <controlPr defaultSize="0" print="0" autoLine="0" autoPict="0" r:id="rId9">
            <anchor moveWithCells="1" sizeWithCells="1">
              <from>
                <xdr:col>9</xdr:col>
                <xdr:colOff>1638300</xdr:colOff>
                <xdr:row>88</xdr:row>
                <xdr:rowOff>0</xdr:rowOff>
              </from>
              <to>
                <xdr:col>9</xdr:col>
                <xdr:colOff>2994660</xdr:colOff>
                <xdr:row>88</xdr:row>
                <xdr:rowOff>251460</xdr:rowOff>
              </to>
            </anchor>
          </controlPr>
        </control>
      </mc:Choice>
      <mc:Fallback>
        <control shapeId="1030" r:id="rId8" name="TIButton5"/>
      </mc:Fallback>
    </mc:AlternateContent>
    <mc:AlternateContent xmlns:mc="http://schemas.openxmlformats.org/markup-compatibility/2006">
      <mc:Choice Requires="x14">
        <control shapeId="1029" r:id="rId10" name="TIButton4">
          <controlPr defaultSize="0" print="0" autoLine="0" r:id="rId11">
            <anchor moveWithCells="1" sizeWithCells="1">
              <from>
                <xdr:col>17</xdr:col>
                <xdr:colOff>716280</xdr:colOff>
                <xdr:row>87</xdr:row>
                <xdr:rowOff>30480</xdr:rowOff>
              </from>
              <to>
                <xdr:col>17</xdr:col>
                <xdr:colOff>1028700</xdr:colOff>
                <xdr:row>88</xdr:row>
                <xdr:rowOff>289560</xdr:rowOff>
              </to>
            </anchor>
          </controlPr>
        </control>
      </mc:Choice>
      <mc:Fallback>
        <control shapeId="1029" r:id="rId10" name="TIButton4"/>
      </mc:Fallback>
    </mc:AlternateContent>
    <mc:AlternateContent xmlns:mc="http://schemas.openxmlformats.org/markup-compatibility/2006">
      <mc:Choice Requires="x14">
        <control shapeId="1028" r:id="rId12" name="TIButton1">
          <controlPr defaultSize="0" print="0" autoLine="0" autoPict="0" r:id="rId13">
            <anchor moveWithCells="1" sizeWithCells="1">
              <from>
                <xdr:col>9</xdr:col>
                <xdr:colOff>670560</xdr:colOff>
                <xdr:row>88</xdr:row>
                <xdr:rowOff>0</xdr:rowOff>
              </from>
              <to>
                <xdr:col>9</xdr:col>
                <xdr:colOff>1607820</xdr:colOff>
                <xdr:row>88</xdr:row>
                <xdr:rowOff>251460</xdr:rowOff>
              </to>
            </anchor>
          </controlPr>
        </control>
      </mc:Choice>
      <mc:Fallback>
        <control shapeId="1028" r:id="rId12" name="TIButton1"/>
      </mc:Fallback>
    </mc:AlternateContent>
    <mc:AlternateContent xmlns:mc="http://schemas.openxmlformats.org/markup-compatibility/2006">
      <mc:Choice Requires="x14">
        <control shapeId="1027" r:id="rId14" name="TIButton3">
          <controlPr defaultSize="0" print="0" autoLine="0" autoPict="0" r:id="rId15">
            <anchor moveWithCells="1" sizeWithCells="1">
              <from>
                <xdr:col>10</xdr:col>
                <xdr:colOff>1813560</xdr:colOff>
                <xdr:row>88</xdr:row>
                <xdr:rowOff>0</xdr:rowOff>
              </from>
              <to>
                <xdr:col>10</xdr:col>
                <xdr:colOff>2590800</xdr:colOff>
                <xdr:row>88</xdr:row>
                <xdr:rowOff>251460</xdr:rowOff>
              </to>
            </anchor>
          </controlPr>
        </control>
      </mc:Choice>
      <mc:Fallback>
        <control shapeId="1027" r:id="rId14" name="TIButton3"/>
      </mc:Fallback>
    </mc:AlternateContent>
    <mc:AlternateContent xmlns:mc="http://schemas.openxmlformats.org/markup-compatibility/2006">
      <mc:Choice Requires="x14">
        <control shapeId="1026" r:id="rId16" name="TIButton2">
          <controlPr defaultSize="0" print="0" autoLine="0" autoPict="0" r:id="rId17">
            <anchor moveWithCells="1" sizeWithCells="1">
              <from>
                <xdr:col>8</xdr:col>
                <xdr:colOff>45720</xdr:colOff>
                <xdr:row>88</xdr:row>
                <xdr:rowOff>0</xdr:rowOff>
              </from>
              <to>
                <xdr:col>9</xdr:col>
                <xdr:colOff>632460</xdr:colOff>
                <xdr:row>88</xdr:row>
                <xdr:rowOff>251460</xdr:rowOff>
              </to>
            </anchor>
          </controlPr>
        </control>
      </mc:Choice>
      <mc:Fallback>
        <control shapeId="1026" r:id="rId16" name="TIButton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report</vt:lpstr>
      <vt:lpstr>db_name</vt:lpstr>
      <vt:lpstr>Freeze_HERE</vt:lpstr>
      <vt:lpstr>psApp</vt:lpstr>
      <vt:lpstr>psProgDimName</vt:lpstr>
      <vt:lpstr>psUser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TM1OthRprTBalDrillCAP</vt:lpstr>
      <vt:lpstr>TM1OthRprTBalDrillWB</vt:lpstr>
      <vt:lpstr>TM1OthRprTBalDrillWS</vt:lpstr>
      <vt:lpstr>report!TM1RPTDATARNG1</vt:lpstr>
      <vt:lpstr>report!TM1RPTDATARNGARPT1</vt:lpstr>
      <vt:lpstr>report!TM1RPTDATARNGARPT2</vt:lpstr>
      <vt:lpstr>report!TM1RPTDATARNGARPT3</vt:lpstr>
      <vt:lpstr>report!TM1RPTDATARNGARPT4</vt:lpstr>
      <vt:lpstr>report!TM1RPTDATARNGARPT5</vt:lpstr>
      <vt:lpstr>report!TM1RPTDATARNGARPT6</vt:lpstr>
      <vt:lpstr>report!TM1RPTFMTIDCOL</vt:lpstr>
      <vt:lpstr>report!TM1RPTFMTRNG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blooyen</cp:lastModifiedBy>
  <dcterms:created xsi:type="dcterms:W3CDTF">2019-03-05T21:42:17Z</dcterms:created>
  <dcterms:modified xsi:type="dcterms:W3CDTF">2023-02-14T22:33:24Z</dcterms:modified>
</cp:coreProperties>
</file>