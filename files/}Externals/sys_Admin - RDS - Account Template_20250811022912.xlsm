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7E55143-73BF-4B87-9D5B-3D422FAEF45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DS" sheetId="1" r:id="rId1"/>
  </sheets>
  <definedNames>
    <definedName name="db_name">RDS!$C$12</definedName>
    <definedName name="Freeze_here">RDS!$L$61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MEAccTempCAP">RDS!$D$36</definedName>
    <definedName name="TM1MEAccTempWB">RDS!$F$36</definedName>
    <definedName name="TM1MEAccTempWS">RDS!$H$36</definedName>
    <definedName name="TM1REBUILDOPTION">1</definedName>
    <definedName name="TM1RPTDATARNG1" localSheetId="0">RDS!$62:$62</definedName>
    <definedName name="TM1RPTFMTIDCOL" localSheetId="0">RDS!$A$1:$A$8</definedName>
    <definedName name="TM1RPTFMTRNG" localSheetId="0">RDS!$J$1:$N$8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1" l="1"/>
  <c r="C42" i="1"/>
  <c r="J62" i="1"/>
  <c r="C28" i="1"/>
  <c r="L58" i="1"/>
  <c r="C44" i="1"/>
  <c r="C41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N62" i="1"/>
  <c r="M62" i="1"/>
  <c r="L62" i="1"/>
  <c r="C20" i="1"/>
  <c r="C25" i="1"/>
  <c r="C24" i="1"/>
  <c r="C23" i="1"/>
  <c r="C22" i="1"/>
  <c r="C21" i="1"/>
  <c r="C13" i="1"/>
  <c r="C14" i="1"/>
  <c r="C15" i="1"/>
  <c r="C17" i="1"/>
  <c r="C16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<sst xmlns="http://schemas.openxmlformats.org/spreadsheetml/2006/main" count="61" uniqueCount="59">
  <si>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</si>
  <si>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</si>
  <si>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</si>
  <si>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</si>
  <si>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</si>
  <si>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</si>
  <si>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</si>
  <si>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</si>
  <si>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</si>
  <si>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</si>
  <si>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</si>
  <si>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</si>
  <si>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</si>
  <si>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</si>
  <si>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</si>
  <si>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</si>
  <si>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</si>
  <si>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</si>
  <si>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</si>
  <si>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</si>
  <si>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</si>
  <si>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</si>
  <si>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No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</si>
  <si>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</si>
  <si>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</si>
  <si>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</si>
  <si>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</si>
  <si>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</si>
  <si>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</si>
  <si>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</si>
  <si>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</si>
  <si>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</si>
  <si>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</si>
  <si>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</si>
  <si>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</si>
  <si>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</si>
  <si>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</si>
  <si>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</si>
  <si>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</si>
  <si>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</si>
  <si>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</si>
  <si>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</si>
  <si>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</si>
  <si>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}ElementAttributes_</t>
  </si>
  <si>
    <t>Related Entity</t>
  </si>
  <si>
    <t>Administration RDS - Account Template Attributes</t>
  </si>
  <si>
    <t>ME - Account Template</t>
  </si>
  <si>
    <t>Admin RDS - Account Template</t>
  </si>
  <si>
    <t>{TM1SUBSETALL( [account template] )}</t>
  </si>
  <si>
    <t>Account Template :</t>
  </si>
  <si>
    <t>ME Title</t>
  </si>
  <si>
    <t>ME Description</t>
  </si>
  <si>
    <t>ME Used</t>
  </si>
  <si>
    <t>ME TItle (ALIAS)</t>
  </si>
  <si>
    <t>Note : This screen is used to manage the Account Template attribute cube which is required for GEUS - Monthly Profiles</t>
  </si>
  <si>
    <t>Note : To search for a single entity, select a Account Template, Set Filter to Yes and Click Refresh.</t>
  </si>
  <si>
    <t>ME Used - is used as an attribute to add in the sys_ME subset required for valid account templates</t>
  </si>
  <si>
    <t>1 = active, 0 = inactive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</si>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</sst>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0" fontId="7" fillId="0" borderId="0" xfId="0" applyFont="1" applyAlignment="1">
      <alignment horizontal="left"/>
    </xf>
    <xf numFmtId="0" fontId="4" fillId="0" borderId="0" xfId="0" applyFont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48</xdr:row>
      <xdr:rowOff>19050</xdr:rowOff>
    </xdr:from>
    <xdr:to>
      <xdr:col>11</xdr:col>
      <xdr:colOff>0</xdr:colOff>
      <xdr:row>48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47625</xdr:colOff>
      <xdr:row>50</xdr:row>
      <xdr:rowOff>0</xdr:rowOff>
    </xdr:from>
    <xdr:to>
      <xdr:col>9</xdr:col>
      <xdr:colOff>628650</xdr:colOff>
      <xdr:row>50</xdr:row>
      <xdr:rowOff>247650</xdr:rowOff>
    </xdr:to>
    <xdr:sp macro="Sheet1.ExecuteAction_948a756b_25c1_4dc6_827a_6a27c4648f90" textlink="TM1HomeCAP">
      <xdr:nvSpPr>
        <xdr:cNvPr id="3" name="TM1Button_948a756b_25c1_4dc6_827a_6a27c4648f90">
          <a:extLst>
            <a:ext uri="{FF2B5EF4-FFF2-40B4-BE49-F238E27FC236}">
              <a16:creationId xmlns:a16="http://schemas.microsoft.com/office/drawing/2014/main" id="{43E6A80D-AD8F-06A3-1512-177BF2791459}"/>
            </a:ext>
          </a:extLst>
        </xdr:cNvPr>
        <xdr:cNvSpPr txBox="1"/>
      </xdr:nvSpPr>
      <xdr:spPr>
        <a:xfrm>
          <a:off x="476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70C803B-99E1-474D-926A-E3C982A969F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666750</xdr:colOff>
      <xdr:row>50</xdr:row>
      <xdr:rowOff>0</xdr:rowOff>
    </xdr:from>
    <xdr:to>
      <xdr:col>11</xdr:col>
      <xdr:colOff>0</xdr:colOff>
      <xdr:row>50</xdr:row>
      <xdr:rowOff>247650</xdr:rowOff>
    </xdr:to>
    <xdr:sp macro="Sheet1.ExecuteAction_4abf6499_7d7b_4408_85ed_6e48485e3e39" textlink="TM1HomeAdminCAP">
      <xdr:nvSpPr>
        <xdr:cNvPr id="4" name="TM1Button_4abf6499_7d7b_4408_85ed_6e48485e3e39">
          <a:extLst>
            <a:ext uri="{FF2B5EF4-FFF2-40B4-BE49-F238E27FC236}">
              <a16:creationId xmlns:a16="http://schemas.microsoft.com/office/drawing/2014/main" id="{57ADE3B7-48C8-5687-11E3-BA107479EE01}"/>
            </a:ext>
          </a:extLst>
        </xdr:cNvPr>
        <xdr:cNvSpPr txBox="1"/>
      </xdr:nvSpPr>
      <xdr:spPr>
        <a:xfrm>
          <a:off x="7239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4F4E756-9217-488D-8D9E-77BE1D38B7E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57150</xdr:colOff>
      <xdr:row>50</xdr:row>
      <xdr:rowOff>0</xdr:rowOff>
    </xdr:from>
    <xdr:to>
      <xdr:col>11</xdr:col>
      <xdr:colOff>1552575</xdr:colOff>
      <xdr:row>50</xdr:row>
      <xdr:rowOff>247650</xdr:rowOff>
    </xdr:to>
    <xdr:sp macro="Sheet1.ExecuteAction_0320645e_bbb9_40c3_9300_156d11862ef9" textlink="TM1HomeAdminRDSCAP">
      <xdr:nvSpPr>
        <xdr:cNvPr id="5" name="TM1Button_0320645e_bbb9_40c3_9300_156d11862ef9">
          <a:extLst>
            <a:ext uri="{FF2B5EF4-FFF2-40B4-BE49-F238E27FC236}">
              <a16:creationId xmlns:a16="http://schemas.microsoft.com/office/drawing/2014/main" id="{0C408B0E-00AA-E425-4F36-684C2F29D460}"/>
            </a:ext>
          </a:extLst>
        </xdr:cNvPr>
        <xdr:cNvSpPr txBox="1"/>
      </xdr:nvSpPr>
      <xdr:spPr>
        <a:xfrm>
          <a:off x="19050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A05EEE6-6456-4808-9E1C-8A8F5B0B322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657225</xdr:colOff>
      <xdr:row>49</xdr:row>
      <xdr:rowOff>28575</xdr:rowOff>
    </xdr:from>
    <xdr:to>
      <xdr:col>13</xdr:col>
      <xdr:colOff>971550</xdr:colOff>
      <xdr:row>50</xdr:row>
      <xdr:rowOff>285750</xdr:rowOff>
    </xdr:to>
    <xdr:sp macro="Sheet1.ExecuteAction_339e6375_bf54_48cf_b9b1_a1985371126d" textlink="">
      <xdr:nvSpPr>
        <xdr:cNvPr id="6" name="TM1Button_339e6375_bf54_48cf_b9b1_a1985371126d">
          <a:extLst>
            <a:ext uri="{FF2B5EF4-FFF2-40B4-BE49-F238E27FC236}">
              <a16:creationId xmlns:a16="http://schemas.microsoft.com/office/drawing/2014/main" id="{E7E960E5-9E99-C9C9-FB9B-844AA5892D15}"/>
            </a:ext>
          </a:extLst>
        </xdr:cNvPr>
        <xdr:cNvSpPr txBox="1"/>
      </xdr:nvSpPr>
      <xdr:spPr>
        <a:xfrm>
          <a:off x="104679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3448050</xdr:colOff>
      <xdr:row>50</xdr:row>
      <xdr:rowOff>0</xdr:rowOff>
    </xdr:from>
    <xdr:to>
      <xdr:col>12</xdr:col>
      <xdr:colOff>180975</xdr:colOff>
      <xdr:row>50</xdr:row>
      <xdr:rowOff>247650</xdr:rowOff>
    </xdr:to>
    <xdr:sp macro="Sheet1.ExecuteAction_fc71355d_fd53_472e_98c0_93bbeb7359a4" textlink="">
      <xdr:nvSpPr>
        <xdr:cNvPr id="7" name="TM1Button_fc71355d_fd53_472e_98c0_93bbeb7359a4">
          <a:extLst>
            <a:ext uri="{FF2B5EF4-FFF2-40B4-BE49-F238E27FC236}">
              <a16:creationId xmlns:a16="http://schemas.microsoft.com/office/drawing/2014/main" id="{3E2B3C4D-EB3A-D7F4-14DA-B7CBC6AA0922}"/>
            </a:ext>
          </a:extLst>
        </xdr:cNvPr>
        <xdr:cNvSpPr txBox="1"/>
      </xdr:nvSpPr>
      <xdr:spPr>
        <a:xfrm>
          <a:off x="52959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1600200</xdr:colOff>
      <xdr:row>50</xdr:row>
      <xdr:rowOff>0</xdr:rowOff>
    </xdr:from>
    <xdr:to>
      <xdr:col>11</xdr:col>
      <xdr:colOff>3095625</xdr:colOff>
      <xdr:row>50</xdr:row>
      <xdr:rowOff>247650</xdr:rowOff>
    </xdr:to>
    <xdr:sp macro="Sheet1.ExecuteAction_77abf76f_bf3f_462a_8abd_b9a1c88f52f5" textlink="">
      <xdr:nvSpPr>
        <xdr:cNvPr id="8" name="TM1Button_77abf76f_bf3f_462a_8abd_b9a1c88f52f5">
          <a:extLst>
            <a:ext uri="{FF2B5EF4-FFF2-40B4-BE49-F238E27FC236}">
              <a16:creationId xmlns:a16="http://schemas.microsoft.com/office/drawing/2014/main" id="{CFC114F8-94FF-A976-8593-DE6A43F19B33}"/>
            </a:ext>
          </a:extLst>
        </xdr:cNvPr>
        <xdr:cNvSpPr txBox="1"/>
      </xdr:nvSpPr>
      <xdr:spPr>
        <a:xfrm>
          <a:off x="344805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Account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62"/>
  <sheetViews>
    <sheetView showGridLines="0" showRowColHeaders="0" tabSelected="1" showOutlineSymbols="0" topLeftCell="A49" workbookViewId="0">
      <pane xSplit="11" ySplit="13" topLeftCell="L62" activePane="bottomRight" state="frozen"/>
      <selection activeCell="I49" sqref="I49"/>
      <selection pane="topRight" activeCell="L49" sqref="L49"/>
      <selection pane="bottomLeft" activeCell="I62" sqref="I62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0.7109375" customWidth="1"/>
    <col min="13" max="13" width="58.7109375" bestFit="1" customWidth="1"/>
    <col min="14" max="14" width="14.7109375" customWidth="1"/>
  </cols>
  <sheetData>
    <row r="1" spans="1:14" hidden="1" outlineLevel="1" x14ac:dyDescent="0.25">
      <c r="A1" t="s">
        <v>2</v>
      </c>
    </row>
    <row r="2" spans="1:14" hidden="1" outlineLevel="1" x14ac:dyDescent="0.25">
      <c r="A2">
        <f>0</f>
        <v>0</v>
      </c>
      <c r="J2" s="12"/>
      <c r="L2" s="17"/>
      <c r="M2" s="17"/>
      <c r="N2" s="18"/>
    </row>
    <row r="3" spans="1:14" hidden="1" outlineLevel="1" x14ac:dyDescent="0.25">
      <c r="A3">
        <f>1</f>
        <v>1</v>
      </c>
      <c r="J3" s="13"/>
      <c r="L3" s="19"/>
      <c r="M3" s="19"/>
      <c r="N3" s="20"/>
    </row>
    <row r="4" spans="1:14" hidden="1" outlineLevel="1" x14ac:dyDescent="0.25">
      <c r="A4">
        <f>2</f>
        <v>2</v>
      </c>
      <c r="J4" s="13"/>
      <c r="L4" s="19"/>
      <c r="M4" s="19"/>
      <c r="N4" s="20"/>
    </row>
    <row r="5" spans="1:14" hidden="1" outlineLevel="1" x14ac:dyDescent="0.25">
      <c r="A5">
        <f>3</f>
        <v>3</v>
      </c>
      <c r="J5" s="13"/>
      <c r="L5" s="19"/>
      <c r="M5" s="19"/>
      <c r="N5" s="20"/>
    </row>
    <row r="6" spans="1:14" hidden="1" outlineLevel="1" x14ac:dyDescent="0.25">
      <c r="A6" t="s">
        <v>0</v>
      </c>
      <c r="J6" s="13"/>
      <c r="L6" s="19"/>
      <c r="M6" s="19"/>
      <c r="N6" s="20"/>
    </row>
    <row r="7" spans="1:14" hidden="1" outlineLevel="1" x14ac:dyDescent="0.25">
      <c r="A7" t="s">
        <v>1</v>
      </c>
      <c r="J7" s="25"/>
      <c r="L7" s="21"/>
      <c r="M7" s="21"/>
      <c r="N7" s="22"/>
    </row>
    <row r="8" spans="1:14" hidden="1" outlineLevel="1" x14ac:dyDescent="0.25">
      <c r="A8" t="s">
        <v>3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30" t="s">
        <v>4</v>
      </c>
      <c r="C11" s="31"/>
      <c r="D11" s="32"/>
    </row>
    <row r="12" spans="1:14" hidden="1" outlineLevel="1" x14ac:dyDescent="0.25">
      <c r="B12" s="3" t="s">
        <v>5</v>
      </c>
      <c r="C12" s="4" t="s">
        <v>58</v>
      </c>
      <c r="D12" s="5"/>
    </row>
    <row r="13" spans="1:14" hidden="1" outlineLevel="1" x14ac:dyDescent="0.25">
      <c r="B13" s="3" t="s">
        <v>6</v>
      </c>
      <c r="C13" s="6" t="str">
        <f>_xll.VIEW(db_name&amp;":}ElementAttributes_}Clients","!","!")</f>
        <v>finance_geus:}ElementAttributes_}Clients:12642171961306357757</v>
      </c>
      <c r="D13" s="5"/>
    </row>
    <row r="14" spans="1:14" hidden="1" outlineLevel="1" x14ac:dyDescent="0.25">
      <c r="B14" s="3" t="s">
        <v>7</v>
      </c>
      <c r="C14" s="4" t="str">
        <f ca="1">_xll.TM1USER(db_name)</f>
        <v>RECALC_0_100_</v>
      </c>
      <c r="D14" s="5"/>
    </row>
    <row r="15" spans="1:14" hidden="1" outlineLevel="1" x14ac:dyDescent="0.25">
      <c r="B15" s="3" t="s">
        <v>8</v>
      </c>
      <c r="C15" s="4" t="str">
        <f ca="1">_xll.DBR($C$13,$C$14,$B15)</f>
        <v>RECALC_1_101_</v>
      </c>
      <c r="D15" s="5"/>
    </row>
    <row r="16" spans="1:14" hidden="1" outlineLevel="1" x14ac:dyDescent="0.25">
      <c r="B16" s="3" t="s">
        <v>9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10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30" t="s">
        <v>11</v>
      </c>
      <c r="C19" s="31"/>
      <c r="D19" s="32"/>
    </row>
    <row r="20" spans="2:8" hidden="1" outlineLevel="1" x14ac:dyDescent="0.25">
      <c r="B20" s="3" t="s">
        <v>12</v>
      </c>
      <c r="C20" s="7" t="str">
        <f>_xll.VIEW(db_name&amp;":}ElementAttributes_variables","!","!")</f>
        <v>finance_geus:}ElementAttributes_variables:12642171961572622095</v>
      </c>
      <c r="D20" s="7"/>
    </row>
    <row r="21" spans="2:8" hidden="1" outlineLevel="1" x14ac:dyDescent="0.25">
      <c r="B21" s="3" t="s">
        <v>13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14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15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16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17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30" t="s">
        <v>27</v>
      </c>
      <c r="C27" s="31"/>
      <c r="D27" s="32"/>
    </row>
    <row r="28" spans="2:8" hidden="1" outlineLevel="1" x14ac:dyDescent="0.25">
      <c r="B28" s="3" t="s">
        <v>28</v>
      </c>
      <c r="C28" s="7" t="str">
        <f>_xll.VIEW(db_name&amp;":sys_application","!","!")</f>
        <v>finance_geus:sys_application:1264217196-1613212421</v>
      </c>
      <c r="D28" s="7"/>
    </row>
    <row r="29" spans="2:8" hidden="1" outlineLevel="1" x14ac:dyDescent="0.25">
      <c r="B29" s="3" t="s">
        <v>29</v>
      </c>
      <c r="C29" t="s">
        <v>47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37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14" hidden="1" outlineLevel="1" x14ac:dyDescent="0.25">
      <c r="B33" s="7" t="s">
        <v>38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14" hidden="1" outlineLevel="1" x14ac:dyDescent="0.25">
      <c r="B34" s="7" t="s">
        <v>39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14" hidden="1" outlineLevel="1" x14ac:dyDescent="0.25">
      <c r="B35" s="7" t="s">
        <v>40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14" hidden="1" outlineLevel="1" x14ac:dyDescent="0.25">
      <c r="B36" s="7" t="s">
        <v>46</v>
      </c>
      <c r="C36" s="7" t="str">
        <f ca="1">_xll.DBR($C$28,$B36,C$30)</f>
        <v>RECALC_0_1177_</v>
      </c>
      <c r="D36" s="7" t="str">
        <f ca="1">_xll.DBR($C$28,$B36,D$30)</f>
        <v>RECALC_0_1176_</v>
      </c>
      <c r="E36" s="7" t="str">
        <f ca="1">_xll.DBR($C$28,$B36,E$30)</f>
        <v>RECALC_0_1175_</v>
      </c>
      <c r="F36" s="7" t="str">
        <f ca="1">_xll.DBR($C$28,$B36,F$30)</f>
        <v>RECALC_0_1174_</v>
      </c>
      <c r="G36" s="7" t="str">
        <f ca="1">_xll.DBR($C$28,$B36,G$30)</f>
        <v>RECALC_0_1173_</v>
      </c>
      <c r="H36" s="7" t="str">
        <f ca="1">_xll.DBR($C$28,$B36,H$30)</f>
        <v>RECALC_0_1172_</v>
      </c>
    </row>
    <row r="37" spans="2:14" hidden="1" outlineLevel="1" x14ac:dyDescent="0.25">
      <c r="B37" s="14" t="s">
        <v>42</v>
      </c>
      <c r="C37" s="15" t="s">
        <v>41</v>
      </c>
    </row>
    <row r="38" spans="2:14" ht="17.25" hidden="1" customHeight="1" outlineLevel="1" x14ac:dyDescent="0.25"/>
    <row r="39" spans="2:14" hidden="1" outlineLevel="1" x14ac:dyDescent="0.25">
      <c r="B39" s="30" t="s">
        <v>43</v>
      </c>
      <c r="C39" s="31"/>
      <c r="D39" s="32"/>
    </row>
    <row r="40" spans="2:14" hidden="1" outlineLevel="1" x14ac:dyDescent="0.25">
      <c r="B40" s="3" t="s">
        <v>18</v>
      </c>
      <c r="C40" s="7" t="str">
        <f>_xll.TM1RPTVIEW(db_name&amp;":}ElementAttributes_account template:1", 0,TM1RPTFMTRNG,TM1RPTFMTIDCOL)</f>
        <v>finance_geus:}ElementAttributes_account template:1</v>
      </c>
    </row>
    <row r="41" spans="2:14" hidden="1" outlineLevel="1" x14ac:dyDescent="0.25">
      <c r="B41" s="3" t="s">
        <v>19</v>
      </c>
      <c r="C41" s="7" t="str">
        <f>_xll.VIEW(db_name&amp;":}ElementAttributes_account template","!","!")</f>
        <v>finance_geus:}ElementAttributes_account template:1264217196-1972573971</v>
      </c>
    </row>
    <row r="42" spans="2:14" hidden="1" outlineLevel="1" x14ac:dyDescent="0.25">
      <c r="B42" s="3" t="s">
        <v>20</v>
      </c>
      <c r="C42" s="7" t="str">
        <f>IF($L$59="No",$C$43,$C$44)</f>
        <v>{TM1SUBSETALL( [account template] )}</v>
      </c>
      <c r="D42" s="5"/>
    </row>
    <row r="43" spans="2:14" hidden="1" outlineLevel="1" x14ac:dyDescent="0.25">
      <c r="B43" s="3" t="s">
        <v>24</v>
      </c>
      <c r="C43" s="7" t="s">
        <v>48</v>
      </c>
    </row>
    <row r="44" spans="2:14" hidden="1" outlineLevel="1" x14ac:dyDescent="0.25">
      <c r="B44" s="3" t="s">
        <v>25</v>
      </c>
      <c r="C44" s="7" t="str">
        <f ca="1">"{TM1DRILLDOWNMEMBER( {[account template].[" &amp; $L$58 &amp; "]}, ALL, RECURSIVE )}"</f>
        <v>{TM1DRILLDOWNMEMBER( {[account template].[RECALC_0_2944_]}, ALL, RECURSIVE )}</v>
      </c>
    </row>
    <row r="45" spans="2:14" hidden="1" outlineLevel="1" x14ac:dyDescent="0.25"/>
    <row r="46" spans="2:14" hidden="1" outlineLevel="1" x14ac:dyDescent="0.25">
      <c r="J46" s="1" t="s">
        <v>26</v>
      </c>
      <c r="L46" s="2" t="s">
        <v>50</v>
      </c>
      <c r="M46" s="2" t="s">
        <v>51</v>
      </c>
      <c r="N46" s="2" t="s">
        <v>52</v>
      </c>
    </row>
    <row r="47" spans="2:14" hidden="1" outlineLevel="1" x14ac:dyDescent="0.25"/>
    <row r="48" spans="2:14" hidden="1" outlineLevel="1" x14ac:dyDescent="0.25"/>
    <row r="49" spans="1:14" ht="39.75" customHeight="1" collapsed="1" x14ac:dyDescent="0.25">
      <c r="I49" s="16"/>
      <c r="J49" s="16"/>
      <c r="K49" s="16"/>
      <c r="L49" s="16"/>
      <c r="M49" s="16"/>
      <c r="N49" s="16" t="s">
        <v>45</v>
      </c>
    </row>
    <row r="50" spans="1:14" ht="4.5" customHeight="1" x14ac:dyDescent="0.25"/>
    <row r="51" spans="1:14" ht="24" customHeight="1" x14ac:dyDescent="0.25">
      <c r="J51" s="1"/>
    </row>
    <row r="52" spans="1:14" ht="1.5" customHeight="1" x14ac:dyDescent="0.25">
      <c r="I52" s="16"/>
      <c r="J52" s="16"/>
      <c r="K52" s="16"/>
      <c r="L52" s="16"/>
      <c r="M52" s="16"/>
      <c r="N52" s="16"/>
    </row>
    <row r="53" spans="1:14" x14ac:dyDescent="0.25">
      <c r="J53" s="29" t="s">
        <v>54</v>
      </c>
      <c r="K53" s="29"/>
      <c r="L53" s="29"/>
      <c r="M53" s="29"/>
    </row>
    <row r="54" spans="1:14" x14ac:dyDescent="0.25">
      <c r="J54" s="29" t="s">
        <v>55</v>
      </c>
      <c r="K54" s="29"/>
      <c r="L54" s="29"/>
      <c r="M54" s="29"/>
    </row>
    <row r="55" spans="1:14" x14ac:dyDescent="0.25">
      <c r="J55" s="26" t="s">
        <v>56</v>
      </c>
      <c r="K55" s="26"/>
      <c r="L55" s="26"/>
      <c r="M55" s="26"/>
    </row>
    <row r="56" spans="1:14" ht="5.0999999999999996" customHeight="1" x14ac:dyDescent="0.25"/>
    <row r="57" spans="1:14" x14ac:dyDescent="0.25">
      <c r="L57" s="9" t="s">
        <v>23</v>
      </c>
    </row>
    <row r="58" spans="1:14" x14ac:dyDescent="0.25">
      <c r="J58" s="8" t="s">
        <v>49</v>
      </c>
      <c r="L58" s="23" t="str">
        <f ca="1">_xll.SUBNM(db_name&amp;":account template","","Total account templates","code and description")</f>
        <v>RECALC_0_2944_</v>
      </c>
    </row>
    <row r="59" spans="1:14" x14ac:dyDescent="0.25">
      <c r="J59" s="8" t="s">
        <v>21</v>
      </c>
      <c r="L59" s="24" t="s">
        <v>22</v>
      </c>
      <c r="N59" s="27" t="s">
        <v>57</v>
      </c>
    </row>
    <row r="60" spans="1:14" ht="5.0999999999999996" customHeight="1" x14ac:dyDescent="0.25"/>
    <row r="61" spans="1:14" x14ac:dyDescent="0.25">
      <c r="J61" s="10" t="s">
        <v>44</v>
      </c>
      <c r="L61" s="11" t="s">
        <v>53</v>
      </c>
      <c r="M61" s="11" t="s">
        <v>51</v>
      </c>
      <c r="N61" s="11" t="s">
        <v>52</v>
      </c>
    </row>
    <row r="62" spans="1:14" x14ac:dyDescent="0.25">
      <c r="A62" t="e">
        <f ca="1">IF(_xll.TM1RPTELISCONSOLIDATED($J$62,$J62),IF(_xll.TM1RPTELLEV($J$62,$J62)&lt;=3,_xll.TM1RPTELLEV($J$62,$J62),"D"),"N")</f>
        <v>#VALUE!</v>
      </c>
      <c r="J62" s="28" t="str">
        <f ca="1">_xll.TM1RPTROW($C$40,db_name&amp;":account template","","","",0,$C$42)</f>
        <v>pending__sys_Admin - RDS - Account Template_20250811022912.xlsm:RDS:TM1RPTDATARNG:1</v>
      </c>
      <c r="L62" s="17" t="e">
        <f ca="1">_xll.DBRW($C$40,$J62,L$46)</f>
        <v>#VALUE!</v>
      </c>
      <c r="M62" s="17" t="e">
        <f ca="1">_xll.DBRW($C$40,$J62,M$46)</f>
        <v>#VALUE!</v>
      </c>
      <c r="N62" s="18" t="e">
        <f ca="1">_xll.DBRW($C$40,$J62,N$46)</f>
        <v>#VALUE!</v>
      </c>
    </row>
  </sheetData>
  <sheetProtection sheet="1" objects="1" scenarios="1"/>
  <mergeCells count="6">
    <mergeCell ref="J54:M54"/>
    <mergeCell ref="B11:D11"/>
    <mergeCell ref="B19:D19"/>
    <mergeCell ref="B39:D39"/>
    <mergeCell ref="B27:D27"/>
    <mergeCell ref="J53:M53"/>
  </mergeCells>
  <dataValidations count="1">
    <dataValidation type="list" allowBlank="1" showInputMessage="1" showErrorMessage="1" sqref="L59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TM1MEAccTempCAP</vt:lpstr>
      <vt:lpstr>TM1MEAccTempWB</vt:lpstr>
      <vt:lpstr>TM1MEAccTempWS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2025-08-11T02:59:20Z</dcterms:modified>
</cp:coreProperties>
</file>