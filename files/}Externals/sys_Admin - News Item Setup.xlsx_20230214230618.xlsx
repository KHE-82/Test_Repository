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Excelerated\DCCEEW\1 DCCEEW TECHNICAL\GEUS 2023 TEMPLATES\All 2023 Generic_geus templates\"/>
    </mc:Choice>
  </mc:AlternateContent>
  <xr:revisionPtr revIDLastSave="0" documentId="13_ncr:1_{A8A2FACD-EF6C-44B2-AB60-10F693576B4C}" xr6:coauthVersionLast="47" xr6:coauthVersionMax="47" xr10:uidLastSave="{00000000-0000-0000-0000-000000000000}"/>
  <bookViews>
    <workbookView xWindow="57480" yWindow="-1965" windowWidth="29040" windowHeight="15840" xr2:uid="{BC266C2D-0680-4645-9C80-2C341E2575D0}"/>
  </bookViews>
  <sheets>
    <sheet name="news" sheetId="1" r:id="rId1"/>
    <sheet name="{PL}PickLst" sheetId="3" state="hidden" r:id="rId2"/>
  </sheets>
  <definedNames>
    <definedName name="db_name">news!$C$12</definedName>
    <definedName name="psApp">news!$C$36</definedName>
    <definedName name="psHLYear">news!$C$22</definedName>
    <definedName name="psScenario">news!$C$23</definedName>
    <definedName name="psUser">news!$C$17</definedName>
    <definedName name="TM1HomeAdminCAP">news!$D$41</definedName>
    <definedName name="TM1HomeAdminRDSCAP">news!$D$42</definedName>
    <definedName name="TM1HomeAdminRDSWB">news!$F$42</definedName>
    <definedName name="TM1HomeAdminRDSWS">news!$H$42</definedName>
    <definedName name="TM1HomeAdminWB">news!$F$41</definedName>
    <definedName name="TM1HomeAdminWS">news!$H$41</definedName>
    <definedName name="TM1HomeAECAP">news!$D$39</definedName>
    <definedName name="TM1HomeAEWB">news!$F$39</definedName>
    <definedName name="TM1HomeAEWS">news!$H$39</definedName>
    <definedName name="TM1HomeCAP">news!$D$38</definedName>
    <definedName name="TM1HomeRepCAP">news!$D$40</definedName>
    <definedName name="TM1HomeRepWB">news!$F$40</definedName>
    <definedName name="TM1HomeRepWS">news!$H$40</definedName>
    <definedName name="TM1HomeUnderCAP">news!$D$43</definedName>
    <definedName name="TM1HomeUnderWB">news!$F$43</definedName>
    <definedName name="TM1HomeUnderWS">news!$H$43</definedName>
    <definedName name="TM1HomeWB">news!$F$38</definedName>
    <definedName name="TM1HomeWS">news!$H$38</definedName>
    <definedName name="TM1REBUILDOPTION">1</definedName>
    <definedName name="TM1RPTFMTIDCOL" localSheetId="0">news!$A$1:$A$8</definedName>
    <definedName name="TM1RPTFMTRNG" localSheetId="0">news!$F$1:$Q$8</definedName>
  </definedNames>
  <calcPr calcId="191029" calcMode="manual" calcCompleted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5" i="1" l="1"/>
  <c r="C20" i="1"/>
  <c r="R60" i="1"/>
  <c r="R58" i="1"/>
  <c r="R56" i="1"/>
  <c r="L60" i="1"/>
  <c r="L58" i="1"/>
  <c r="L56" i="1"/>
  <c r="O64" i="1"/>
  <c r="N64" i="1"/>
  <c r="M64" i="1"/>
  <c r="L64" i="1"/>
  <c r="H42" i="1"/>
  <c r="G42" i="1"/>
  <c r="F42" i="1"/>
  <c r="E42" i="1"/>
  <c r="D42" i="1"/>
  <c r="C42" i="1"/>
  <c r="C14" i="1"/>
  <c r="H43" i="1"/>
  <c r="G43" i="1"/>
  <c r="F43" i="1"/>
  <c r="E43" i="1"/>
  <c r="D43" i="1"/>
  <c r="C43" i="1"/>
  <c r="H41" i="1"/>
  <c r="G41" i="1"/>
  <c r="F41" i="1"/>
  <c r="E41" i="1"/>
  <c r="D41" i="1"/>
  <c r="C41" i="1"/>
  <c r="H40" i="1"/>
  <c r="G40" i="1"/>
  <c r="F40" i="1"/>
  <c r="E40" i="1"/>
  <c r="D40" i="1"/>
  <c r="C40" i="1"/>
  <c r="H39" i="1"/>
  <c r="G39" i="1"/>
  <c r="F39" i="1"/>
  <c r="E39" i="1"/>
  <c r="D39" i="1"/>
  <c r="C39" i="1"/>
  <c r="H38" i="1"/>
  <c r="G38" i="1"/>
  <c r="F38" i="1"/>
  <c r="E38" i="1"/>
  <c r="D38" i="1"/>
  <c r="C38" i="1"/>
  <c r="C17" i="1"/>
  <c r="C13" i="1"/>
  <c r="C16" i="1"/>
  <c r="C15" i="1"/>
  <c r="C28" i="1"/>
  <c r="C23" i="1"/>
  <c r="C22" i="1"/>
  <c r="C24" i="1"/>
  <c r="C25" i="1"/>
  <c r="C32" i="1"/>
  <c r="C31" i="1"/>
  <c r="C30" i="1"/>
  <c r="C29" i="1"/>
  <c r="A5" i="1"/>
  <c r="A4" i="1"/>
  <c r="A3" i="1"/>
  <c r="A2" i="1"/>
</calcChain>
</file>

<file path=xl/sharedStrings.xml><?xml version="1.0" encoding="utf-8"?>
<sst xmlns="http://schemas.openxmlformats.org/spreadsheetml/2006/main" count="61" uniqueCount="60">
  <si>
    <t>Workbook</t>
  </si>
  <si>
    <t>Worksheet</t>
  </si>
  <si>
    <t>D</t>
  </si>
  <si>
    <t>N</t>
  </si>
  <si>
    <t>[Begin Format Range]</t>
  </si>
  <si>
    <t>[End Format Range]</t>
  </si>
  <si>
    <t>Application</t>
  </si>
  <si>
    <t>Caption</t>
  </si>
  <si>
    <t>Database Variables</t>
  </si>
  <si>
    <t>Database Name</t>
  </si>
  <si>
    <t>Current User</t>
  </si>
  <si>
    <t>System Variables</t>
  </si>
  <si>
    <t>View</t>
  </si>
  <si>
    <t>headline year</t>
  </si>
  <si>
    <t>headline scenario</t>
  </si>
  <si>
    <t>archive year</t>
  </si>
  <si>
    <t>archive scenario</t>
  </si>
  <si>
    <t>Client Preference</t>
  </si>
  <si>
    <t>geus hl year</t>
  </si>
  <si>
    <t>geus scenario</t>
  </si>
  <si>
    <t>geus adj</t>
  </si>
  <si>
    <t>geus programme</t>
  </si>
  <si>
    <t>GEUS ADMINISTRATORS</t>
  </si>
  <si>
    <t>TM1 User</t>
  </si>
  <si>
    <t>}Clients</t>
  </si>
  <si>
    <t>}TM1_DefaultDisplayValue</t>
  </si>
  <si>
    <t>GEUS User Name</t>
  </si>
  <si>
    <t>Homepage - Home</t>
  </si>
  <si>
    <t>Homepage - Annual Estimates</t>
  </si>
  <si>
    <t>Homepage - Reports</t>
  </si>
  <si>
    <t>Homepage - Administration</t>
  </si>
  <si>
    <t>Homepage - Under Construction</t>
  </si>
  <si>
    <t>Caption Name</t>
  </si>
  <si>
    <t>Workbook Name</t>
  </si>
  <si>
    <t>Worksheet Name</t>
  </si>
  <si>
    <t>Excelerated Website :</t>
  </si>
  <si>
    <t>www.excelerated.com.au</t>
  </si>
  <si>
    <t>Slice View (sys_application)</t>
  </si>
  <si>
    <t>sys_clilent favourite application</t>
  </si>
  <si>
    <t>LATEST NEWS (ENTER BELOW)</t>
  </si>
  <si>
    <t>Homepage - Administration - RDS</t>
  </si>
  <si>
    <t>Current Workbook</t>
  </si>
  <si>
    <t>Admin - News Item Homepage</t>
  </si>
  <si>
    <t>IMPORTANCE</t>
  </si>
  <si>
    <t>Variable measure</t>
  </si>
  <si>
    <t>value</t>
  </si>
  <si>
    <t>importance</t>
  </si>
  <si>
    <t>sys_NewsLine01</t>
  </si>
  <si>
    <t>sys_NewsLine02</t>
  </si>
  <si>
    <t>sys_NewsLine03</t>
  </si>
  <si>
    <t>sys_GEUSAdmin01 Name</t>
  </si>
  <si>
    <t>sys_GEUSAdmin01 Contact</t>
  </si>
  <si>
    <t>sys_GEUSAdmin02 Name</t>
  </si>
  <si>
    <t>sys_GEUSAdmin02 Contact</t>
  </si>
  <si>
    <t>news</t>
  </si>
  <si>
    <t>normal</t>
  </si>
  <si>
    <t>critical</t>
  </si>
  <si>
    <t xml:space="preserve">Note : Enter the Latest News for GEUS in any of the 3 rows of line below. Change the Importance of each news to change colour. </t>
  </si>
  <si>
    <t>News item Setup</t>
  </si>
  <si>
    <t>dcceew_geus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</si>
</sst>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28"/>
      <color theme="0"/>
      <name val="Calibri"/>
      <family val="2"/>
      <scheme val="minor"/>
    </font>
    <font>
      <b/>
      <sz val="12"/>
      <color theme="0"/>
      <name val="Arial"/>
      <family val="2"/>
    </font>
    <font>
      <sz val="8"/>
      <color indexed="62"/>
      <name val="Verdana"/>
      <family val="2"/>
    </font>
    <font>
      <b/>
      <sz val="11"/>
      <color rgb="FF623A87"/>
      <name val="Arial"/>
      <family val="2"/>
    </font>
    <font>
      <u/>
      <sz val="11"/>
      <color theme="10"/>
      <name val="Calibri"/>
      <family val="2"/>
      <scheme val="minor"/>
    </font>
    <font>
      <b/>
      <sz val="12"/>
      <name val="Arial"/>
      <family val="2"/>
    </font>
    <font>
      <i/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426A"/>
        <bgColor indexed="64"/>
      </patternFill>
    </fill>
    <fill>
      <patternFill patternType="solid">
        <fgColor rgb="FF53535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2E0D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623A8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6" fillId="0" borderId="0">
      <protection locked="0"/>
    </xf>
    <xf numFmtId="0" fontId="8" fillId="0" borderId="0" applyNumberFormat="0" applyFill="0" applyBorder="0" applyAlignment="0" applyProtection="0"/>
  </cellStyleXfs>
  <cellXfs count="28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0" xfId="0" applyFont="1"/>
    <xf numFmtId="0" fontId="2" fillId="0" borderId="1" xfId="0" applyFont="1" applyBorder="1"/>
    <xf numFmtId="0" fontId="0" fillId="0" borderId="1" xfId="0" applyBorder="1" applyAlignment="1">
      <alignment horizontal="center"/>
    </xf>
    <xf numFmtId="0" fontId="0" fillId="0" borderId="4" xfId="0" applyBorder="1"/>
    <xf numFmtId="0" fontId="4" fillId="3" borderId="0" xfId="0" applyFont="1" applyFill="1" applyAlignment="1">
      <alignment horizontal="right" vertical="center"/>
    </xf>
    <xf numFmtId="0" fontId="5" fillId="4" borderId="0" xfId="1" applyFont="1" applyFill="1" applyAlignment="1" applyProtection="1">
      <alignment vertical="center"/>
    </xf>
    <xf numFmtId="0" fontId="0" fillId="5" borderId="0" xfId="0" applyFill="1"/>
    <xf numFmtId="0" fontId="0" fillId="0" borderId="1" xfId="0" applyBorder="1" applyAlignment="1">
      <alignment horizontal="left"/>
    </xf>
    <xf numFmtId="0" fontId="2" fillId="2" borderId="6" xfId="0" applyFont="1" applyFill="1" applyBorder="1"/>
    <xf numFmtId="0" fontId="2" fillId="2" borderId="7" xfId="0" applyFont="1" applyFill="1" applyBorder="1"/>
    <xf numFmtId="0" fontId="8" fillId="5" borderId="0" xfId="2" applyFill="1"/>
    <xf numFmtId="0" fontId="9" fillId="0" borderId="0" xfId="1" applyFont="1" applyAlignment="1" applyProtection="1">
      <alignment horizontal="center" vertical="center"/>
    </xf>
    <xf numFmtId="0" fontId="0" fillId="0" borderId="1" xfId="0" applyBorder="1" applyAlignment="1" applyProtection="1">
      <alignment horizontal="left" indent="1"/>
      <protection locked="0"/>
    </xf>
    <xf numFmtId="0" fontId="0" fillId="0" borderId="1" xfId="0" applyBorder="1" applyAlignment="1" applyProtection="1">
      <alignment horizontal="center"/>
      <protection locked="0"/>
    </xf>
    <xf numFmtId="0" fontId="5" fillId="4" borderId="0" xfId="1" applyFont="1" applyFill="1" applyAlignment="1" applyProtection="1">
      <alignment horizontal="left" vertical="center"/>
    </xf>
    <xf numFmtId="0" fontId="0" fillId="0" borderId="2" xfId="0" applyBorder="1" applyAlignment="1" applyProtection="1">
      <alignment horizontal="left"/>
      <protection locked="0"/>
    </xf>
    <xf numFmtId="0" fontId="0" fillId="0" borderId="3" xfId="0" applyBorder="1" applyAlignment="1" applyProtection="1">
      <alignment horizontal="left"/>
      <protection locked="0"/>
    </xf>
    <xf numFmtId="0" fontId="0" fillId="0" borderId="4" xfId="0" applyBorder="1" applyAlignment="1" applyProtection="1">
      <alignment horizontal="left"/>
      <protection locked="0"/>
    </xf>
    <xf numFmtId="0" fontId="7" fillId="6" borderId="5" xfId="0" applyFont="1" applyFill="1" applyBorder="1" applyAlignment="1">
      <alignment horizontal="left" indent="1"/>
    </xf>
    <xf numFmtId="0" fontId="3" fillId="2" borderId="1" xfId="0" applyFont="1" applyFill="1" applyBorder="1" applyAlignment="1">
      <alignment horizontal="left" indent="1"/>
    </xf>
    <xf numFmtId="0" fontId="1" fillId="0" borderId="1" xfId="0" applyFont="1" applyBorder="1" applyAlignment="1">
      <alignment horizontal="left" inden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0" fillId="0" borderId="0" xfId="0" applyFont="1" applyAlignment="1">
      <alignment horizontal="left"/>
    </xf>
  </cellXfs>
  <cellStyles count="3">
    <cellStyle name="Hyperlink" xfId="2" builtinId="8"/>
    <cellStyle name="Normal" xfId="0" builtinId="0"/>
    <cellStyle name="Normal 2" xfId="1" xr:uid="{A2B67CD9-5582-4426-A06D-CD56C372B898}"/>
  </cellStyles>
  <dxfs count="14"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theme="9" tint="-0.49998474074526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426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5.emf"/><Relationship Id="rId1" Type="http://schemas.openxmlformats.org/officeDocument/2006/relationships/image" Target="../media/image4.emf"/><Relationship Id="rId5" Type="http://schemas.openxmlformats.org/officeDocument/2006/relationships/image" Target="../media/image1.emf"/><Relationship Id="rId4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47625</xdr:colOff>
      <xdr:row>53</xdr:row>
      <xdr:rowOff>66675</xdr:rowOff>
    </xdr:from>
    <xdr:to>
      <xdr:col>15</xdr:col>
      <xdr:colOff>285236</xdr:colOff>
      <xdr:row>53</xdr:row>
      <xdr:rowOff>249855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564600" y="10401300"/>
          <a:ext cx="241421" cy="190800"/>
        </a:xfrm>
        <a:prstGeom prst="rect">
          <a:avLst/>
        </a:prstGeom>
      </xdr:spPr>
    </xdr:pic>
    <xdr:clientData/>
  </xdr:twoCellAnchor>
  <xdr:twoCellAnchor editAs="oneCell">
    <xdr:from>
      <xdr:col>14</xdr:col>
      <xdr:colOff>1021374</xdr:colOff>
      <xdr:row>61</xdr:row>
      <xdr:rowOff>7572</xdr:rowOff>
    </xdr:from>
    <xdr:to>
      <xdr:col>15</xdr:col>
      <xdr:colOff>294</xdr:colOff>
      <xdr:row>62</xdr:row>
      <xdr:rowOff>15827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919599" y="12237672"/>
          <a:ext cx="285750" cy="31115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46</xdr:row>
      <xdr:rowOff>19050</xdr:rowOff>
    </xdr:from>
    <xdr:to>
      <xdr:col>12</xdr:col>
      <xdr:colOff>114300</xdr:colOff>
      <xdr:row>46</xdr:row>
      <xdr:rowOff>472440</xdr:rowOff>
    </xdr:to>
    <xdr:pic>
      <xdr:nvPicPr>
        <xdr:cNvPr id="21" name="Picture 3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19050"/>
          <a:ext cx="180975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350520</xdr:colOff>
          <xdr:row>48</xdr:row>
          <xdr:rowOff>7620</xdr:rowOff>
        </xdr:from>
        <xdr:to>
          <xdr:col>13</xdr:col>
          <xdr:colOff>883920</xdr:colOff>
          <xdr:row>48</xdr:row>
          <xdr:rowOff>259080</xdr:rowOff>
        </xdr:to>
        <xdr:sp macro="" textlink="">
          <xdr:nvSpPr>
            <xdr:cNvPr id="1045" name="TIButton5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998220</xdr:colOff>
          <xdr:row>47</xdr:row>
          <xdr:rowOff>30480</xdr:rowOff>
        </xdr:from>
        <xdr:to>
          <xdr:col>18</xdr:col>
          <xdr:colOff>1181100</xdr:colOff>
          <xdr:row>48</xdr:row>
          <xdr:rowOff>152400</xdr:rowOff>
        </xdr:to>
        <xdr:sp macro="" textlink="">
          <xdr:nvSpPr>
            <xdr:cNvPr id="1047" name="TIButton1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7620</xdr:colOff>
          <xdr:row>48</xdr:row>
          <xdr:rowOff>7620</xdr:rowOff>
        </xdr:from>
        <xdr:to>
          <xdr:col>11</xdr:col>
          <xdr:colOff>266700</xdr:colOff>
          <xdr:row>48</xdr:row>
          <xdr:rowOff>259080</xdr:rowOff>
        </xdr:to>
        <xdr:sp macro="" textlink="">
          <xdr:nvSpPr>
            <xdr:cNvPr id="1048" name="TIButton3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121920</xdr:colOff>
          <xdr:row>48</xdr:row>
          <xdr:rowOff>7620</xdr:rowOff>
        </xdr:from>
        <xdr:to>
          <xdr:col>13</xdr:col>
          <xdr:colOff>312420</xdr:colOff>
          <xdr:row>48</xdr:row>
          <xdr:rowOff>259080</xdr:rowOff>
        </xdr:to>
        <xdr:sp macro="" textlink="">
          <xdr:nvSpPr>
            <xdr:cNvPr id="1049" name="TIButton2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289560</xdr:colOff>
          <xdr:row>48</xdr:row>
          <xdr:rowOff>7620</xdr:rowOff>
        </xdr:from>
        <xdr:to>
          <xdr:col>12</xdr:col>
          <xdr:colOff>99060</xdr:colOff>
          <xdr:row>48</xdr:row>
          <xdr:rowOff>259080</xdr:rowOff>
        </xdr:to>
        <xdr:sp macro="" textlink="">
          <xdr:nvSpPr>
            <xdr:cNvPr id="1050" name="TIButton4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emf"/><Relationship Id="rId13" Type="http://schemas.openxmlformats.org/officeDocument/2006/relationships/control" Target="../activeX/activeX5.xml"/><Relationship Id="rId3" Type="http://schemas.openxmlformats.org/officeDocument/2006/relationships/drawing" Target="../drawings/drawing1.xml"/><Relationship Id="rId7" Type="http://schemas.openxmlformats.org/officeDocument/2006/relationships/control" Target="../activeX/activeX2.xml"/><Relationship Id="rId12" Type="http://schemas.openxmlformats.org/officeDocument/2006/relationships/image" Target="../media/image4.emf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excelerated.com.au/" TargetMode="External"/><Relationship Id="rId6" Type="http://schemas.openxmlformats.org/officeDocument/2006/relationships/image" Target="../media/image1.emf"/><Relationship Id="rId11" Type="http://schemas.openxmlformats.org/officeDocument/2006/relationships/control" Target="../activeX/activeX4.xml"/><Relationship Id="rId5" Type="http://schemas.openxmlformats.org/officeDocument/2006/relationships/control" Target="../activeX/activeX1.xml"/><Relationship Id="rId10" Type="http://schemas.openxmlformats.org/officeDocument/2006/relationships/image" Target="../media/image3.emf"/><Relationship Id="rId4" Type="http://schemas.openxmlformats.org/officeDocument/2006/relationships/vmlDrawing" Target="../drawings/vmlDrawing1.vml"/><Relationship Id="rId9" Type="http://schemas.openxmlformats.org/officeDocument/2006/relationships/control" Target="../activeX/activeX3.xml"/><Relationship Id="rId14" Type="http://schemas.openxmlformats.org/officeDocument/2006/relationships/image" Target="../media/image5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EFCA4-A2A2-4967-A916-C33A6C7354C5}">
  <sheetPr codeName="Sheet1">
    <outlinePr showOutlineSymbols="0"/>
  </sheetPr>
  <dimension ref="A1:S67"/>
  <sheetViews>
    <sheetView showGridLines="0" showRowColHeaders="0" tabSelected="1" showOutlineSymbols="0" topLeftCell="J47" workbookViewId="0"/>
  </sheetViews>
  <sheetFormatPr defaultRowHeight="14.4" outlineLevelRow="1" outlineLevelCol="1" x14ac:dyDescent="0.3"/>
  <cols>
    <col min="1" max="1" width="5.6640625" hidden="1" customWidth="1" outlineLevel="1"/>
    <col min="2" max="4" width="20.33203125" hidden="1" customWidth="1" outlineLevel="1"/>
    <col min="5" max="5" width="22.88671875" hidden="1" customWidth="1" outlineLevel="1"/>
    <col min="6" max="6" width="21.6640625" hidden="1" customWidth="1" outlineLevel="1"/>
    <col min="7" max="7" width="20.109375" hidden="1" customWidth="1" outlineLevel="1"/>
    <col min="8" max="8" width="13.44140625" hidden="1" customWidth="1" outlineLevel="1"/>
    <col min="9" max="9" width="12.44140625" hidden="1" customWidth="1" outlineLevel="1"/>
    <col min="10" max="10" width="0.88671875" customWidth="1" collapsed="1"/>
    <col min="11" max="11" width="5.6640625" customWidth="1"/>
    <col min="12" max="15" width="19.6640625" customWidth="1"/>
    <col min="16" max="16" width="5.6640625" customWidth="1"/>
    <col min="17" max="17" width="1.6640625" customWidth="1"/>
    <col min="18" max="19" width="19.6640625" customWidth="1"/>
  </cols>
  <sheetData>
    <row r="1" spans="1:16" hidden="1" outlineLevel="1" x14ac:dyDescent="0.3">
      <c r="A1" t="s">
        <v>4</v>
      </c>
    </row>
    <row r="2" spans="1:16" hidden="1" outlineLevel="1" x14ac:dyDescent="0.3">
      <c r="A2">
        <f>0</f>
        <v>0</v>
      </c>
      <c r="F2" s="1"/>
      <c r="G2" s="2"/>
      <c r="H2" s="2"/>
      <c r="I2" s="3"/>
      <c r="K2" s="22"/>
      <c r="L2" s="22"/>
      <c r="M2" s="23"/>
      <c r="N2" s="23"/>
      <c r="O2" s="23"/>
      <c r="P2" s="23"/>
    </row>
    <row r="3" spans="1:16" hidden="1" outlineLevel="1" x14ac:dyDescent="0.3">
      <c r="A3">
        <f>1</f>
        <v>1</v>
      </c>
      <c r="F3" s="1"/>
      <c r="G3" s="2"/>
      <c r="H3" s="2"/>
      <c r="I3" s="3"/>
      <c r="K3" s="22"/>
      <c r="L3" s="22"/>
      <c r="M3" s="23"/>
      <c r="N3" s="23"/>
      <c r="O3" s="23"/>
      <c r="P3" s="23"/>
    </row>
    <row r="4" spans="1:16" hidden="1" outlineLevel="1" x14ac:dyDescent="0.3">
      <c r="A4">
        <f>2</f>
        <v>2</v>
      </c>
      <c r="F4" s="1"/>
      <c r="G4" s="2"/>
      <c r="H4" s="2"/>
      <c r="I4" s="3"/>
      <c r="K4" s="22"/>
      <c r="L4" s="22"/>
      <c r="M4" s="23"/>
      <c r="N4" s="23"/>
      <c r="O4" s="23"/>
      <c r="P4" s="23"/>
    </row>
    <row r="5" spans="1:16" hidden="1" outlineLevel="1" x14ac:dyDescent="0.3">
      <c r="A5">
        <f>3</f>
        <v>3</v>
      </c>
      <c r="F5" s="1"/>
      <c r="G5" s="2"/>
      <c r="H5" s="2"/>
      <c r="I5" s="3"/>
      <c r="K5" s="22"/>
      <c r="L5" s="22"/>
      <c r="M5" s="23"/>
      <c r="N5" s="23"/>
      <c r="O5" s="23"/>
      <c r="P5" s="23"/>
    </row>
    <row r="6" spans="1:16" hidden="1" outlineLevel="1" x14ac:dyDescent="0.3">
      <c r="A6" t="s">
        <v>2</v>
      </c>
      <c r="F6" s="1"/>
      <c r="G6" s="2"/>
      <c r="H6" s="2"/>
      <c r="I6" s="3"/>
      <c r="K6" s="22"/>
      <c r="L6" s="22"/>
      <c r="M6" s="23"/>
      <c r="N6" s="23"/>
      <c r="O6" s="23"/>
      <c r="P6" s="23"/>
    </row>
    <row r="7" spans="1:16" hidden="1" outlineLevel="1" x14ac:dyDescent="0.3">
      <c r="A7" t="s">
        <v>3</v>
      </c>
      <c r="F7" s="1"/>
      <c r="G7" s="2"/>
      <c r="H7" s="2"/>
      <c r="I7" s="3"/>
      <c r="K7" s="22"/>
      <c r="L7" s="22"/>
      <c r="M7" s="23"/>
      <c r="N7" s="23"/>
      <c r="O7" s="23"/>
      <c r="P7" s="23"/>
    </row>
    <row r="8" spans="1:16" hidden="1" outlineLevel="1" x14ac:dyDescent="0.3">
      <c r="A8" t="s">
        <v>5</v>
      </c>
    </row>
    <row r="9" spans="1:16" hidden="1" outlineLevel="1" x14ac:dyDescent="0.3"/>
    <row r="10" spans="1:16" hidden="1" outlineLevel="1" x14ac:dyDescent="0.3"/>
    <row r="11" spans="1:16" hidden="1" outlineLevel="1" x14ac:dyDescent="0.3">
      <c r="B11" s="24" t="s">
        <v>8</v>
      </c>
      <c r="C11" s="25"/>
      <c r="D11" s="26"/>
    </row>
    <row r="12" spans="1:16" hidden="1" outlineLevel="1" x14ac:dyDescent="0.3">
      <c r="B12" s="4" t="s">
        <v>9</v>
      </c>
      <c r="C12" s="5" t="s">
        <v>59</v>
      </c>
      <c r="D12" s="6"/>
    </row>
    <row r="13" spans="1:16" hidden="1" outlineLevel="1" x14ac:dyDescent="0.3">
      <c r="B13" s="4" t="s">
        <v>24</v>
      </c>
      <c r="C13" s="10" t="str">
        <f ca="1">_xll.VIEW(db_name&amp;":}ElementAttributes_}Clients","!","!")</f>
        <v>dcceew_geus:}ElementAttributes_}Clients</v>
      </c>
      <c r="D13" s="6"/>
    </row>
    <row r="14" spans="1:16" hidden="1" outlineLevel="1" x14ac:dyDescent="0.3">
      <c r="B14" s="4" t="s">
        <v>23</v>
      </c>
      <c r="C14" s="5" t="str">
        <f ca="1">_xll.TM1USER(db_name)</f>
        <v/>
      </c>
      <c r="D14" s="6"/>
    </row>
    <row r="15" spans="1:16" hidden="1" outlineLevel="1" x14ac:dyDescent="0.3">
      <c r="B15" s="4" t="s">
        <v>25</v>
      </c>
      <c r="C15" s="5" t="str">
        <f ca="1">_xll.DBR($C$13,$C$14,$B15)</f>
        <v>*KEY_ERR</v>
      </c>
      <c r="D15" s="6"/>
    </row>
    <row r="16" spans="1:16" hidden="1" outlineLevel="1" x14ac:dyDescent="0.3">
      <c r="B16" s="4" t="s">
        <v>26</v>
      </c>
      <c r="C16" s="5" t="str">
        <f ca="1">_xll.DBR($C$13,$C$14,$B16)</f>
        <v>*KEY_ERR</v>
      </c>
      <c r="D16" s="6"/>
    </row>
    <row r="17" spans="2:4" hidden="1" outlineLevel="1" x14ac:dyDescent="0.3">
      <c r="B17" s="4" t="s">
        <v>10</v>
      </c>
      <c r="C17" s="5" t="str">
        <f ca="1">IF(LEFT($C$14,6)="CAM_AD",$C$15,$C$14)</f>
        <v/>
      </c>
      <c r="D17" s="1"/>
    </row>
    <row r="18" spans="2:4" hidden="1" outlineLevel="1" x14ac:dyDescent="0.3"/>
    <row r="19" spans="2:4" hidden="1" outlineLevel="1" x14ac:dyDescent="0.3">
      <c r="B19" s="24" t="s">
        <v>11</v>
      </c>
      <c r="C19" s="25"/>
      <c r="D19" s="26"/>
    </row>
    <row r="20" spans="2:4" hidden="1" outlineLevel="1" x14ac:dyDescent="0.3">
      <c r="B20" s="4" t="s">
        <v>12</v>
      </c>
      <c r="C20" s="1" t="str">
        <f ca="1">_xll.VIEW(db_name&amp;":}ElementAttributes_variables","!","!")</f>
        <v>dcceew_geus:}ElementAttributes_variables</v>
      </c>
      <c r="D20" s="1"/>
    </row>
    <row r="21" spans="2:4" hidden="1" outlineLevel="1" x14ac:dyDescent="0.3">
      <c r="B21" s="4" t="s">
        <v>44</v>
      </c>
      <c r="C21" s="1" t="s">
        <v>45</v>
      </c>
      <c r="D21" s="1" t="s">
        <v>46</v>
      </c>
    </row>
    <row r="22" spans="2:4" hidden="1" outlineLevel="1" x14ac:dyDescent="0.3">
      <c r="B22" s="4" t="s">
        <v>13</v>
      </c>
      <c r="C22" s="1" t="str">
        <f ca="1">_xll.DBR($C$20,$B22,"value")</f>
        <v>*KEY_ERR</v>
      </c>
      <c r="D22" s="1"/>
    </row>
    <row r="23" spans="2:4" hidden="1" outlineLevel="1" x14ac:dyDescent="0.3">
      <c r="B23" s="4" t="s">
        <v>14</v>
      </c>
      <c r="C23" s="1" t="str">
        <f ca="1">_xll.DBR($C$20,$B23,"value")</f>
        <v>*KEY_ERR</v>
      </c>
      <c r="D23" s="1"/>
    </row>
    <row r="24" spans="2:4" hidden="1" outlineLevel="1" x14ac:dyDescent="0.3">
      <c r="B24" s="4" t="s">
        <v>15</v>
      </c>
      <c r="C24" s="1" t="str">
        <f ca="1">_xll.DBR($C$20,$B24,"value")</f>
        <v>*KEY_ERR</v>
      </c>
      <c r="D24" s="1"/>
    </row>
    <row r="25" spans="2:4" hidden="1" outlineLevel="1" x14ac:dyDescent="0.3">
      <c r="B25" s="4" t="s">
        <v>16</v>
      </c>
      <c r="C25" s="1" t="str">
        <f ca="1">_xll.DBR($C$20,$B25,"value")</f>
        <v>*KEY_ERR</v>
      </c>
      <c r="D25" s="1"/>
    </row>
    <row r="26" spans="2:4" hidden="1" outlineLevel="1" x14ac:dyDescent="0.3"/>
    <row r="27" spans="2:4" hidden="1" outlineLevel="1" x14ac:dyDescent="0.3">
      <c r="B27" s="24" t="s">
        <v>17</v>
      </c>
      <c r="C27" s="25"/>
      <c r="D27" s="26"/>
    </row>
    <row r="28" spans="2:4" hidden="1" outlineLevel="1" x14ac:dyDescent="0.3">
      <c r="B28" s="4" t="s">
        <v>12</v>
      </c>
      <c r="C28" s="1" t="str">
        <f ca="1">_xll.VIEW(db_name&amp;":sys_client preference","!","!","!")</f>
        <v>dcceew_geus:sys_client preference</v>
      </c>
      <c r="D28" s="1"/>
    </row>
    <row r="29" spans="2:4" hidden="1" outlineLevel="1" x14ac:dyDescent="0.3">
      <c r="B29" s="4" t="s">
        <v>18</v>
      </c>
      <c r="C29" s="1" t="str">
        <f ca="1">_xll.DBR($C$28,psUser,$B29,"value")</f>
        <v>*KEY_ERR</v>
      </c>
      <c r="D29" s="1"/>
    </row>
    <row r="30" spans="2:4" hidden="1" outlineLevel="1" x14ac:dyDescent="0.3">
      <c r="B30" s="4" t="s">
        <v>19</v>
      </c>
      <c r="C30" s="1" t="str">
        <f ca="1">_xll.DBR($C$28,psUser,$B30,"value")</f>
        <v>*KEY_ERR</v>
      </c>
      <c r="D30" s="1"/>
    </row>
    <row r="31" spans="2:4" hidden="1" outlineLevel="1" x14ac:dyDescent="0.3">
      <c r="B31" s="4" t="s">
        <v>20</v>
      </c>
      <c r="C31" s="1" t="str">
        <f ca="1">_xll.DBR($C$28,psUser,$B31,"value")</f>
        <v>*KEY_ERR</v>
      </c>
      <c r="D31" s="1"/>
    </row>
    <row r="32" spans="2:4" hidden="1" outlineLevel="1" x14ac:dyDescent="0.3">
      <c r="B32" s="4" t="s">
        <v>21</v>
      </c>
      <c r="C32" s="1" t="str">
        <f ca="1">_xll.DBR($C$28,psUser,$B32,"value")</f>
        <v>*KEY_ERR</v>
      </c>
      <c r="D32" s="1"/>
    </row>
    <row r="33" spans="2:19" hidden="1" outlineLevel="1" x14ac:dyDescent="0.3"/>
    <row r="34" spans="2:19" hidden="1" outlineLevel="1" x14ac:dyDescent="0.3">
      <c r="B34" s="24" t="s">
        <v>38</v>
      </c>
      <c r="C34" s="25"/>
      <c r="D34" s="26"/>
    </row>
    <row r="35" spans="2:19" hidden="1" outlineLevel="1" x14ac:dyDescent="0.3">
      <c r="B35" s="1" t="s">
        <v>37</v>
      </c>
      <c r="C35" s="1" t="str">
        <f ca="1">_xll.VIEW(db_name&amp;":sys_application","!","!")</f>
        <v>dcceew_geus:sys_application</v>
      </c>
      <c r="D35" s="1"/>
    </row>
    <row r="36" spans="2:19" hidden="1" outlineLevel="1" x14ac:dyDescent="0.3">
      <c r="B36" s="4" t="s">
        <v>41</v>
      </c>
      <c r="C36" t="s">
        <v>42</v>
      </c>
    </row>
    <row r="37" spans="2:19" hidden="1" outlineLevel="1" x14ac:dyDescent="0.3">
      <c r="B37" s="12" t="s">
        <v>6</v>
      </c>
      <c r="C37" s="11" t="s">
        <v>32</v>
      </c>
      <c r="D37" s="11" t="s">
        <v>7</v>
      </c>
      <c r="E37" s="11" t="s">
        <v>33</v>
      </c>
      <c r="F37" s="11" t="s">
        <v>0</v>
      </c>
      <c r="G37" s="11" t="s">
        <v>34</v>
      </c>
      <c r="H37" s="11" t="s">
        <v>1</v>
      </c>
    </row>
    <row r="38" spans="2:19" hidden="1" outlineLevel="1" x14ac:dyDescent="0.3">
      <c r="B38" s="1" t="s">
        <v>27</v>
      </c>
      <c r="C38" s="1" t="str">
        <f ca="1">_xll.DBR($C$35,$B38,C$37)</f>
        <v>*KEY_ERR</v>
      </c>
      <c r="D38" s="1" t="str">
        <f ca="1">_xll.DBR($C$35,$B38,D$37)</f>
        <v>*KEY_ERR</v>
      </c>
      <c r="E38" s="1" t="str">
        <f ca="1">_xll.DBR($C$35,$B38,E$37)</f>
        <v>*KEY_ERR</v>
      </c>
      <c r="F38" s="1" t="str">
        <f ca="1">_xll.DBR($C$35,$B38,F$37)</f>
        <v>*KEY_ERR</v>
      </c>
      <c r="G38" s="1" t="str">
        <f ca="1">_xll.DBR($C$35,$B38,G$37)</f>
        <v>*KEY_ERR</v>
      </c>
      <c r="H38" s="1" t="str">
        <f ca="1">_xll.DBR($C$35,$B38,H$37)</f>
        <v>*KEY_ERR</v>
      </c>
    </row>
    <row r="39" spans="2:19" hidden="1" outlineLevel="1" x14ac:dyDescent="0.3">
      <c r="B39" s="1" t="s">
        <v>28</v>
      </c>
      <c r="C39" s="1" t="str">
        <f ca="1">_xll.DBR($C$35,$B39,C$37)</f>
        <v>*KEY_ERR</v>
      </c>
      <c r="D39" s="1" t="str">
        <f ca="1">_xll.DBR($C$35,$B39,D$37)</f>
        <v>*KEY_ERR</v>
      </c>
      <c r="E39" s="1" t="str">
        <f ca="1">_xll.DBR($C$35,$B39,E$37)</f>
        <v>*KEY_ERR</v>
      </c>
      <c r="F39" s="1" t="str">
        <f ca="1">_xll.DBR($C$35,$B39,F$37)</f>
        <v>*KEY_ERR</v>
      </c>
      <c r="G39" s="1" t="str">
        <f ca="1">_xll.DBR($C$35,$B39,G$37)</f>
        <v>*KEY_ERR</v>
      </c>
      <c r="H39" s="1" t="str">
        <f ca="1">_xll.DBR($C$35,$B39,H$37)</f>
        <v>*KEY_ERR</v>
      </c>
    </row>
    <row r="40" spans="2:19" hidden="1" outlineLevel="1" x14ac:dyDescent="0.3">
      <c r="B40" s="1" t="s">
        <v>29</v>
      </c>
      <c r="C40" s="1" t="str">
        <f ca="1">_xll.DBR($C$35,$B40,C$37)</f>
        <v>*KEY_ERR</v>
      </c>
      <c r="D40" s="1" t="str">
        <f ca="1">_xll.DBR($C$35,$B40,D$37)</f>
        <v>*KEY_ERR</v>
      </c>
      <c r="E40" s="1" t="str">
        <f ca="1">_xll.DBR($C$35,$B40,E$37)</f>
        <v>*KEY_ERR</v>
      </c>
      <c r="F40" s="1" t="str">
        <f ca="1">_xll.DBR($C$35,$B40,F$37)</f>
        <v>*KEY_ERR</v>
      </c>
      <c r="G40" s="1" t="str">
        <f ca="1">_xll.DBR($C$35,$B40,G$37)</f>
        <v>*KEY_ERR</v>
      </c>
      <c r="H40" s="1" t="str">
        <f ca="1">_xll.DBR($C$35,$B40,H$37)</f>
        <v>*KEY_ERR</v>
      </c>
    </row>
    <row r="41" spans="2:19" hidden="1" outlineLevel="1" x14ac:dyDescent="0.3">
      <c r="B41" s="1" t="s">
        <v>30</v>
      </c>
      <c r="C41" s="1" t="str">
        <f ca="1">_xll.DBR($C$35,$B41,C$37)</f>
        <v>*KEY_ERR</v>
      </c>
      <c r="D41" s="1" t="str">
        <f ca="1">_xll.DBR($C$35,$B41,D$37)</f>
        <v>*KEY_ERR</v>
      </c>
      <c r="E41" s="1" t="str">
        <f ca="1">_xll.DBR($C$35,$B41,E$37)</f>
        <v>*KEY_ERR</v>
      </c>
      <c r="F41" s="1" t="str">
        <f ca="1">_xll.DBR($C$35,$B41,F$37)</f>
        <v>*KEY_ERR</v>
      </c>
      <c r="G41" s="1" t="str">
        <f ca="1">_xll.DBR($C$35,$B41,G$37)</f>
        <v>*KEY_ERR</v>
      </c>
      <c r="H41" s="1" t="str">
        <f ca="1">_xll.DBR($C$35,$B41,H$37)</f>
        <v>*KEY_ERR</v>
      </c>
    </row>
    <row r="42" spans="2:19" hidden="1" outlineLevel="1" x14ac:dyDescent="0.3">
      <c r="B42" s="1" t="s">
        <v>40</v>
      </c>
      <c r="C42" s="1" t="str">
        <f ca="1">_xll.DBR($C$35,$B42,C$37)</f>
        <v>*KEY_ERR</v>
      </c>
      <c r="D42" s="1" t="str">
        <f ca="1">_xll.DBR($C$35,$B42,D$37)</f>
        <v>*KEY_ERR</v>
      </c>
      <c r="E42" s="1" t="str">
        <f ca="1">_xll.DBR($C$35,$B42,E$37)</f>
        <v>*KEY_ERR</v>
      </c>
      <c r="F42" s="1" t="str">
        <f ca="1">_xll.DBR($C$35,$B42,F$37)</f>
        <v>*KEY_ERR</v>
      </c>
      <c r="G42" s="1" t="str">
        <f ca="1">_xll.DBR($C$35,$B42,G$37)</f>
        <v>*KEY_ERR</v>
      </c>
      <c r="H42" s="1" t="str">
        <f ca="1">_xll.DBR($C$35,$B42,H$37)</f>
        <v>*KEY_ERR</v>
      </c>
    </row>
    <row r="43" spans="2:19" hidden="1" outlineLevel="1" x14ac:dyDescent="0.3">
      <c r="B43" s="1" t="s">
        <v>31</v>
      </c>
      <c r="C43" s="1" t="str">
        <f ca="1">_xll.DBR($C$35,$B43,C$37)</f>
        <v>*KEY_ERR</v>
      </c>
      <c r="D43" s="1" t="str">
        <f ca="1">_xll.DBR($C$35,$B43,D$37)</f>
        <v>*KEY_ERR</v>
      </c>
      <c r="E43" s="1" t="str">
        <f ca="1">_xll.DBR($C$35,$B43,E$37)</f>
        <v>*KEY_ERR</v>
      </c>
      <c r="F43" s="1" t="str">
        <f ca="1">_xll.DBR($C$35,$B43,F$37)</f>
        <v>*KEY_ERR</v>
      </c>
      <c r="G43" s="1" t="str">
        <f ca="1">_xll.DBR($C$35,$B43,G$37)</f>
        <v>*KEY_ERR</v>
      </c>
      <c r="H43" s="1" t="str">
        <f ca="1">_xll.DBR($C$35,$B43,H$37)</f>
        <v>*KEY_ERR</v>
      </c>
    </row>
    <row r="44" spans="2:19" hidden="1" outlineLevel="1" x14ac:dyDescent="0.3"/>
    <row r="45" spans="2:19" hidden="1" outlineLevel="1" x14ac:dyDescent="0.3"/>
    <row r="46" spans="2:19" hidden="1" outlineLevel="1" x14ac:dyDescent="0.3"/>
    <row r="47" spans="2:19" ht="39.75" customHeight="1" collapsed="1" x14ac:dyDescent="0.3">
      <c r="J47" s="7"/>
      <c r="K47" s="7"/>
      <c r="L47" s="7"/>
      <c r="M47" s="7"/>
      <c r="N47" s="7"/>
      <c r="O47" s="7"/>
      <c r="P47" s="7"/>
      <c r="Q47" s="7"/>
      <c r="R47" s="7"/>
      <c r="S47" s="7" t="s">
        <v>58</v>
      </c>
    </row>
    <row r="48" spans="2:19" ht="4.5" customHeight="1" x14ac:dyDescent="0.3"/>
    <row r="49" spans="4:19" ht="24" customHeight="1" x14ac:dyDescent="0.3"/>
    <row r="50" spans="4:19" ht="1.5" customHeight="1" x14ac:dyDescent="0.3">
      <c r="J50" s="7"/>
      <c r="K50" s="7"/>
      <c r="L50" s="7"/>
      <c r="M50" s="7"/>
      <c r="N50" s="7"/>
      <c r="O50" s="7"/>
      <c r="P50" s="7"/>
      <c r="Q50" s="7"/>
      <c r="R50" s="7"/>
      <c r="S50" s="7"/>
    </row>
    <row r="51" spans="4:19" ht="4.5" customHeight="1" x14ac:dyDescent="0.3"/>
    <row r="52" spans="4:19" x14ac:dyDescent="0.3">
      <c r="K52" s="27" t="s">
        <v>57</v>
      </c>
      <c r="L52" s="27"/>
      <c r="M52" s="27"/>
      <c r="N52" s="27"/>
      <c r="O52" s="27"/>
      <c r="P52" s="27"/>
      <c r="Q52" s="27"/>
      <c r="R52" s="27"/>
      <c r="S52" s="27"/>
    </row>
    <row r="53" spans="4:19" ht="4.5" customHeight="1" x14ac:dyDescent="0.3"/>
    <row r="54" spans="4:19" ht="24.75" customHeight="1" x14ac:dyDescent="0.3">
      <c r="J54" s="8"/>
      <c r="K54" s="8"/>
      <c r="L54" s="17" t="s">
        <v>39</v>
      </c>
      <c r="M54" s="17"/>
      <c r="N54" s="17"/>
      <c r="O54" s="17"/>
      <c r="P54" s="8"/>
      <c r="R54" s="14" t="s">
        <v>43</v>
      </c>
    </row>
    <row r="55" spans="4:19" ht="4.5" customHeight="1" x14ac:dyDescent="0.3">
      <c r="J55" s="9"/>
      <c r="K55" s="9"/>
      <c r="L55" s="9"/>
      <c r="M55" s="9"/>
      <c r="N55" s="9"/>
      <c r="O55" s="9"/>
      <c r="P55" s="9"/>
    </row>
    <row r="56" spans="4:19" ht="19.5" customHeight="1" x14ac:dyDescent="0.3">
      <c r="G56" t="s">
        <v>47</v>
      </c>
      <c r="J56" s="9"/>
      <c r="K56" s="9"/>
      <c r="L56" s="18" t="str">
        <f ca="1">_xll.DBR($C$20,$G56,$C$21)</f>
        <v>*KEY_ERR</v>
      </c>
      <c r="M56" s="19"/>
      <c r="N56" s="19"/>
      <c r="O56" s="20"/>
      <c r="P56" s="9"/>
      <c r="R56" s="5" t="str">
        <f ca="1">_xll.DBR($C$20,$G56,$D$21)</f>
        <v>*KEY_ERR</v>
      </c>
    </row>
    <row r="57" spans="4:19" ht="4.5" customHeight="1" x14ac:dyDescent="0.3">
      <c r="J57" s="9"/>
      <c r="K57" s="9"/>
      <c r="P57" s="9"/>
    </row>
    <row r="58" spans="4:19" ht="19.5" customHeight="1" x14ac:dyDescent="0.3">
      <c r="G58" t="s">
        <v>48</v>
      </c>
      <c r="J58" s="9"/>
      <c r="K58" s="9"/>
      <c r="L58" s="18" t="str">
        <f ca="1">_xll.DBR($C$20,$G58,$C$21)</f>
        <v>*KEY_ERR</v>
      </c>
      <c r="M58" s="19"/>
      <c r="N58" s="19"/>
      <c r="O58" s="20"/>
      <c r="P58" s="9"/>
      <c r="R58" s="5" t="str">
        <f ca="1">_xll.DBR($C$20,$G58,$D$21)</f>
        <v>*KEY_ERR</v>
      </c>
    </row>
    <row r="59" spans="4:19" ht="4.5" customHeight="1" x14ac:dyDescent="0.3">
      <c r="J59" s="9"/>
      <c r="K59" s="9"/>
      <c r="P59" s="9"/>
    </row>
    <row r="60" spans="4:19" ht="19.5" customHeight="1" x14ac:dyDescent="0.3">
      <c r="G60" t="s">
        <v>49</v>
      </c>
      <c r="J60" s="9"/>
      <c r="K60" s="9"/>
      <c r="L60" s="18" t="str">
        <f ca="1">_xll.DBR($C$20,$G60,$C$21)</f>
        <v>*KEY_ERR</v>
      </c>
      <c r="M60" s="19"/>
      <c r="N60" s="19"/>
      <c r="O60" s="20"/>
      <c r="P60" s="9"/>
      <c r="R60" s="5" t="str">
        <f ca="1">_xll.DBR($C$20,$G60,$D$21)</f>
        <v>*KEY_ERR</v>
      </c>
    </row>
    <row r="61" spans="4:19" ht="4.5" customHeight="1" x14ac:dyDescent="0.3">
      <c r="J61" s="9"/>
      <c r="K61" s="9"/>
      <c r="L61" s="9"/>
      <c r="M61" s="9"/>
      <c r="N61" s="9"/>
      <c r="O61" s="9"/>
      <c r="P61" s="9"/>
    </row>
    <row r="62" spans="4:19" ht="24.9" customHeight="1" x14ac:dyDescent="0.3">
      <c r="J62" s="9"/>
      <c r="K62" s="9"/>
      <c r="L62" s="21" t="s">
        <v>22</v>
      </c>
      <c r="M62" s="21"/>
      <c r="N62" s="21"/>
      <c r="O62" s="21"/>
      <c r="P62" s="9"/>
    </row>
    <row r="63" spans="4:19" x14ac:dyDescent="0.3">
      <c r="J63" s="9"/>
      <c r="K63" s="9"/>
      <c r="L63" s="9"/>
      <c r="M63" s="9"/>
      <c r="N63" s="9"/>
      <c r="O63" s="9"/>
      <c r="P63" s="9"/>
    </row>
    <row r="64" spans="4:19" x14ac:dyDescent="0.3">
      <c r="D64" t="s">
        <v>50</v>
      </c>
      <c r="E64" t="s">
        <v>51</v>
      </c>
      <c r="F64" t="s">
        <v>52</v>
      </c>
      <c r="G64" t="s">
        <v>53</v>
      </c>
      <c r="J64" s="9"/>
      <c r="K64" s="9"/>
      <c r="L64" s="15" t="str">
        <f ca="1">_xll.DBR($C$20,$D$64,$C$21)</f>
        <v>*KEY_ERR</v>
      </c>
      <c r="M64" s="16" t="str">
        <f ca="1">_xll.DBR($C$20,$E$64,$C$21)</f>
        <v>*KEY_ERR</v>
      </c>
      <c r="N64" s="15" t="str">
        <f ca="1">_xll.DBR($C$20,$F$64,$C$21)</f>
        <v>*KEY_ERR</v>
      </c>
      <c r="O64" s="16" t="str">
        <f ca="1">_xll.DBR($C$20,$G$64,$C$21)</f>
        <v>*KEY_ERR</v>
      </c>
      <c r="P64" s="9"/>
    </row>
    <row r="65" spans="10:16" ht="4.5" customHeight="1" x14ac:dyDescent="0.3">
      <c r="J65" s="9"/>
      <c r="K65" s="9"/>
      <c r="L65" s="9"/>
      <c r="M65" s="9"/>
      <c r="N65" s="9"/>
      <c r="O65" s="9"/>
      <c r="P65" s="9"/>
    </row>
    <row r="66" spans="10:16" x14ac:dyDescent="0.3">
      <c r="J66" s="9"/>
      <c r="K66" s="9"/>
      <c r="L66" s="9" t="s">
        <v>35</v>
      </c>
      <c r="M66" s="13" t="s">
        <v>36</v>
      </c>
      <c r="N66" s="9"/>
      <c r="O66" s="9"/>
      <c r="P66" s="9"/>
    </row>
    <row r="67" spans="10:16" ht="4.5" customHeight="1" x14ac:dyDescent="0.3">
      <c r="J67" s="9"/>
      <c r="K67" s="9"/>
      <c r="L67" s="9"/>
      <c r="M67" s="9"/>
      <c r="N67" s="9"/>
      <c r="O67" s="9"/>
      <c r="P67" s="9"/>
    </row>
  </sheetData>
  <sheetProtection sheet="1" objects="1" scenarios="1"/>
  <mergeCells count="22">
    <mergeCell ref="B19:D19"/>
    <mergeCell ref="B27:D27"/>
    <mergeCell ref="B34:D34"/>
    <mergeCell ref="K52:S52"/>
    <mergeCell ref="M6:P6"/>
    <mergeCell ref="K6:L6"/>
    <mergeCell ref="K7:L7"/>
    <mergeCell ref="M7:P7"/>
    <mergeCell ref="B11:D11"/>
    <mergeCell ref="K2:L2"/>
    <mergeCell ref="K3:L3"/>
    <mergeCell ref="K4:L4"/>
    <mergeCell ref="K5:L5"/>
    <mergeCell ref="M2:P2"/>
    <mergeCell ref="M3:P3"/>
    <mergeCell ref="M4:P4"/>
    <mergeCell ref="M5:P5"/>
    <mergeCell ref="L54:O54"/>
    <mergeCell ref="L56:O56"/>
    <mergeCell ref="L58:O58"/>
    <mergeCell ref="L60:O60"/>
    <mergeCell ref="L62:O62"/>
  </mergeCells>
  <conditionalFormatting sqref="K54:P54">
    <cfRule type="expression" dxfId="13" priority="14">
      <formula>#REF!="gbms-reporting"</formula>
    </cfRule>
  </conditionalFormatting>
  <conditionalFormatting sqref="J54">
    <cfRule type="expression" dxfId="12" priority="13">
      <formula>#REF!="gbms-reporting"</formula>
    </cfRule>
  </conditionalFormatting>
  <conditionalFormatting sqref="L56:O56">
    <cfRule type="expression" dxfId="11" priority="11">
      <formula>$R56="critical"</formula>
    </cfRule>
    <cfRule type="expression" dxfId="10" priority="12">
      <formula>$R56="news"</formula>
    </cfRule>
  </conditionalFormatting>
  <conditionalFormatting sqref="L58:O58">
    <cfRule type="expression" dxfId="9" priority="9">
      <formula>$R58="critical"</formula>
    </cfRule>
    <cfRule type="expression" dxfId="8" priority="10">
      <formula>$R58="news"</formula>
    </cfRule>
  </conditionalFormatting>
  <conditionalFormatting sqref="L60:O60">
    <cfRule type="expression" dxfId="7" priority="7">
      <formula>$R60="critical"</formula>
    </cfRule>
    <cfRule type="expression" dxfId="6" priority="8">
      <formula>$R60="news"</formula>
    </cfRule>
  </conditionalFormatting>
  <conditionalFormatting sqref="R56">
    <cfRule type="cellIs" dxfId="5" priority="5" operator="equal">
      <formula>"critical"</formula>
    </cfRule>
    <cfRule type="cellIs" dxfId="4" priority="6" operator="equal">
      <formula>"news"</formula>
    </cfRule>
  </conditionalFormatting>
  <conditionalFormatting sqref="R58">
    <cfRule type="cellIs" dxfId="3" priority="3" operator="equal">
      <formula>"critical"</formula>
    </cfRule>
    <cfRule type="cellIs" dxfId="2" priority="4" operator="equal">
      <formula>"news"</formula>
    </cfRule>
  </conditionalFormatting>
  <conditionalFormatting sqref="R60">
    <cfRule type="cellIs" dxfId="1" priority="1" operator="equal">
      <formula>"critical"</formula>
    </cfRule>
    <cfRule type="cellIs" dxfId="0" priority="2" operator="equal">
      <formula>"news"</formula>
    </cfRule>
  </conditionalFormatting>
  <hyperlinks>
    <hyperlink ref="M66" r:id="rId1" xr:uid="{589EA0A1-F37A-47A0-AA26-3B25408B197E}"/>
  </hyperlinks>
  <pageMargins left="0.7" right="0.7" top="0.75" bottom="0.75" header="0.3" footer="0.3"/>
  <pageSetup paperSize="9" orientation="portrait" r:id="rId2"/>
  <drawing r:id="rId3"/>
  <legacyDrawing r:id="rId4"/>
  <controls>
    <mc:AlternateContent xmlns:mc="http://schemas.openxmlformats.org/markup-compatibility/2006">
      <mc:Choice Requires="x14">
        <control shapeId="1050" r:id="rId5" name="TIButton4">
          <controlPr defaultSize="0" print="0" autoLine="0" r:id="rId6">
            <anchor moveWithCells="1" sizeWithCells="1">
              <from>
                <xdr:col>11</xdr:col>
                <xdr:colOff>289560</xdr:colOff>
                <xdr:row>48</xdr:row>
                <xdr:rowOff>7620</xdr:rowOff>
              </from>
              <to>
                <xdr:col>12</xdr:col>
                <xdr:colOff>99060</xdr:colOff>
                <xdr:row>48</xdr:row>
                <xdr:rowOff>259080</xdr:rowOff>
              </to>
            </anchor>
          </controlPr>
        </control>
      </mc:Choice>
      <mc:Fallback>
        <control shapeId="1050" r:id="rId5" name="TIButton4"/>
      </mc:Fallback>
    </mc:AlternateContent>
    <mc:AlternateContent xmlns:mc="http://schemas.openxmlformats.org/markup-compatibility/2006">
      <mc:Choice Requires="x14">
        <control shapeId="1049" r:id="rId7" name="TIButton2">
          <controlPr defaultSize="0" print="0" autoLine="0" r:id="rId8">
            <anchor moveWithCells="1" sizeWithCells="1">
              <from>
                <xdr:col>12</xdr:col>
                <xdr:colOff>121920</xdr:colOff>
                <xdr:row>48</xdr:row>
                <xdr:rowOff>7620</xdr:rowOff>
              </from>
              <to>
                <xdr:col>13</xdr:col>
                <xdr:colOff>312420</xdr:colOff>
                <xdr:row>48</xdr:row>
                <xdr:rowOff>259080</xdr:rowOff>
              </to>
            </anchor>
          </controlPr>
        </control>
      </mc:Choice>
      <mc:Fallback>
        <control shapeId="1049" r:id="rId7" name="TIButton2"/>
      </mc:Fallback>
    </mc:AlternateContent>
    <mc:AlternateContent xmlns:mc="http://schemas.openxmlformats.org/markup-compatibility/2006">
      <mc:Choice Requires="x14">
        <control shapeId="1048" r:id="rId9" name="TIButton3">
          <controlPr defaultSize="0" print="0" autoLine="0" r:id="rId10">
            <anchor moveWithCells="1" sizeWithCells="1">
              <from>
                <xdr:col>10</xdr:col>
                <xdr:colOff>7620</xdr:colOff>
                <xdr:row>48</xdr:row>
                <xdr:rowOff>7620</xdr:rowOff>
              </from>
              <to>
                <xdr:col>11</xdr:col>
                <xdr:colOff>266700</xdr:colOff>
                <xdr:row>48</xdr:row>
                <xdr:rowOff>259080</xdr:rowOff>
              </to>
            </anchor>
          </controlPr>
        </control>
      </mc:Choice>
      <mc:Fallback>
        <control shapeId="1048" r:id="rId9" name="TIButton3"/>
      </mc:Fallback>
    </mc:AlternateContent>
    <mc:AlternateContent xmlns:mc="http://schemas.openxmlformats.org/markup-compatibility/2006">
      <mc:Choice Requires="x14">
        <control shapeId="1045" r:id="rId11" name="TIButton5">
          <controlPr defaultSize="0" print="0" autoLine="0" r:id="rId12">
            <anchor moveWithCells="1" sizeWithCells="1">
              <from>
                <xdr:col>13</xdr:col>
                <xdr:colOff>350520</xdr:colOff>
                <xdr:row>48</xdr:row>
                <xdr:rowOff>7620</xdr:rowOff>
              </from>
              <to>
                <xdr:col>13</xdr:col>
                <xdr:colOff>883920</xdr:colOff>
                <xdr:row>48</xdr:row>
                <xdr:rowOff>259080</xdr:rowOff>
              </to>
            </anchor>
          </controlPr>
        </control>
      </mc:Choice>
      <mc:Fallback>
        <control shapeId="1045" r:id="rId11" name="TIButton5"/>
      </mc:Fallback>
    </mc:AlternateContent>
    <mc:AlternateContent xmlns:mc="http://schemas.openxmlformats.org/markup-compatibility/2006">
      <mc:Choice Requires="x14">
        <control shapeId="1047" r:id="rId13" name="TIButton1">
          <controlPr defaultSize="0" print="0" autoLine="0" r:id="rId14">
            <anchor moveWithCells="1" sizeWithCells="1">
              <from>
                <xdr:col>18</xdr:col>
                <xdr:colOff>998220</xdr:colOff>
                <xdr:row>47</xdr:row>
                <xdr:rowOff>30480</xdr:rowOff>
              </from>
              <to>
                <xdr:col>18</xdr:col>
                <xdr:colOff>1181100</xdr:colOff>
                <xdr:row>48</xdr:row>
                <xdr:rowOff>152400</xdr:rowOff>
              </to>
            </anchor>
          </controlPr>
        </control>
      </mc:Choice>
      <mc:Fallback>
        <control shapeId="1047" r:id="rId13" name="TIButton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5E93B-A736-48F0-AB52-76639E1BC7E5}">
  <sheetPr codeName="Sheet3"/>
  <dimension ref="A1:A3"/>
  <sheetViews>
    <sheetView workbookViewId="0"/>
  </sheetViews>
  <sheetFormatPr defaultRowHeight="14.4" x14ac:dyDescent="0.3"/>
  <sheetData>
    <row r="1" spans="1:1" x14ac:dyDescent="0.3">
      <c r="A1" t="s">
        <v>55</v>
      </c>
    </row>
    <row r="2" spans="1:1" x14ac:dyDescent="0.3">
      <c r="A2" t="s">
        <v>54</v>
      </c>
    </row>
    <row r="3" spans="1:1" x14ac:dyDescent="0.3">
      <c r="A3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25</vt:i4>
      </vt:variant>
    </vt:vector>
  </HeadingPairs>
  <TitlesOfParts>
    <vt:vector size="27" baseType="lpstr">
      <vt:lpstr>news</vt:lpstr>
      <vt:lpstr>{PL}PickLst</vt:lpstr>
      <vt:lpstr>db_name</vt:lpstr>
      <vt:lpstr>psApp</vt:lpstr>
      <vt:lpstr>psHLYear</vt:lpstr>
      <vt:lpstr>psScenario</vt:lpstr>
      <vt:lpstr>psUser</vt:lpstr>
      <vt:lpstr>TM1HomeAdminCAP</vt:lpstr>
      <vt:lpstr>TM1HomeAdminRDSCAP</vt:lpstr>
      <vt:lpstr>TM1HomeAdminRDSWB</vt:lpstr>
      <vt:lpstr>TM1HomeAdminRDSWS</vt:lpstr>
      <vt:lpstr>TM1HomeAdminWB</vt:lpstr>
      <vt:lpstr>TM1HomeAdminWS</vt:lpstr>
      <vt:lpstr>TM1HomeAECAP</vt:lpstr>
      <vt:lpstr>TM1HomeAEWB</vt:lpstr>
      <vt:lpstr>TM1HomeAEWS</vt:lpstr>
      <vt:lpstr>TM1HomeCAP</vt:lpstr>
      <vt:lpstr>TM1HomeRepCAP</vt:lpstr>
      <vt:lpstr>TM1HomeRepWB</vt:lpstr>
      <vt:lpstr>TM1HomeRepWS</vt:lpstr>
      <vt:lpstr>TM1HomeUnderCAP</vt:lpstr>
      <vt:lpstr>TM1HomeUnderWB</vt:lpstr>
      <vt:lpstr>TM1HomeUnderWS</vt:lpstr>
      <vt:lpstr>TM1HomeWB</vt:lpstr>
      <vt:lpstr>TM1HomeWS</vt:lpstr>
      <vt:lpstr>news!TM1RPTFMTIDCOL</vt:lpstr>
      <vt:lpstr>news!TM1RPTFMTRNG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Khristian Gimena</dc:creator>
  <cp:lastModifiedBy>blooyen</cp:lastModifiedBy>
  <dcterms:created xsi:type="dcterms:W3CDTF">2018-10-30T00:46:04Z</dcterms:created>
  <dcterms:modified xsi:type="dcterms:W3CDTF">2023-02-14T22:33:41Z</dcterms:modified>
</cp:coreProperties>
</file>