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DB420AD-35A0-4595-AEDB-8B0845B17AE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Freeze_Here">Menu!$A$58</definedName>
    <definedName name="home">Menu!$G$28</definedName>
    <definedName name="Menu">Menu!$G$29</definedName>
    <definedName name="psHLYear">Menu!$C$11</definedName>
    <definedName name="psScenario">Menu!$C$12</definedName>
    <definedName name="psUser">Menu!$C$7</definedName>
    <definedName name="TM1AnalRptARTRecoCAP">Menu!$D$42</definedName>
    <definedName name="TM1AnalRptARTRecoWB">Menu!$F$42</definedName>
    <definedName name="TM1AnalRptARTRecoWS">Menu!$H$42</definedName>
    <definedName name="TM1AnalRptCSVExportRptCAP">Menu!$D$44</definedName>
    <definedName name="TM1AnalRptCSVExportRptWB">Menu!$F$44</definedName>
    <definedName name="TM1AnalRptCSVExportRptWS">Menu!$H$44</definedName>
    <definedName name="TM1AnalRptDashboardCAP">Menu!$D$41</definedName>
    <definedName name="TM1AnalRptDashboardWB">Menu!$F$41</definedName>
    <definedName name="TM1AnalRptDashboardWS">Menu!$H$41</definedName>
    <definedName name="TM1AnalRptExportToCSVCAP">Menu!$D$43</definedName>
    <definedName name="TM1AnalRptExportToCSVWB">Menu!$F$43</definedName>
    <definedName name="TM1AnalRptExportToCSVWS">Menu!$H$43</definedName>
    <definedName name="TM1AnalRptPinksCap">Menu!$D$46</definedName>
    <definedName name="TM1AnalRptPinksWB">Menu!$F$46</definedName>
    <definedName name="TM1AnalRptPinksWS">Menu!$H$46</definedName>
    <definedName name="TM1AnalRptRecoCAP">Menu!$D$40</definedName>
    <definedName name="TM1AnalRptRecoWB">Menu!$F$40</definedName>
    <definedName name="TM1AnalRptRecoWS">Menu!$H$40</definedName>
    <definedName name="TM1AnalRptRepAdjRecoCAP">Menu!$D$38</definedName>
    <definedName name="TM1AnalRptRepAdjRecoWB">Menu!$F$38</definedName>
    <definedName name="TM1AnalRptRepAdjRecoWS">Menu!$H$38</definedName>
    <definedName name="TM1AnalRptRepStageMaintCAP">Menu!$D$39</definedName>
    <definedName name="TM1AnalRptRepStageMaintWB">Menu!$F$39</definedName>
    <definedName name="TM1AnalRptRepStageMaintWS">Menu!$H$39</definedName>
    <definedName name="TM1AnalRptScenCompCAP">Menu!$D$45</definedName>
    <definedName name="TM1AnalRptScenCompWB">Menu!$F$45</definedName>
    <definedName name="TM1AnalRptScenCompWS">Menu!$H$45</definedName>
    <definedName name="TM1AnalRptTransCAP">Menu!$D$37</definedName>
    <definedName name="TM1AnalRptTransWB">Menu!$F$37</definedName>
    <definedName name="TM1AnalRptTransWS">Menu!$H$37</definedName>
    <definedName name="TM1HomeAdminCAP">Menu!$D$35</definedName>
    <definedName name="TM1HomeAdminWB">Menu!$F$35</definedName>
    <definedName name="TM1HomeAdminWS">Menu!$H$35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AdditionalCAP">Menu!$D$34</definedName>
    <definedName name="TM1HomeRepAdditionalWB">Menu!$F$34</definedName>
    <definedName name="TM1HomeRepAdditionalWS">Menu!$H$34</definedName>
    <definedName name="TM1HomeRepAnalyticalCAP">Menu!$D$33</definedName>
    <definedName name="TM1HomeRepAnalyticalWB">Menu!$F$33</definedName>
    <definedName name="TM1HomeRepAnalyticalWS">Menu!$H$33</definedName>
    <definedName name="TM1HomeRepCAP">Menu!$D$30</definedName>
    <definedName name="TM1HomeRepOtherCAP">Menu!$D$32</definedName>
    <definedName name="TM1HomeRepOtherWB">Menu!$F$32</definedName>
    <definedName name="TM1HomeRepOtherWS">Menu!$H$32</definedName>
    <definedName name="TM1HomeRepPFSCAP">Menu!$D$31</definedName>
    <definedName name="TM1HomeRepPFSWB">Menu!$F$31</definedName>
    <definedName name="TM1HomeRepPFSWS">Menu!$H$31</definedName>
    <definedName name="TM1HomeRepWB">Menu!$F$30</definedName>
    <definedName name="TM1HomeRepWS">Menu!$H$30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PICKLIST">#REF!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 a="1"/>
  <c r="C3" i="1"/>
  <c r="C4" i="1" a="1"/>
  <c r="C4" i="1"/>
  <c r="C5" i="1" a="1"/>
  <c r="C5" i="1"/>
  <c r="W57" i="1"/>
  <c r="C26" i="1" a="1"/>
  <c r="C26" i="1"/>
  <c r="D44" i="1" a="1"/>
  <c r="D44" i="1"/>
  <c r="C44" i="1" a="1"/>
  <c r="C44" i="1"/>
  <c r="H44" i="1" a="1"/>
  <c r="H44" i="1"/>
  <c r="G44" i="1" a="1"/>
  <c r="G44" i="1"/>
  <c r="F44" i="1" a="1"/>
  <c r="F44" i="1"/>
  <c r="E44" i="1" a="1"/>
  <c r="E44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46" i="1"/>
  <c r="G46" i="1"/>
  <c r="F46" i="1"/>
  <c r="E46" i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D46" i="1" a="1"/>
  <c r="D46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8" i="1" a="1"/>
  <c r="C18" i="1"/>
  <c r="C7" i="1"/>
  <c r="C22" i="1" a="1"/>
  <c r="C22" i="1"/>
  <c r="C21" i="1" a="1"/>
  <c r="C21" i="1"/>
  <c r="C20" i="1" a="1"/>
  <c r="C20" i="1"/>
  <c r="C19" i="1" a="1"/>
  <c r="C19" i="1"/>
  <c r="C10" i="1" a="1"/>
  <c r="C10" i="1"/>
  <c r="C14" i="1" a="1"/>
  <c r="C14" i="1"/>
  <c r="C13" i="1" a="1"/>
  <c r="C13" i="1"/>
  <c r="C12" i="1" a="1"/>
  <c r="C12" i="1"/>
  <c r="C11" i="1" a="1"/>
  <c r="C11" i="1"/>
  <c r="C6" i="1" a="1"/>
  <c r="C6" i="1"/>
  <c r="K95" i="1"/>
  <c r="C15" i="1"/>
  <c r="K59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<sst xmlns="http://schemas.openxmlformats.org/spreadsheetml/2006/main" count="54" uniqueCount="51">
  <si>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</si>
  <si>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</si>
  <si>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</si>
  <si>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</si>
  <si>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</si>
  <si>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</si>
  <si>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</si>
  <si>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</si>
  <si>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</si>
  <si>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</si>
  <si>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</si>
  <si>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</si>
  <si>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</si>
  <si>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</si>
  <si>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</si>
  <si>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</si>
  <si>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</si>
  <si>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</si>
  <si>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</si>
  <si>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</si>
  <si>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</si>
  <si>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</si>
  <si>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</si>
  <si>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</si>
  <si>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</si>
  <si>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</si>
  <si>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</si>
  <si>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</si>
  <si>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</si>
  <si>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</si>
  <si>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</si>
  <si>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</si>
  <si>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</si>
  <si>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</si>
  <si>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REPORTS</t>
  </si>
  <si>
    <t>Homepage - Reports - PFS</t>
  </si>
  <si>
    <t>Homepage - Reports - Other</t>
  </si>
  <si>
    <t>Homepage - Reports - Analytical</t>
  </si>
  <si>
    <t>ANALYTICAL REPORTS MENU</t>
  </si>
  <si>
    <t>Analytical Reports - Transaction Listing</t>
  </si>
  <si>
    <t>Analytical Reports - Reporting Cube and AE Adj Reconciliation</t>
  </si>
  <si>
    <t>Analytical Reports - Reporting Stage Maintenance</t>
  </si>
  <si>
    <t>Analytical Reports - Validations and Reconciliation</t>
  </si>
  <si>
    <t>Analytical Reports - Dashboard Reporting</t>
  </si>
  <si>
    <t>Analytical Reports - Agency Resourcing Table Reconciliation</t>
  </si>
  <si>
    <t>Analytical Reports - Export To CSV</t>
  </si>
  <si>
    <t>Analytical Reports - Scenario Comparison</t>
  </si>
  <si>
    <t>Analytical Reports - DVA Pinks Report</t>
  </si>
  <si>
    <t>Homepage - Reports - Additional</t>
  </si>
  <si>
    <t>Analytical Reports - CSV Data Extract - Report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</si>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</sst>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58</xdr:row>
      <xdr:rowOff>55686</xdr:rowOff>
    </xdr:from>
    <xdr:to>
      <xdr:col>22</xdr:col>
      <xdr:colOff>210100</xdr:colOff>
      <xdr:row>58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63</xdr:row>
      <xdr:rowOff>57150</xdr:rowOff>
    </xdr:from>
    <xdr:to>
      <xdr:col>15</xdr:col>
      <xdr:colOff>307716</xdr:colOff>
      <xdr:row>63</xdr:row>
      <xdr:rowOff>243840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63</xdr:row>
      <xdr:rowOff>66675</xdr:rowOff>
    </xdr:from>
    <xdr:to>
      <xdr:col>22</xdr:col>
      <xdr:colOff>285236</xdr:colOff>
      <xdr:row>63</xdr:row>
      <xdr:rowOff>249855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28575</xdr:rowOff>
    </xdr:from>
    <xdr:to>
      <xdr:col>12</xdr:col>
      <xdr:colOff>53340</xdr:colOff>
      <xdr:row>56</xdr:row>
      <xdr:rowOff>478155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63</xdr:row>
      <xdr:rowOff>66675</xdr:rowOff>
    </xdr:from>
    <xdr:to>
      <xdr:col>22</xdr:col>
      <xdr:colOff>285236</xdr:colOff>
      <xdr:row>63</xdr:row>
      <xdr:rowOff>249855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38100</xdr:colOff>
      <xdr:row>63</xdr:row>
      <xdr:rowOff>287656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66900" cy="186690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64</xdr:row>
      <xdr:rowOff>47625</xdr:rowOff>
    </xdr:from>
    <xdr:to>
      <xdr:col>14</xdr:col>
      <xdr:colOff>752475</xdr:colOff>
      <xdr:row>67</xdr:row>
      <xdr:rowOff>0</xdr:rowOff>
    </xdr:to>
    <xdr:sp macro="Sheet1.ExecuteAction_e4f53675_24c0_481a_b84f_73dde165658d" textlink="TM1HomeRepPFSCAP">
      <xdr:nvSpPr>
        <xdr:cNvPr id="2" name="TM1Button_e4f53675_24c0_481a_b84f_73dde165658d">
          <a:extLst>
            <a:ext uri="{FF2B5EF4-FFF2-40B4-BE49-F238E27FC236}">
              <a16:creationId xmlns:a16="http://schemas.microsoft.com/office/drawing/2014/main" id="{80FE52BF-550C-4CB1-58D7-04826ABF0097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4C4BF27-C575-427E-8460-41424777F06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67</xdr:row>
      <xdr:rowOff>47625</xdr:rowOff>
    </xdr:from>
    <xdr:to>
      <xdr:col>21</xdr:col>
      <xdr:colOff>1038225</xdr:colOff>
      <xdr:row>69</xdr:row>
      <xdr:rowOff>57150</xdr:rowOff>
    </xdr:to>
    <xdr:sp macro="Sheet1.ExecuteAction_0f3e96be_4309_494f_91d7_7530cb8de64b" textlink="">
      <xdr:nvSpPr>
        <xdr:cNvPr id="3" name="TM1Button_0f3e96be_4309_494f_91d7_7530cb8de64b">
          <a:extLst>
            <a:ext uri="{FF2B5EF4-FFF2-40B4-BE49-F238E27FC236}">
              <a16:creationId xmlns:a16="http://schemas.microsoft.com/office/drawing/2014/main" id="{52AA806B-41A2-39D7-D982-7A9F293956FE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Validations and Reconciliations</a:t>
          </a:r>
        </a:p>
      </xdr:txBody>
    </xdr:sp>
    <xdr:clientData/>
  </xdr:twoCellAnchor>
  <xdr:twoCellAnchor editAs="oneCell">
    <xdr:from>
      <xdr:col>18</xdr:col>
      <xdr:colOff>285750</xdr:colOff>
      <xdr:row>69</xdr:row>
      <xdr:rowOff>104775</xdr:rowOff>
    </xdr:from>
    <xdr:to>
      <xdr:col>21</xdr:col>
      <xdr:colOff>1038225</xdr:colOff>
      <xdr:row>71</xdr:row>
      <xdr:rowOff>114300</xdr:rowOff>
    </xdr:to>
    <xdr:sp macro="Sheet1.ExecuteAction_b44e53e7_c9cd_4501_b2ac_d603ee8fdaa7" textlink="">
      <xdr:nvSpPr>
        <xdr:cNvPr id="4" name="TM1Button_b44e53e7_c9cd_4501_b2ac_d603ee8fdaa7">
          <a:extLst>
            <a:ext uri="{FF2B5EF4-FFF2-40B4-BE49-F238E27FC236}">
              <a16:creationId xmlns:a16="http://schemas.microsoft.com/office/drawing/2014/main" id="{43CB50DF-4F9F-55C0-A2F6-6C55DB3F0D2D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Extract To CSV</a:t>
          </a:r>
        </a:p>
      </xdr:txBody>
    </xdr:sp>
    <xdr:clientData/>
  </xdr:twoCellAnchor>
  <xdr:twoCellAnchor editAs="oneCell">
    <xdr:from>
      <xdr:col>18</xdr:col>
      <xdr:colOff>285750</xdr:colOff>
      <xdr:row>71</xdr:row>
      <xdr:rowOff>161925</xdr:rowOff>
    </xdr:from>
    <xdr:to>
      <xdr:col>21</xdr:col>
      <xdr:colOff>1038225</xdr:colOff>
      <xdr:row>73</xdr:row>
      <xdr:rowOff>38100</xdr:rowOff>
    </xdr:to>
    <xdr:sp macro="Sheet1.ExecuteAction_e62b2bfa_2b63_493a_b479_25b35c85ae4d" textlink="">
      <xdr:nvSpPr>
        <xdr:cNvPr id="5" name="TM1Button_e62b2bfa_2b63_493a_b479_25b35c85ae4d">
          <a:extLst>
            <a:ext uri="{FF2B5EF4-FFF2-40B4-BE49-F238E27FC236}">
              <a16:creationId xmlns:a16="http://schemas.microsoft.com/office/drawing/2014/main" id="{DB3C39E6-FE07-0B97-7A79-AE5FA81ACEBC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AE Reporting and AE Adjustment Reconciliation</a:t>
          </a:r>
        </a:p>
      </xdr:txBody>
    </xdr:sp>
    <xdr:clientData/>
  </xdr:twoCellAnchor>
  <xdr:twoCellAnchor editAs="oneCell">
    <xdr:from>
      <xdr:col>18</xdr:col>
      <xdr:colOff>285750</xdr:colOff>
      <xdr:row>73</xdr:row>
      <xdr:rowOff>85725</xdr:rowOff>
    </xdr:from>
    <xdr:to>
      <xdr:col>21</xdr:col>
      <xdr:colOff>1038225</xdr:colOff>
      <xdr:row>75</xdr:row>
      <xdr:rowOff>152400</xdr:rowOff>
    </xdr:to>
    <xdr:sp macro="Sheet1.ExecuteAction_6b247689_b82a_43af_970f_bf42950e2f2e" textlink="">
      <xdr:nvSpPr>
        <xdr:cNvPr id="6" name="TM1Button_6b247689_b82a_43af_970f_bf42950e2f2e">
          <a:extLst>
            <a:ext uri="{FF2B5EF4-FFF2-40B4-BE49-F238E27FC236}">
              <a16:creationId xmlns:a16="http://schemas.microsoft.com/office/drawing/2014/main" id="{5320673C-FF95-8BE6-7FF3-35767F9CEDD1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Reporting Stage Maintenance</a:t>
          </a:r>
        </a:p>
      </xdr:txBody>
    </xdr:sp>
    <xdr:clientData/>
  </xdr:twoCellAnchor>
  <xdr:twoCellAnchor editAs="oneCell">
    <xdr:from>
      <xdr:col>18</xdr:col>
      <xdr:colOff>285750</xdr:colOff>
      <xdr:row>76</xdr:row>
      <xdr:rowOff>9525</xdr:rowOff>
    </xdr:from>
    <xdr:to>
      <xdr:col>21</xdr:col>
      <xdr:colOff>1038225</xdr:colOff>
      <xdr:row>79</xdr:row>
      <xdr:rowOff>19050</xdr:rowOff>
    </xdr:to>
    <xdr:sp macro="Sheet1.ExecuteAction_b32ea237_0ee9_411f_8b15_9358e420116b" textlink="">
      <xdr:nvSpPr>
        <xdr:cNvPr id="7" name="TM1Button_b32ea237_0ee9_411f_8b15_9358e420116b">
          <a:extLst>
            <a:ext uri="{FF2B5EF4-FFF2-40B4-BE49-F238E27FC236}">
              <a16:creationId xmlns:a16="http://schemas.microsoft.com/office/drawing/2014/main" id="{24C189EA-AB13-8F94-7996-4B5A5D0D5CAA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Compare Scenario Report</a:t>
          </a:r>
        </a:p>
      </xdr:txBody>
    </xdr:sp>
    <xdr:clientData/>
  </xdr:twoCellAnchor>
  <xdr:twoCellAnchor editAs="oneCell">
    <xdr:from>
      <xdr:col>10</xdr:col>
      <xdr:colOff>361950</xdr:colOff>
      <xdr:row>71</xdr:row>
      <xdr:rowOff>180975</xdr:rowOff>
    </xdr:from>
    <xdr:to>
      <xdr:col>14</xdr:col>
      <xdr:colOff>733425</xdr:colOff>
      <xdr:row>73</xdr:row>
      <xdr:rowOff>57150</xdr:rowOff>
    </xdr:to>
    <xdr:sp macro="Sheet1.ExecuteAction_60420ed7_4f66_4464_8716_6fffbbc0586e" textlink="TM1HomeRepAdditionalCAP">
      <xdr:nvSpPr>
        <xdr:cNvPr id="8" name="TM1Button_60420ed7_4f66_4464_8716_6fffbbc0586e">
          <a:extLst>
            <a:ext uri="{FF2B5EF4-FFF2-40B4-BE49-F238E27FC236}">
              <a16:creationId xmlns:a16="http://schemas.microsoft.com/office/drawing/2014/main" id="{803F13B7-AE5F-8AD1-8E84-B46B0ABE02F7}"/>
            </a:ext>
          </a:extLst>
        </xdr:cNvPr>
        <xdr:cNvSpPr txBox="1"/>
      </xdr:nvSpPr>
      <xdr:spPr>
        <a:xfrm>
          <a:off x="419100" y="3038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F37D737-FD57-4664-ADB5-CD4B3155D7C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67</xdr:row>
      <xdr:rowOff>47625</xdr:rowOff>
    </xdr:from>
    <xdr:to>
      <xdr:col>14</xdr:col>
      <xdr:colOff>752475</xdr:colOff>
      <xdr:row>69</xdr:row>
      <xdr:rowOff>57150</xdr:rowOff>
    </xdr:to>
    <xdr:sp macro="Sheet1.ExecuteAction_fdb381e8_3e80_412e_abc9_35a13cc607be" textlink="TM1HomeRepOtherCAP">
      <xdr:nvSpPr>
        <xdr:cNvPr id="10" name="TM1Button_fdb381e8_3e80_412e_abc9_35a13cc607be">
          <a:extLst>
            <a:ext uri="{FF2B5EF4-FFF2-40B4-BE49-F238E27FC236}">
              <a16:creationId xmlns:a16="http://schemas.microsoft.com/office/drawing/2014/main" id="{6120CF17-DAC2-A9E7-C4A7-EC2E1C7D93E1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BC48DC2-5C2A-41C5-89C6-79A2928F265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69</xdr:row>
      <xdr:rowOff>104775</xdr:rowOff>
    </xdr:from>
    <xdr:to>
      <xdr:col>14</xdr:col>
      <xdr:colOff>752475</xdr:colOff>
      <xdr:row>71</xdr:row>
      <xdr:rowOff>114300</xdr:rowOff>
    </xdr:to>
    <xdr:sp macro="Sheet1.ExecuteAction_c700da01_56ab_415f_a080_2c59360927c5" textlink="TM1HomeRepAnalyticalCAP">
      <xdr:nvSpPr>
        <xdr:cNvPr id="13" name="TM1Button_c700da01_56ab_415f_a080_2c59360927c5">
          <a:extLst>
            <a:ext uri="{FF2B5EF4-FFF2-40B4-BE49-F238E27FC236}">
              <a16:creationId xmlns:a16="http://schemas.microsoft.com/office/drawing/2014/main" id="{48274600-42C8-EB85-593C-7B94370819A7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8A1F83A-2D19-46AB-A900-808CA989002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79</xdr:row>
      <xdr:rowOff>66675</xdr:rowOff>
    </xdr:from>
    <xdr:to>
      <xdr:col>21</xdr:col>
      <xdr:colOff>1038225</xdr:colOff>
      <xdr:row>81</xdr:row>
      <xdr:rowOff>133350</xdr:rowOff>
    </xdr:to>
    <xdr:sp macro="Sheet1.ExecuteAction_c4763f37_6414_482d_8949_75006cb82c5f" textlink="TM1AnalRptCSVExportRptCAP">
      <xdr:nvSpPr>
        <xdr:cNvPr id="14" name="TM1Button_c4763f37_6414_482d_8949_75006cb82c5f">
          <a:extLst>
            <a:ext uri="{FF2B5EF4-FFF2-40B4-BE49-F238E27FC236}">
              <a16:creationId xmlns:a16="http://schemas.microsoft.com/office/drawing/2014/main" id="{ED619B76-7392-69B3-2AE0-98D04EDDCF55}"/>
            </a:ext>
          </a:extLst>
        </xdr:cNvPr>
        <xdr:cNvSpPr txBox="1"/>
      </xdr:nvSpPr>
      <xdr:spPr>
        <a:xfrm>
          <a:off x="685800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1BF92CE-0E19-415B-B7C8-CF240A6F028D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60</xdr:row>
      <xdr:rowOff>47625</xdr:rowOff>
    </xdr:from>
    <xdr:to>
      <xdr:col>13</xdr:col>
      <xdr:colOff>38100</xdr:colOff>
      <xdr:row>62</xdr:row>
      <xdr:rowOff>85725</xdr:rowOff>
    </xdr:to>
    <xdr:sp macro="Sheet1.ExecuteAction_a8f38348_cc37_48bf_bd76_3e87aed90f11" textlink="TM1HomeCAP">
      <xdr:nvSpPr>
        <xdr:cNvPr id="15" name="TM1Button_a8f38348_cc37_48bf_bd76_3e87aed90f11">
          <a:extLst>
            <a:ext uri="{FF2B5EF4-FFF2-40B4-BE49-F238E27FC236}">
              <a16:creationId xmlns:a16="http://schemas.microsoft.com/office/drawing/2014/main" id="{D6EC1070-E1BA-605E-A74B-B64C9A7A4DF5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D9CF311-E6CD-46E3-8ED3-44EB928FF64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60</xdr:row>
      <xdr:rowOff>47625</xdr:rowOff>
    </xdr:from>
    <xdr:to>
      <xdr:col>15</xdr:col>
      <xdr:colOff>352425</xdr:colOff>
      <xdr:row>62</xdr:row>
      <xdr:rowOff>85725</xdr:rowOff>
    </xdr:to>
    <xdr:sp macro="Sheet1.ExecuteAction_6fd78590_cb55_4076_acb8_cf55fe1ffb39" textlink="TM1HomeAECAP">
      <xdr:nvSpPr>
        <xdr:cNvPr id="16" name="TM1Button_6fd78590_cb55_4076_acb8_cf55fe1ffb39">
          <a:extLst>
            <a:ext uri="{FF2B5EF4-FFF2-40B4-BE49-F238E27FC236}">
              <a16:creationId xmlns:a16="http://schemas.microsoft.com/office/drawing/2014/main" id="{3A86CFB6-BAA5-D88C-BEC7-D0F907FFCB76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A952A84-ACF6-4A88-BD8F-8EBFFB9918F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60</xdr:row>
      <xdr:rowOff>38100</xdr:rowOff>
    </xdr:from>
    <xdr:to>
      <xdr:col>19</xdr:col>
      <xdr:colOff>1104900</xdr:colOff>
      <xdr:row>62</xdr:row>
      <xdr:rowOff>76200</xdr:rowOff>
    </xdr:to>
    <xdr:sp macro="Sheet1.ExecuteAction_4ed2e2d6_7b8e_42b8_b85c_30e99c1c0e24" textlink="TM1HomeRepCAP">
      <xdr:nvSpPr>
        <xdr:cNvPr id="17" name="TM1Button_4ed2e2d6_7b8e_42b8_b85c_30e99c1c0e24">
          <a:extLst>
            <a:ext uri="{FF2B5EF4-FFF2-40B4-BE49-F238E27FC236}">
              <a16:creationId xmlns:a16="http://schemas.microsoft.com/office/drawing/2014/main" id="{9360EAD9-986C-41D8-0D92-30BD7919D173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7C78489-A0FF-4C06-9C17-300F97ED494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60</xdr:row>
      <xdr:rowOff>38100</xdr:rowOff>
    </xdr:from>
    <xdr:to>
      <xdr:col>22</xdr:col>
      <xdr:colOff>114300</xdr:colOff>
      <xdr:row>62</xdr:row>
      <xdr:rowOff>76200</xdr:rowOff>
    </xdr:to>
    <xdr:sp macro="Sheet1.ExecuteAction_3ff1fe73_eedc_4af0_8308_0d480f270989" textlink="TM1HomeAdminCAP">
      <xdr:nvSpPr>
        <xdr:cNvPr id="18" name="TM1Button_3ff1fe73_eedc_4af0_8308_0d480f270989">
          <a:extLst>
            <a:ext uri="{FF2B5EF4-FFF2-40B4-BE49-F238E27FC236}">
              <a16:creationId xmlns:a16="http://schemas.microsoft.com/office/drawing/2014/main" id="{D37E3F14-A332-BE62-48C0-39E7DC77B6A5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D496749-575E-43F7-B854-13CFA028085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64</xdr:row>
      <xdr:rowOff>47625</xdr:rowOff>
    </xdr:from>
    <xdr:to>
      <xdr:col>21</xdr:col>
      <xdr:colOff>1038225</xdr:colOff>
      <xdr:row>67</xdr:row>
      <xdr:rowOff>0</xdr:rowOff>
    </xdr:to>
    <xdr:sp macro="Sheet1.ExecuteAction_9c9583d3_d0cb_4bb5_a4b3_1aa4e7c35f77" textlink="">
      <xdr:nvSpPr>
        <xdr:cNvPr id="22" name="TM1Button_9c9583d3_d0cb_4bb5_a4b3_1aa4e7c35f77">
          <a:extLst>
            <a:ext uri="{FF2B5EF4-FFF2-40B4-BE49-F238E27FC236}">
              <a16:creationId xmlns:a16="http://schemas.microsoft.com/office/drawing/2014/main" id="{8F623691-42C9-E98D-6F15-A018196885EB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Transaction Listing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95"/>
  <sheetViews>
    <sheetView showGridLines="0" tabSelected="1" showOutlineSymbols="0" topLeftCell="J57" workbookViewId="0">
      <pane ySplit="8" topLeftCell="A65" activePane="bottomLeft" state="frozen"/>
      <selection activeCell="J57" sqref="J57"/>
      <selection pane="bottomLeft"/>
    </sheetView>
  </sheetViews>
  <sheetFormatPr defaultRowHeight="15" outlineLevelRow="1" outlineLevelCol="1" x14ac:dyDescent="0.25"/>
  <cols>
    <col min="1" max="1" width="5.7109375" hidden="1" customWidth="1" outlineLevel="1" collapsed="1"/>
    <col min="2" max="2" width="46.71093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50</v>
      </c>
      <c r="D2" s="4"/>
    </row>
    <row r="3" spans="2:4" hidden="1" outlineLevel="1" x14ac:dyDescent="0.25">
      <c r="B3" s="2" t="s">
        <v>22</v>
      </c>
      <c r="C3" s="10" t="e" cm="1">
        <f t="array" aca="1" ref="C3" ca="1">_xll.VIEW(db_name&amp;":}ElementAttributes_}Clients","!","!")</f>
        <v>#NAME?</v>
      </c>
      <c r="D3" s="4"/>
    </row>
    <row r="4" spans="2:4" hidden="1" outlineLevel="1" x14ac:dyDescent="0.25">
      <c r="B4" s="2" t="s">
        <v>21</v>
      </c>
      <c r="C4" s="3" t="e" cm="1">
        <f t="array" aca="1" ref="C4" ca="1">_xll.TM1USER(db_name)</f>
        <v>#NAME?</v>
      </c>
      <c r="D4" s="4"/>
    </row>
    <row r="5" spans="2:4" hidden="1" outlineLevel="1" x14ac:dyDescent="0.25">
      <c r="B5" s="2" t="s">
        <v>23</v>
      </c>
      <c r="C5" s="3" t="e" cm="1">
        <f t="array" aca="1" ref="C5" ca="1">_xll.DBR($C$3,$C$4,$B5)</f>
        <v>#NAME?</v>
      </c>
      <c r="D5" s="4"/>
    </row>
    <row r="6" spans="2:4" hidden="1" outlineLevel="1" x14ac:dyDescent="0.25">
      <c r="B6" s="2" t="s">
        <v>24</v>
      </c>
      <c r="C6" s="3" t="e" cm="1">
        <f t="array" aca="1" ref="C6" ca="1">_xll.DBR($C$3,$C$4,$B6)</f>
        <v>#NAME?</v>
      </c>
      <c r="D6" s="4"/>
    </row>
    <row r="7" spans="2:4" hidden="1" outlineLevel="1" x14ac:dyDescent="0.25">
      <c r="B7" s="2" t="s">
        <v>5</v>
      </c>
      <c r="C7" s="3" t="e">
        <f ca="1">IF(LEFT($C$4,6)="CAM_AD",$C$5,$C$4)</f>
        <v>#NAME?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e" cm="1">
        <f t="array" aca="1" ref="C10" ca="1">_xll.VIEW(db_name&amp;":}ElementAttributes_variables","!","!")</f>
        <v>#NAME?</v>
      </c>
      <c r="D10" s="1"/>
    </row>
    <row r="11" spans="2:4" hidden="1" outlineLevel="1" x14ac:dyDescent="0.25">
      <c r="B11" s="2" t="s">
        <v>8</v>
      </c>
      <c r="C11" s="1" t="e" cm="1">
        <f t="array" aca="1" ref="C11" ca="1">_xll.DBR($C$10,$B11,"value")</f>
        <v>#NAME?</v>
      </c>
      <c r="D11" s="1"/>
    </row>
    <row r="12" spans="2:4" hidden="1" outlineLevel="1" x14ac:dyDescent="0.25">
      <c r="B12" s="2" t="s">
        <v>9</v>
      </c>
      <c r="C12" s="1" t="e" cm="1">
        <f t="array" aca="1" ref="C12" ca="1">_xll.DBR($C$10,$B12,"value")</f>
        <v>#NAME?</v>
      </c>
      <c r="D12" s="1"/>
    </row>
    <row r="13" spans="2:4" hidden="1" outlineLevel="1" x14ac:dyDescent="0.25">
      <c r="B13" s="2" t="s">
        <v>10</v>
      </c>
      <c r="C13" s="1" t="e" cm="1">
        <f t="array" aca="1" ref="C13" ca="1">_xll.DBR($C$10,$B13,"value")</f>
        <v>#NAME?</v>
      </c>
      <c r="D13" s="1"/>
    </row>
    <row r="14" spans="2:4" hidden="1" outlineLevel="1" x14ac:dyDescent="0.25">
      <c r="B14" s="2" t="s">
        <v>11</v>
      </c>
      <c r="C14" s="1" t="e" cm="1">
        <f t="array" aca="1" ref="C14" ca="1">_xll.DBR($C$10,$B14,"value")</f>
        <v>#NAME?</v>
      </c>
      <c r="D14" s="1"/>
    </row>
    <row r="15" spans="2:4" hidden="1" outlineLevel="1" x14ac:dyDescent="0.25">
      <c r="B15" s="2" t="s">
        <v>12</v>
      </c>
      <c r="C15" s="1" t="e">
        <f ca="1">"The current scenario is """ &amp; $C$12 &amp; """ for the """ &amp; $C$11 &amp; """ Headline Year. Archive was done for """ &amp; $C$13 &amp; """ on scenario """ &amp; $C$14 &amp; """."</f>
        <v>#NAME?</v>
      </c>
      <c r="D15" s="1"/>
    </row>
    <row r="16" spans="2:4" hidden="1" outlineLevel="1" x14ac:dyDescent="0.25"/>
    <row r="17" spans="2:13" hidden="1" outlineLevel="1" x14ac:dyDescent="0.25">
      <c r="B17" s="16" t="s">
        <v>13</v>
      </c>
      <c r="C17" s="17"/>
      <c r="D17" s="18"/>
    </row>
    <row r="18" spans="2:13" hidden="1" outlineLevel="1" x14ac:dyDescent="0.25">
      <c r="B18" s="2" t="s">
        <v>7</v>
      </c>
      <c r="C18" s="1" t="e" cm="1">
        <f t="array" aca="1" ref="C18" ca="1">_xll.VIEW(db_name&amp;":sys_client preference","!","!","!")</f>
        <v>#NAME?</v>
      </c>
      <c r="D18" s="1"/>
    </row>
    <row r="19" spans="2:13" hidden="1" outlineLevel="1" x14ac:dyDescent="0.25">
      <c r="B19" s="2" t="s">
        <v>14</v>
      </c>
      <c r="C19" s="1" t="e" cm="1">
        <f t="array" aca="1" ref="C19" ca="1">_xll.DBR($C$18,psUser,$B19,"value")</f>
        <v>#NAME?</v>
      </c>
      <c r="D19" s="1"/>
    </row>
    <row r="20" spans="2:13" hidden="1" outlineLevel="1" x14ac:dyDescent="0.25">
      <c r="B20" s="2" t="s">
        <v>15</v>
      </c>
      <c r="C20" s="1" t="e" cm="1">
        <f t="array" aca="1" ref="C20" ca="1">_xll.DBR($C$18,psUser,$B20,"value")</f>
        <v>#NAME?</v>
      </c>
      <c r="D20" s="1"/>
    </row>
    <row r="21" spans="2:13" hidden="1" outlineLevel="1" x14ac:dyDescent="0.25">
      <c r="B21" s="2" t="s">
        <v>16</v>
      </c>
      <c r="C21" s="1" t="e" cm="1">
        <f t="array" aca="1" ref="C21" ca="1">_xll.DBR($C$18,psUser,$B21,"value")</f>
        <v>#NAME?</v>
      </c>
      <c r="D21" s="1"/>
    </row>
    <row r="22" spans="2:13" hidden="1" outlineLevel="1" x14ac:dyDescent="0.25">
      <c r="B22" s="2" t="s">
        <v>17</v>
      </c>
      <c r="C22" s="1" t="e" cm="1">
        <f t="array" aca="1" ref="C22" ca="1">_xll.DBR($C$18,psUser,$B22,"value")</f>
        <v>#NAME?</v>
      </c>
      <c r="D22" s="1"/>
    </row>
    <row r="23" spans="2:13" hidden="1" outlineLevel="1" x14ac:dyDescent="0.25">
      <c r="B23" s="2" t="s">
        <v>20</v>
      </c>
      <c r="C23" s="1" t="s">
        <v>19</v>
      </c>
      <c r="D23" s="1"/>
    </row>
    <row r="24" spans="2:13" hidden="1" outlineLevel="1" x14ac:dyDescent="0.25"/>
    <row r="25" spans="2:13" hidden="1" outlineLevel="1" x14ac:dyDescent="0.25">
      <c r="B25" s="16" t="s">
        <v>18</v>
      </c>
      <c r="C25" s="17"/>
      <c r="D25" s="18"/>
    </row>
    <row r="26" spans="2:13" hidden="1" outlineLevel="1" x14ac:dyDescent="0.25">
      <c r="B26" s="1" t="s">
        <v>2</v>
      </c>
      <c r="C26" s="12" t="e">
        <f t="array" aca="1" ref="C26" ca="1">_xll.VIEW(db_name&amp;":sys_application","!","!")</f>
        <v>#NAME?</v>
      </c>
      <c r="D26" s="12"/>
    </row>
    <row r="27" spans="2:13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13" hidden="1" outlineLevel="1" x14ac:dyDescent="0.25">
      <c r="B28" s="1" t="s">
        <v>25</v>
      </c>
      <c r="C28" s="1" t="e" cm="1">
        <f t="array" aca="1" ref="C28" ca="1">_xll.DBR($C$26,$B28,C$27)</f>
        <v>#NAME?</v>
      </c>
      <c r="D28" s="1" t="e" cm="1">
        <f t="array" aca="1" ref="D28" ca="1">_xll.DBR($C$26,$B28,D$27)</f>
        <v>#NAME?</v>
      </c>
      <c r="E28" s="1" t="e" cm="1">
        <f t="array" aca="1" ref="E28" ca="1">_xll.DBR($C$26,$B28,E$27)</f>
        <v>#NAME?</v>
      </c>
      <c r="F28" s="1" t="e" cm="1">
        <f t="array" aca="1" ref="F28" ca="1">_xll.DBR($C$26,$B28,F$27)</f>
        <v>#NAME?</v>
      </c>
      <c r="G28" s="1" t="e" cm="1">
        <f t="array" aca="1" ref="G28" ca="1">_xll.DBR($C$26,$B28,G$27)</f>
        <v>#NAME?</v>
      </c>
      <c r="H28" s="1" t="e" cm="1">
        <f t="array" aca="1" ref="H28" ca="1">_xll.DBR($C$26,$B28,H$27)</f>
        <v>#NAME?</v>
      </c>
      <c r="M28" t="s">
        <v>30</v>
      </c>
    </row>
    <row r="29" spans="2:13" hidden="1" outlineLevel="1" x14ac:dyDescent="0.25">
      <c r="B29" s="1" t="s">
        <v>26</v>
      </c>
      <c r="C29" s="1" t="e" cm="1">
        <f t="array" aca="1" ref="C29" ca="1">_xll.DBR($C$26,$B29,C$27)</f>
        <v>#NAME?</v>
      </c>
      <c r="D29" s="1" t="e" cm="1">
        <f t="array" aca="1" ref="D29" ca="1">_xll.DBR($C$26,$B29,D$27)</f>
        <v>#NAME?</v>
      </c>
      <c r="E29" s="1" t="e" cm="1">
        <f t="array" aca="1" ref="E29" ca="1">_xll.DBR($C$26,$B29,E$27)</f>
        <v>#NAME?</v>
      </c>
      <c r="F29" s="1" t="e" cm="1">
        <f t="array" aca="1" ref="F29" ca="1">_xll.DBR($C$26,$B29,F$27)</f>
        <v>#NAME?</v>
      </c>
      <c r="G29" s="1" t="e" cm="1">
        <f t="array" aca="1" ref="G29" ca="1">_xll.DBR($C$26,$B29,G$27)</f>
        <v>#NAME?</v>
      </c>
      <c r="H29" s="1" t="e" cm="1">
        <f t="array" aca="1" ref="H29" ca="1">_xll.DBR($C$26,$B29,H$27)</f>
        <v>#NAME?</v>
      </c>
      <c r="M29" t="s">
        <v>31</v>
      </c>
    </row>
    <row r="30" spans="2:13" hidden="1" outlineLevel="1" x14ac:dyDescent="0.25">
      <c r="B30" s="1" t="s">
        <v>27</v>
      </c>
      <c r="C30" s="1" t="e" cm="1">
        <f t="array" aca="1" ref="C30" ca="1">_xll.DBR($C$26,$B30,C$27)</f>
        <v>#NAME?</v>
      </c>
      <c r="D30" s="1" t="e" cm="1">
        <f t="array" aca="1" ref="D30" ca="1">_xll.DBR($C$26,$B30,D$27)</f>
        <v>#NAME?</v>
      </c>
      <c r="E30" s="1" t="e" cm="1">
        <f t="array" aca="1" ref="E30" ca="1">_xll.DBR($C$26,$B30,E$27)</f>
        <v>#NAME?</v>
      </c>
      <c r="F30" s="1" t="e" cm="1">
        <f t="array" aca="1" ref="F30" ca="1">_xll.DBR($C$26,$B30,F$27)</f>
        <v>#NAME?</v>
      </c>
      <c r="G30" s="1" t="e" cm="1">
        <f t="array" aca="1" ref="G30" ca="1">_xll.DBR($C$26,$B30,G$27)</f>
        <v>#NAME?</v>
      </c>
      <c r="H30" s="1" t="e" cm="1">
        <f t="array" aca="1" ref="H30" ca="1">_xll.DBR($C$26,$B30,H$27)</f>
        <v>#NAME?</v>
      </c>
    </row>
    <row r="31" spans="2:13" hidden="1" outlineLevel="1" x14ac:dyDescent="0.25">
      <c r="B31" s="1" t="s">
        <v>35</v>
      </c>
      <c r="C31" s="1" t="e" cm="1">
        <f t="array" aca="1" ref="C31" ca="1">_xll.DBR($C$26,$B31,C$27)</f>
        <v>#NAME?</v>
      </c>
      <c r="D31" s="1" t="e" cm="1">
        <f t="array" aca="1" ref="D31" ca="1">_xll.DBR($C$26,$B31,D$27)</f>
        <v>#NAME?</v>
      </c>
      <c r="E31" s="1" t="e" cm="1">
        <f t="array" aca="1" ref="E31" ca="1">_xll.DBR($C$26,$B31,E$27)</f>
        <v>#NAME?</v>
      </c>
      <c r="F31" s="1" t="e" cm="1">
        <f t="array" aca="1" ref="F31" ca="1">_xll.DBR($C$26,$B31,F$27)</f>
        <v>#NAME?</v>
      </c>
      <c r="G31" s="1" t="e" cm="1">
        <f t="array" aca="1" ref="G31" ca="1">_xll.DBR($C$26,$B31,G$27)</f>
        <v>#NAME?</v>
      </c>
      <c r="H31" s="1" t="e" cm="1">
        <f t="array" aca="1" ref="H31" ca="1">_xll.DBR($C$26,$B31,H$27)</f>
        <v>#NAME?</v>
      </c>
    </row>
    <row r="32" spans="2:13" hidden="1" outlineLevel="1" x14ac:dyDescent="0.25">
      <c r="B32" s="1" t="s">
        <v>36</v>
      </c>
      <c r="C32" s="1" t="e" cm="1">
        <f t="array" aca="1" ref="C32" ca="1">_xll.DBR($C$26,$B32,C$27)</f>
        <v>#NAME?</v>
      </c>
      <c r="D32" s="1" t="e" cm="1">
        <f t="array" aca="1" ref="D32" ca="1">_xll.DBR($C$26,$B32,D$27)</f>
        <v>#NAME?</v>
      </c>
      <c r="E32" s="1" t="e" cm="1">
        <f t="array" aca="1" ref="E32" ca="1">_xll.DBR($C$26,$B32,E$27)</f>
        <v>#NAME?</v>
      </c>
      <c r="F32" s="1" t="e" cm="1">
        <f t="array" aca="1" ref="F32" ca="1">_xll.DBR($C$26,$B32,F$27)</f>
        <v>#NAME?</v>
      </c>
      <c r="G32" s="1" t="e" cm="1">
        <f t="array" aca="1" ref="G32" ca="1">_xll.DBR($C$26,$B32,G$27)</f>
        <v>#NAME?</v>
      </c>
      <c r="H32" s="1" t="e" cm="1">
        <f t="array" aca="1" ref="H32" ca="1">_xll.DBR($C$26,$B32,H$27)</f>
        <v>#NAME?</v>
      </c>
    </row>
    <row r="33" spans="2:8" hidden="1" outlineLevel="1" x14ac:dyDescent="0.25">
      <c r="B33" s="1" t="s">
        <v>37</v>
      </c>
      <c r="C33" s="1" t="e" cm="1">
        <f t="array" aca="1" ref="C33" ca="1">_xll.DBR($C$26,$B33,C$27)</f>
        <v>#NAME?</v>
      </c>
      <c r="D33" s="1" t="e" cm="1">
        <f t="array" aca="1" ref="D33" ca="1">_xll.DBR($C$26,$B33,D$27)</f>
        <v>#NAME?</v>
      </c>
      <c r="E33" s="1" t="e" cm="1">
        <f t="array" aca="1" ref="E33" ca="1">_xll.DBR($C$26,$B33,E$27)</f>
        <v>#NAME?</v>
      </c>
      <c r="F33" s="1" t="e" cm="1">
        <f t="array" aca="1" ref="F33" ca="1">_xll.DBR($C$26,$B33,F$27)</f>
        <v>#NAME?</v>
      </c>
      <c r="G33" s="1" t="e" cm="1">
        <f t="array" aca="1" ref="G33" ca="1">_xll.DBR($C$26,$B33,G$27)</f>
        <v>#NAME?</v>
      </c>
      <c r="H33" s="1" t="e" cm="1">
        <f t="array" aca="1" ref="H33" ca="1">_xll.DBR($C$26,$B33,H$27)</f>
        <v>#NAME?</v>
      </c>
    </row>
    <row r="34" spans="2:8" hidden="1" outlineLevel="1" x14ac:dyDescent="0.25">
      <c r="B34" s="1" t="s">
        <v>48</v>
      </c>
      <c r="C34" s="1" t="e" cm="1">
        <f t="array" aca="1" ref="C34" ca="1">_xll.DBR($C$26,$B34,C$27)</f>
        <v>#NAME?</v>
      </c>
      <c r="D34" s="1" t="e" cm="1">
        <f t="array" aca="1" ref="D34" ca="1">_xll.DBR($C$26,$B34,D$27)</f>
        <v>#NAME?</v>
      </c>
      <c r="E34" s="1" t="e" cm="1">
        <f t="array" aca="1" ref="E34" ca="1">_xll.DBR($C$26,$B34,E$27)</f>
        <v>#NAME?</v>
      </c>
      <c r="F34" s="1" t="e" cm="1">
        <f t="array" aca="1" ref="F34" ca="1">_xll.DBR($C$26,$B34,F$27)</f>
        <v>#NAME?</v>
      </c>
      <c r="G34" s="1" t="e" cm="1">
        <f t="array" aca="1" ref="G34" ca="1">_xll.DBR($C$26,$B34,G$27)</f>
        <v>#NAME?</v>
      </c>
      <c r="H34" s="1" t="e" cm="1">
        <f t="array" aca="1" ref="H34" ca="1">_xll.DBR($C$26,$B34,H$27)</f>
        <v>#NAME?</v>
      </c>
    </row>
    <row r="35" spans="2:8" hidden="1" outlineLevel="1" x14ac:dyDescent="0.25">
      <c r="B35" s="1" t="s">
        <v>28</v>
      </c>
      <c r="C35" s="1" t="e" cm="1">
        <f t="array" aca="1" ref="C35" ca="1">_xll.DBR($C$26,$B35,C$27)</f>
        <v>#NAME?</v>
      </c>
      <c r="D35" s="1" t="e" cm="1">
        <f t="array" aca="1" ref="D35" ca="1">_xll.DBR($C$26,$B35,D$27)</f>
        <v>#NAME?</v>
      </c>
      <c r="E35" s="1" t="e" cm="1">
        <f t="array" aca="1" ref="E35" ca="1">_xll.DBR($C$26,$B35,E$27)</f>
        <v>#NAME?</v>
      </c>
      <c r="F35" s="1" t="e" cm="1">
        <f t="array" aca="1" ref="F35" ca="1">_xll.DBR($C$26,$B35,F$27)</f>
        <v>#NAME?</v>
      </c>
      <c r="G35" s="1" t="e" cm="1">
        <f t="array" aca="1" ref="G35" ca="1">_xll.DBR($C$26,$B35,G$27)</f>
        <v>#NAME?</v>
      </c>
      <c r="H35" s="1" t="e" cm="1">
        <f t="array" aca="1" ref="H35" ca="1">_xll.DBR($C$26,$B35,H$27)</f>
        <v>#NAME?</v>
      </c>
    </row>
    <row r="36" spans="2:8" hidden="1" outlineLevel="1" x14ac:dyDescent="0.25">
      <c r="B36" s="1" t="s">
        <v>29</v>
      </c>
      <c r="C36" s="1" t="e" cm="1">
        <f t="array" aca="1" ref="C36" ca="1">_xll.DBR($C$26,$B36,C$27)</f>
        <v>#NAME?</v>
      </c>
      <c r="D36" s="1" t="e" cm="1">
        <f t="array" aca="1" ref="D36" ca="1">_xll.DBR($C$26,$B36,D$27)</f>
        <v>#NAME?</v>
      </c>
      <c r="E36" s="1" t="e" cm="1">
        <f t="array" aca="1" ref="E36" ca="1">_xll.DBR($C$26,$B36,E$27)</f>
        <v>#NAME?</v>
      </c>
      <c r="F36" s="1" t="e" cm="1">
        <f t="array" aca="1" ref="F36" ca="1">_xll.DBR($C$26,$B36,F$27)</f>
        <v>#NAME?</v>
      </c>
      <c r="G36" s="1" t="e" cm="1">
        <f t="array" aca="1" ref="G36" ca="1">_xll.DBR($C$26,$B36,G$27)</f>
        <v>#NAME?</v>
      </c>
      <c r="H36" s="1" t="e" cm="1">
        <f t="array" aca="1" ref="H36" ca="1">_xll.DBR($C$26,$B36,H$27)</f>
        <v>#NAME?</v>
      </c>
    </row>
    <row r="37" spans="2:8" hidden="1" outlineLevel="1" x14ac:dyDescent="0.25">
      <c r="B37" s="1" t="s">
        <v>39</v>
      </c>
      <c r="C37" s="1" t="e" cm="1">
        <f t="array" aca="1" ref="C37" ca="1">_xll.DBR($C$26,$B37,C$27)</f>
        <v>#NAME?</v>
      </c>
      <c r="D37" s="1" t="e" cm="1">
        <f t="array" aca="1" ref="D37" ca="1">_xll.DBR($C$26,$B37,D$27)</f>
        <v>#NAME?</v>
      </c>
      <c r="E37" s="1" t="e" cm="1">
        <f t="array" aca="1" ref="E37" ca="1">_xll.DBR($C$26,$B37,E$27)</f>
        <v>#NAME?</v>
      </c>
      <c r="F37" s="1" t="e" cm="1">
        <f t="array" aca="1" ref="F37" ca="1">_xll.DBR($C$26,$B37,F$27)</f>
        <v>#NAME?</v>
      </c>
      <c r="G37" s="1" t="e" cm="1">
        <f t="array" aca="1" ref="G37" ca="1">_xll.DBR($C$26,$B37,G$27)</f>
        <v>#NAME?</v>
      </c>
      <c r="H37" s="1" t="e" cm="1">
        <f t="array" aca="1" ref="H37" ca="1">_xll.DBR($C$26,$B37,H$27)</f>
        <v>#NAME?</v>
      </c>
    </row>
    <row r="38" spans="2:8" hidden="1" outlineLevel="1" x14ac:dyDescent="0.25">
      <c r="B38" s="1" t="s">
        <v>40</v>
      </c>
      <c r="C38" s="1" t="e" cm="1">
        <f t="array" aca="1" ref="C38" ca="1">_xll.DBR($C$26,$B38,C$27)</f>
        <v>#NAME?</v>
      </c>
      <c r="D38" s="1" t="e" cm="1">
        <f t="array" aca="1" ref="D38" ca="1">_xll.DBR($C$26,$B38,D$27)</f>
        <v>#NAME?</v>
      </c>
      <c r="E38" s="1" t="e" cm="1">
        <f t="array" aca="1" ref="E38" ca="1">_xll.DBR($C$26,$B38,E$27)</f>
        <v>#NAME?</v>
      </c>
      <c r="F38" s="1" t="e" cm="1">
        <f t="array" aca="1" ref="F38" ca="1">_xll.DBR($C$26,$B38,F$27)</f>
        <v>#NAME?</v>
      </c>
      <c r="G38" s="1" t="e" cm="1">
        <f t="array" aca="1" ref="G38" ca="1">_xll.DBR($C$26,$B38,G$27)</f>
        <v>#NAME?</v>
      </c>
      <c r="H38" s="1" t="e" cm="1">
        <f t="array" aca="1" ref="H38" ca="1">_xll.DBR($C$26,$B38,H$27)</f>
        <v>#NAME?</v>
      </c>
    </row>
    <row r="39" spans="2:8" hidden="1" outlineLevel="1" x14ac:dyDescent="0.25">
      <c r="B39" s="1" t="s">
        <v>41</v>
      </c>
      <c r="C39" s="1" t="e" cm="1">
        <f t="array" aca="1" ref="C39" ca="1">_xll.DBR($C$26,$B39,C$27)</f>
        <v>#NAME?</v>
      </c>
      <c r="D39" s="1" t="e" cm="1">
        <f t="array" aca="1" ref="D39" ca="1">_xll.DBR($C$26,$B39,D$27)</f>
        <v>#NAME?</v>
      </c>
      <c r="E39" s="1" t="e" cm="1">
        <f t="array" aca="1" ref="E39" ca="1">_xll.DBR($C$26,$B39,E$27)</f>
        <v>#NAME?</v>
      </c>
      <c r="F39" s="1" t="e" cm="1">
        <f t="array" aca="1" ref="F39" ca="1">_xll.DBR($C$26,$B39,F$27)</f>
        <v>#NAME?</v>
      </c>
      <c r="G39" s="1" t="e" cm="1">
        <f t="array" aca="1" ref="G39" ca="1">_xll.DBR($C$26,$B39,G$27)</f>
        <v>#NAME?</v>
      </c>
      <c r="H39" s="1" t="e" cm="1">
        <f t="array" aca="1" ref="H39" ca="1">_xll.DBR($C$26,$B39,H$27)</f>
        <v>#NAME?</v>
      </c>
    </row>
    <row r="40" spans="2:8" hidden="1" outlineLevel="1" x14ac:dyDescent="0.25">
      <c r="B40" s="1" t="s">
        <v>42</v>
      </c>
      <c r="C40" s="1" t="e" cm="1">
        <f t="array" aca="1" ref="C40" ca="1">_xll.DBR($C$26,$B40,C$27)</f>
        <v>#NAME?</v>
      </c>
      <c r="D40" s="1" t="e" cm="1">
        <f t="array" aca="1" ref="D40" ca="1">_xll.DBR($C$26,$B40,D$27)</f>
        <v>#NAME?</v>
      </c>
      <c r="E40" s="1" t="e" cm="1">
        <f t="array" aca="1" ref="E40" ca="1">_xll.DBR($C$26,$B40,E$27)</f>
        <v>#NAME?</v>
      </c>
      <c r="F40" s="1" t="e" cm="1">
        <f t="array" aca="1" ref="F40" ca="1">_xll.DBR($C$26,$B40,F$27)</f>
        <v>#NAME?</v>
      </c>
      <c r="G40" s="1" t="e" cm="1">
        <f t="array" aca="1" ref="G40" ca="1">_xll.DBR($C$26,$B40,G$27)</f>
        <v>#NAME?</v>
      </c>
      <c r="H40" s="1" t="e" cm="1">
        <f t="array" aca="1" ref="H40" ca="1">_xll.DBR($C$26,$B40,H$27)</f>
        <v>#NAME?</v>
      </c>
    </row>
    <row r="41" spans="2:8" hidden="1" outlineLevel="1" x14ac:dyDescent="0.25">
      <c r="B41" s="1" t="s">
        <v>43</v>
      </c>
      <c r="C41" s="1" t="e" cm="1">
        <f t="array" aca="1" ref="C41" ca="1">_xll.DBR($C$26,$B41,C$27)</f>
        <v>#NAME?</v>
      </c>
      <c r="D41" s="1" t="e" cm="1">
        <f t="array" aca="1" ref="D41" ca="1">_xll.DBR($C$26,$B41,D$27)</f>
        <v>#NAME?</v>
      </c>
      <c r="E41" s="1" t="e" cm="1">
        <f t="array" aca="1" ref="E41" ca="1">_xll.DBR($C$26,$B41,E$27)</f>
        <v>#NAME?</v>
      </c>
      <c r="F41" s="1" t="e" cm="1">
        <f t="array" aca="1" ref="F41" ca="1">_xll.DBR($C$26,$B41,F$27)</f>
        <v>#NAME?</v>
      </c>
      <c r="G41" s="1" t="e" cm="1">
        <f t="array" aca="1" ref="G41" ca="1">_xll.DBR($C$26,$B41,G$27)</f>
        <v>#NAME?</v>
      </c>
      <c r="H41" s="1" t="e" cm="1">
        <f t="array" aca="1" ref="H41" ca="1">_xll.DBR($C$26,$B41,H$27)</f>
        <v>#NAME?</v>
      </c>
    </row>
    <row r="42" spans="2:8" hidden="1" outlineLevel="1" x14ac:dyDescent="0.25">
      <c r="B42" s="1" t="s">
        <v>44</v>
      </c>
      <c r="C42" s="1" t="e" cm="1">
        <f t="array" aca="1" ref="C42" ca="1">_xll.DBR($C$26,$B42,C$27)</f>
        <v>#NAME?</v>
      </c>
      <c r="D42" s="1" t="e" cm="1">
        <f t="array" aca="1" ref="D42" ca="1">_xll.DBR($C$26,$B42,D$27)</f>
        <v>#NAME?</v>
      </c>
      <c r="E42" s="1" t="e" cm="1">
        <f t="array" aca="1" ref="E42" ca="1">_xll.DBR($C$26,$B42,E$27)</f>
        <v>#NAME?</v>
      </c>
      <c r="F42" s="1" t="e" cm="1">
        <f t="array" aca="1" ref="F42" ca="1">_xll.DBR($C$26,$B42,F$27)</f>
        <v>#NAME?</v>
      </c>
      <c r="G42" s="1" t="e" cm="1">
        <f t="array" aca="1" ref="G42" ca="1">_xll.DBR($C$26,$B42,G$27)</f>
        <v>#NAME?</v>
      </c>
      <c r="H42" s="1" t="e" cm="1">
        <f t="array" aca="1" ref="H42" ca="1">_xll.DBR($C$26,$B42,H$27)</f>
        <v>#NAME?</v>
      </c>
    </row>
    <row r="43" spans="2:8" hidden="1" outlineLevel="1" x14ac:dyDescent="0.25">
      <c r="B43" s="1" t="s">
        <v>45</v>
      </c>
      <c r="C43" s="1" t="e" cm="1">
        <f t="array" aca="1" ref="C43" ca="1">_xll.DBR($C$26,$B43,C$27)</f>
        <v>#NAME?</v>
      </c>
      <c r="D43" s="1" t="e" cm="1">
        <f t="array" aca="1" ref="D43" ca="1">_xll.DBR($C$26,$B43,D$27)</f>
        <v>#NAME?</v>
      </c>
      <c r="E43" s="1" t="e" cm="1">
        <f t="array" aca="1" ref="E43" ca="1">_xll.DBR($C$26,$B43,E$27)</f>
        <v>#NAME?</v>
      </c>
      <c r="F43" s="1" t="e" cm="1">
        <f t="array" aca="1" ref="F43" ca="1">_xll.DBR($C$26,$B43,F$27)</f>
        <v>#NAME?</v>
      </c>
      <c r="G43" s="1" t="e" cm="1">
        <f t="array" aca="1" ref="G43" ca="1">_xll.DBR($C$26,$B43,G$27)</f>
        <v>#NAME?</v>
      </c>
      <c r="H43" s="1" t="e" cm="1">
        <f t="array" aca="1" ref="H43" ca="1">_xll.DBR($C$26,$B43,H$27)</f>
        <v>#NAME?</v>
      </c>
    </row>
    <row r="44" spans="2:8" hidden="1" outlineLevel="1" x14ac:dyDescent="0.25">
      <c r="B44" s="1" t="s">
        <v>49</v>
      </c>
      <c r="C44" s="1" t="e" cm="1">
        <f t="array" aca="1" ref="C44" ca="1">_xll.DBR($C$26,$B44,C$27)</f>
        <v>#NAME?</v>
      </c>
      <c r="D44" s="1" t="e" cm="1">
        <f t="array" aca="1" ref="D44" ca="1">_xll.DBR($C$26,$B44,D$27)</f>
        <v>#NAME?</v>
      </c>
      <c r="E44" s="1" t="e" cm="1">
        <f t="array" aca="1" ref="E44" ca="1">_xll.DBR($C$26,$B44,E$27)</f>
        <v>#NAME?</v>
      </c>
      <c r="F44" s="1" t="e" cm="1">
        <f t="array" aca="1" ref="F44" ca="1">_xll.DBR($C$26,$B44,F$27)</f>
        <v>#NAME?</v>
      </c>
      <c r="G44" s="1" t="e" cm="1">
        <f t="array" aca="1" ref="G44" ca="1">_xll.DBR($C$26,$B44,G$27)</f>
        <v>#NAME?</v>
      </c>
      <c r="H44" s="1" t="e" cm="1">
        <f t="array" aca="1" ref="H44" ca="1">_xll.DBR($C$26,$B44,H$27)</f>
        <v>#NAME?</v>
      </c>
    </row>
    <row r="45" spans="2:8" hidden="1" outlineLevel="1" x14ac:dyDescent="0.25">
      <c r="B45" s="1" t="s">
        <v>46</v>
      </c>
      <c r="C45" s="1" t="e" cm="1">
        <f t="array" aca="1" ref="C45" ca="1">_xll.DBR($C$26,$B45,C$27)</f>
        <v>#NAME?</v>
      </c>
      <c r="D45" s="1" t="e" cm="1">
        <f t="array" aca="1" ref="D45" ca="1">_xll.DBR($C$26,$B45,D$27)</f>
        <v>#NAME?</v>
      </c>
      <c r="E45" s="1" t="e" cm="1">
        <f t="array" aca="1" ref="E45" ca="1">_xll.DBR($C$26,$B45,E$27)</f>
        <v>#NAME?</v>
      </c>
      <c r="F45" s="1" t="e" cm="1">
        <f t="array" aca="1" ref="F45" ca="1">_xll.DBR($C$26,$B45,F$27)</f>
        <v>#NAME?</v>
      </c>
      <c r="G45" s="1" t="e" cm="1">
        <f t="array" aca="1" ref="G45" ca="1">_xll.DBR($C$26,$B45,G$27)</f>
        <v>#NAME?</v>
      </c>
      <c r="H45" s="1" t="e" cm="1">
        <f t="array" aca="1" ref="H45" ca="1">_xll.DBR($C$26,$B45,H$27)</f>
        <v>#NAME?</v>
      </c>
    </row>
    <row r="46" spans="2:8" hidden="1" outlineLevel="1" x14ac:dyDescent="0.25">
      <c r="B46" s="1" t="s">
        <v>47</v>
      </c>
      <c r="C46" s="1" t="e">
        <f ca="1">_xll.DBR($C$26,$B46,C$27)</f>
        <v>#NAME?</v>
      </c>
      <c r="D46" s="1" t="e" cm="1">
        <f t="array" aca="1" ref="D46" ca="1">_xll.DBR($C$26,$B46,D$27)</f>
        <v>#NAME?</v>
      </c>
      <c r="E46" s="1" t="e">
        <f ca="1">_xll.DBR($C$26,$B46,E$27)</f>
        <v>#NAME?</v>
      </c>
      <c r="F46" s="1" t="e">
        <f ca="1">_xll.DBR($C$26,$B46,F$27)</f>
        <v>#NAME?</v>
      </c>
      <c r="G46" s="1" t="e">
        <f ca="1">_xll.DBR($C$26,$B46,G$27)</f>
        <v>#NAME?</v>
      </c>
      <c r="H46" s="1" t="e">
        <f ca="1">_xll.DBR($C$26,$B46,H$27)</f>
        <v>#NAME?</v>
      </c>
    </row>
    <row r="47" spans="2:8" hidden="1" outlineLevel="1" x14ac:dyDescent="0.25"/>
    <row r="48" spans="2:8" hidden="1" outlineLevel="1" x14ac:dyDescent="0.25"/>
    <row r="49" spans="10:23" hidden="1" outlineLevel="1" x14ac:dyDescent="0.25"/>
    <row r="50" spans="10:23" hidden="1" outlineLevel="1" x14ac:dyDescent="0.25"/>
    <row r="51" spans="10:23" hidden="1" outlineLevel="1" x14ac:dyDescent="0.25"/>
    <row r="52" spans="10:23" hidden="1" outlineLevel="1" x14ac:dyDescent="0.25"/>
    <row r="53" spans="10:23" hidden="1" outlineLevel="1" x14ac:dyDescent="0.25"/>
    <row r="54" spans="10:23" hidden="1" outlineLevel="1" x14ac:dyDescent="0.25"/>
    <row r="55" spans="10:23" hidden="1" outlineLevel="1" x14ac:dyDescent="0.25"/>
    <row r="56" spans="10:23" hidden="1" outlineLevel="1" x14ac:dyDescent="0.25"/>
    <row r="57" spans="10:23" ht="39.75" customHeight="1" collapsed="1" x14ac:dyDescent="0.25"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11" t="e">
        <f ca="1">"Welcome "&amp; $C$5</f>
        <v>#NAME?</v>
      </c>
    </row>
    <row r="58" spans="10:23" ht="4.5" customHeight="1" x14ac:dyDescent="0.25"/>
    <row r="59" spans="10:23" ht="30" customHeight="1" x14ac:dyDescent="0.25">
      <c r="J59" s="6"/>
      <c r="K59" s="19" t="e">
        <f ca="1">$C$15</f>
        <v>#NAME?</v>
      </c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6"/>
      <c r="W59" s="6"/>
    </row>
    <row r="60" spans="10:23" ht="4.5" customHeight="1" x14ac:dyDescent="0.25"/>
    <row r="64" spans="10:23" ht="24.75" customHeight="1" x14ac:dyDescent="0.25">
      <c r="J64" s="7"/>
      <c r="K64" s="7"/>
      <c r="L64" s="14" t="s">
        <v>34</v>
      </c>
      <c r="M64" s="14"/>
      <c r="N64" s="14"/>
      <c r="O64" s="14"/>
      <c r="P64" s="5"/>
      <c r="R64" s="8"/>
      <c r="S64" s="15" t="s">
        <v>38</v>
      </c>
      <c r="T64" s="15"/>
      <c r="U64" s="15"/>
      <c r="V64" s="15"/>
      <c r="W64" s="8"/>
    </row>
    <row r="65" spans="10:23" ht="4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19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4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19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4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19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4.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19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4.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4.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4.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ht="4.5" customHeight="1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ht="4.5" customHeight="1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ht="4.5" customHeight="1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ht="4.5" customHeight="1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ht="4.5" customHeight="1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x14ac:dyDescent="0.25">
      <c r="J90" s="9"/>
      <c r="K90" s="9"/>
      <c r="L90" s="9"/>
      <c r="M90" s="9"/>
      <c r="N90" s="9"/>
      <c r="O90" s="9"/>
      <c r="P90" s="9"/>
      <c r="R90" s="9"/>
      <c r="S90" s="9"/>
      <c r="T90" s="9"/>
      <c r="U90" s="9"/>
      <c r="V90" s="9"/>
      <c r="W90" s="9"/>
    </row>
    <row r="91" spans="10:23" ht="4.5" customHeight="1" x14ac:dyDescent="0.25">
      <c r="J91" s="9"/>
      <c r="K91" s="9"/>
      <c r="L91" s="9"/>
      <c r="M91" s="9"/>
      <c r="N91" s="9"/>
      <c r="O91" s="9"/>
      <c r="P91" s="9"/>
      <c r="R91" s="9"/>
      <c r="S91" s="9"/>
      <c r="T91" s="9"/>
      <c r="U91" s="9"/>
      <c r="V91" s="9"/>
      <c r="W91" s="9"/>
    </row>
    <row r="92" spans="10:23" x14ac:dyDescent="0.25">
      <c r="J92" s="9"/>
      <c r="K92" s="9"/>
      <c r="L92" s="9"/>
      <c r="M92" s="9"/>
      <c r="N92" s="9"/>
      <c r="O92" s="9"/>
      <c r="P92" s="9"/>
      <c r="R92" s="9"/>
      <c r="S92" s="9"/>
      <c r="T92" s="9"/>
      <c r="U92" s="9"/>
      <c r="V92" s="9"/>
      <c r="W92" s="9"/>
    </row>
    <row r="93" spans="10:23" x14ac:dyDescent="0.25">
      <c r="J93" s="9"/>
      <c r="K93" s="9"/>
      <c r="L93" s="9"/>
      <c r="M93" s="9"/>
      <c r="N93" s="9"/>
      <c r="O93" s="9"/>
      <c r="P93" s="9"/>
      <c r="R93" s="9"/>
      <c r="S93" s="9"/>
      <c r="T93" s="9"/>
      <c r="U93" s="9"/>
      <c r="V93" s="9"/>
      <c r="W93" s="9"/>
    </row>
    <row r="94" spans="10:23" x14ac:dyDescent="0.25">
      <c r="J94" s="9"/>
      <c r="K94" s="9"/>
      <c r="L94" s="9"/>
      <c r="M94" s="9"/>
      <c r="N94" s="9"/>
      <c r="O94" s="9"/>
      <c r="P94" s="9"/>
      <c r="R94" s="9"/>
      <c r="S94" s="9"/>
      <c r="T94" s="9"/>
      <c r="U94" s="9"/>
      <c r="V94" s="9"/>
      <c r="W94" s="9"/>
    </row>
    <row r="95" spans="10:23" x14ac:dyDescent="0.25">
      <c r="K95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64:O64"/>
    <mergeCell ref="S64:V64"/>
    <mergeCell ref="B1:D1"/>
    <mergeCell ref="B9:D9"/>
    <mergeCell ref="B17:D17"/>
    <mergeCell ref="B25:D25"/>
    <mergeCell ref="K59:U59"/>
  </mergeCells>
  <conditionalFormatting sqref="R64:W64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64</vt:i4>
      </vt:variant>
    </vt:vector>
  </HeadingPairs>
  <TitlesOfParts>
    <vt:vector size="65" baseType="lpstr">
      <vt:lpstr>Menu</vt:lpstr>
      <vt:lpstr>db_name</vt:lpstr>
      <vt:lpstr>Freeze_Here</vt:lpstr>
      <vt:lpstr>home</vt:lpstr>
      <vt:lpstr>Menu</vt:lpstr>
      <vt:lpstr>psHLYear</vt:lpstr>
      <vt:lpstr>psScenario</vt:lpstr>
      <vt:lpstr>psUser</vt:lpstr>
      <vt:lpstr>TM1AnalRptARTRecoCAP</vt:lpstr>
      <vt:lpstr>TM1AnalRptARTRecoWB</vt:lpstr>
      <vt:lpstr>TM1AnalRptARTRecoWS</vt:lpstr>
      <vt:lpstr>TM1AnalRptCSVExportRptCAP</vt:lpstr>
      <vt:lpstr>TM1AnalRptCSVExportRptWB</vt:lpstr>
      <vt:lpstr>TM1AnalRptCSVExportRptWS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TM1AnalRptPinksCap</vt:lpstr>
      <vt:lpstr>TM1AnalRptPinksWB</vt:lpstr>
      <vt:lpstr>TM1AnalRptPinksWS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TM1AnalRptScenCompCAP</vt:lpstr>
      <vt:lpstr>TM1AnalRptScenCompWB</vt:lpstr>
      <vt:lpstr>TM1AnalRptScenCompWS</vt:lpstr>
      <vt:lpstr>TM1AnalRptTransCAP</vt:lpstr>
      <vt:lpstr>TM1AnalRptTransWB</vt:lpstr>
      <vt:lpstr>TM1AnalRptTransWS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TM1HomeRepPFSCAP</vt:lpstr>
      <vt:lpstr>TM1HomeRepPFSWB</vt:lpstr>
      <vt:lpstr>TM1HomeRepPFSWS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2025-08-11T06:20:38Z</dcterms:modified>
</cp:coreProperties>
</file>