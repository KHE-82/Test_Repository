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1.bin" ContentType="application/vnd.ms-office.activeX"/>
  <Override PartName="/xl/activeX/activeX4.xml" ContentType="application/vnd.ms-office.activeX+xml"/>
  <Override PartName="/xl/activeX/activeX2.bin" ContentType="application/vnd.ms-office.activeX"/>
  <Override PartName="/xl/activeX/activeX5.xml" ContentType="application/vnd.ms-office.activeX+xml"/>
  <Override PartName="/xl/activeX/activeX3.bin" ContentType="application/vnd.ms-office.activeX"/>
  <Override PartName="/xl/activeX/activeX6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EA591A39-5BA7-4139-847E-CF92A9544267}" xr6:coauthVersionLast="47" xr6:coauthVersionMax="47" xr10:uidLastSave="{00000000-0000-0000-0000-000000000000}"/>
  <bookViews>
    <workbookView xWindow="57480" yWindow="-1965" windowWidth="29040" windowHeight="15840" xr2:uid="{00000000-000D-0000-FFFF-FFFF00000000}"/>
  </bookViews>
  <sheets>
    <sheet name="mapping" sheetId="1" r:id="rId1"/>
    <sheet name="{PL}PickLst" sheetId="3" state="hidden" r:id="rId2"/>
  </sheets>
  <definedNames>
    <definedName name="db_name">mapping!$C$12</definedName>
    <definedName name="psApp">mapping!$C$27</definedName>
    <definedName name="psProgDimName">mapping!$C$23</definedName>
    <definedName name="psUser">mapping!$C$14</definedName>
    <definedName name="TM1AdminAccTempListCAP">mapping!$D$33</definedName>
    <definedName name="TM1AdminAccTempListWB">mapping!$F$33</definedName>
    <definedName name="TM1AdminAccTempListWS">mapping!$H$33</definedName>
    <definedName name="TM1AdminAccTempProgMapCAP">mapping!$D$35</definedName>
    <definedName name="TM1AdminAccTempProgMapWB">mapping!$F$35</definedName>
    <definedName name="TM1AdminAccTempProgMapWS">mapping!$H$35</definedName>
    <definedName name="TM1AdminAccTempUpdateEditCAP">mapping!$D$34</definedName>
    <definedName name="TM1AdminAccTempUpdateEditWB">mapping!$F$34</definedName>
    <definedName name="TM1AdminAccTempUpdateEditWS">mapping!$H$34</definedName>
    <definedName name="TM1GrpNewAdj02ExpDataEntryCAP">mapping!$D$32</definedName>
    <definedName name="TM1GrpNewAdj02ExpDataEntryWB">mapping!$F$32</definedName>
    <definedName name="TM1GrpNewAdj02ExpDataEntryWS">mapping!$H$32</definedName>
    <definedName name="TM1HomeAEAccVarCAP">mapping!$D$31</definedName>
    <definedName name="TM1HomeAEAccVarWB">mapping!$F$31</definedName>
    <definedName name="TM1HomeAEAccVarWS">mapping!$H$31</definedName>
    <definedName name="TM1HomeAECAP">mapping!$D$30</definedName>
    <definedName name="TM1HomeAEWB">mapping!$F$30</definedName>
    <definedName name="TM1HomeAEWS">mapping!$H$30</definedName>
    <definedName name="TM1HomeCAP">mapping!$D$29</definedName>
    <definedName name="TM1HomeWB">mapping!$F$29</definedName>
    <definedName name="TM1HomeWS">mapping!$H$29</definedName>
    <definedName name="TM1REBUILDOPTION">0</definedName>
    <definedName name="TM1RPTDATARNG1" localSheetId="0">mapping!$62:$62</definedName>
    <definedName name="TM1RPTFMTIDCOL" localSheetId="0">mapping!$A$1:$A$8</definedName>
    <definedName name="TM1RPTFMTRNG" localSheetId="0">mapping!$B$1:$AX$8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X40" i="1" l="1"/>
  <c r="AX60" i="1"/>
  <c r="AW40" i="1"/>
  <c r="AW60" i="1"/>
  <c r="AV40" i="1"/>
  <c r="AV60" i="1"/>
  <c r="AU40" i="1"/>
  <c r="AU60" i="1"/>
  <c r="AT40" i="1"/>
  <c r="AT60" i="1"/>
  <c r="AS40" i="1"/>
  <c r="AS60" i="1"/>
  <c r="AR40" i="1"/>
  <c r="AR60" i="1"/>
  <c r="AQ40" i="1"/>
  <c r="AQ60" i="1"/>
  <c r="AP40" i="1"/>
  <c r="AP60" i="1"/>
  <c r="AO40" i="1"/>
  <c r="AO60" i="1"/>
  <c r="AN40" i="1"/>
  <c r="AN60" i="1"/>
  <c r="AM40" i="1"/>
  <c r="AM60" i="1"/>
  <c r="AL40" i="1"/>
  <c r="AL60" i="1"/>
  <c r="AK40" i="1"/>
  <c r="AK60" i="1"/>
  <c r="AJ40" i="1"/>
  <c r="AJ60" i="1"/>
  <c r="AI40" i="1"/>
  <c r="AI60" i="1"/>
  <c r="AH40" i="1"/>
  <c r="AH60" i="1"/>
  <c r="AG40" i="1"/>
  <c r="AG60" i="1"/>
  <c r="AF40" i="1"/>
  <c r="AF60" i="1"/>
  <c r="AE40" i="1"/>
  <c r="AE60" i="1"/>
  <c r="AD40" i="1"/>
  <c r="AD60" i="1"/>
  <c r="AC40" i="1"/>
  <c r="AC60" i="1"/>
  <c r="AB40" i="1"/>
  <c r="AB60" i="1"/>
  <c r="AA40" i="1"/>
  <c r="AA60" i="1"/>
  <c r="Z40" i="1"/>
  <c r="Z60" i="1"/>
  <c r="Y40" i="1"/>
  <c r="Y60" i="1"/>
  <c r="X40" i="1"/>
  <c r="X60" i="1"/>
  <c r="W40" i="1"/>
  <c r="W60" i="1"/>
  <c r="V40" i="1"/>
  <c r="V60" i="1"/>
  <c r="U40" i="1"/>
  <c r="U60" i="1"/>
  <c r="T40" i="1"/>
  <c r="T60" i="1"/>
  <c r="S40" i="1"/>
  <c r="S60" i="1"/>
  <c r="R40" i="1"/>
  <c r="R60" i="1"/>
  <c r="Q40" i="1"/>
  <c r="Q60" i="1"/>
  <c r="P40" i="1"/>
  <c r="P60" i="1"/>
  <c r="O40" i="1"/>
  <c r="O60" i="1"/>
  <c r="N40" i="1"/>
  <c r="N60" i="1"/>
  <c r="M40" i="1"/>
  <c r="M60" i="1"/>
  <c r="L40" i="1"/>
  <c r="L60" i="1"/>
  <c r="K40" i="1"/>
  <c r="K60" i="1"/>
  <c r="C38" i="1"/>
  <c r="K57" i="1"/>
  <c r="C41" i="1"/>
  <c r="J62" i="1"/>
  <c r="C40" i="1"/>
  <c r="C26" i="1"/>
  <c r="C44" i="1"/>
  <c r="AX44" i="1"/>
  <c r="AX61" i="1"/>
  <c r="AW44" i="1"/>
  <c r="AW61" i="1"/>
  <c r="AV44" i="1"/>
  <c r="AV61" i="1"/>
  <c r="AU44" i="1"/>
  <c r="AU61" i="1"/>
  <c r="AT44" i="1"/>
  <c r="AT61" i="1"/>
  <c r="AS44" i="1"/>
  <c r="AS61" i="1"/>
  <c r="AR44" i="1"/>
  <c r="AR61" i="1"/>
  <c r="AQ44" i="1"/>
  <c r="AQ61" i="1"/>
  <c r="AP44" i="1"/>
  <c r="AP61" i="1"/>
  <c r="AO44" i="1"/>
  <c r="AO61" i="1"/>
  <c r="AN44" i="1"/>
  <c r="AN61" i="1"/>
  <c r="AM44" i="1"/>
  <c r="AM61" i="1"/>
  <c r="AL44" i="1"/>
  <c r="AL61" i="1"/>
  <c r="AK44" i="1"/>
  <c r="AK61" i="1"/>
  <c r="AJ44" i="1"/>
  <c r="AJ61" i="1"/>
  <c r="AI44" i="1"/>
  <c r="AI61" i="1"/>
  <c r="AH44" i="1"/>
  <c r="AH61" i="1"/>
  <c r="AG44" i="1"/>
  <c r="AG61" i="1"/>
  <c r="AF44" i="1"/>
  <c r="AF61" i="1"/>
  <c r="AE44" i="1"/>
  <c r="AE61" i="1"/>
  <c r="AD44" i="1"/>
  <c r="AD61" i="1"/>
  <c r="AC44" i="1"/>
  <c r="AC61" i="1"/>
  <c r="AB44" i="1"/>
  <c r="AB61" i="1"/>
  <c r="AA44" i="1"/>
  <c r="AA61" i="1"/>
  <c r="Z44" i="1"/>
  <c r="Z61" i="1"/>
  <c r="Y44" i="1"/>
  <c r="Y61" i="1"/>
  <c r="X44" i="1"/>
  <c r="X61" i="1"/>
  <c r="W44" i="1"/>
  <c r="W61" i="1"/>
  <c r="V44" i="1"/>
  <c r="V61" i="1"/>
  <c r="U44" i="1"/>
  <c r="U61" i="1"/>
  <c r="T44" i="1"/>
  <c r="T61" i="1"/>
  <c r="S44" i="1"/>
  <c r="S61" i="1"/>
  <c r="R44" i="1"/>
  <c r="R61" i="1"/>
  <c r="Q44" i="1"/>
  <c r="Q61" i="1"/>
  <c r="P44" i="1"/>
  <c r="P61" i="1"/>
  <c r="O44" i="1"/>
  <c r="O61" i="1"/>
  <c r="N44" i="1"/>
  <c r="N61" i="1"/>
  <c r="M44" i="1"/>
  <c r="M61" i="1"/>
  <c r="L44" i="1"/>
  <c r="L61" i="1"/>
  <c r="K44" i="1"/>
  <c r="K61" i="1"/>
  <c r="C20" i="1"/>
  <c r="C23" i="1"/>
  <c r="C39" i="1"/>
  <c r="H35" i="1"/>
  <c r="G35" i="1"/>
  <c r="F35" i="1"/>
  <c r="E35" i="1"/>
  <c r="D35" i="1"/>
  <c r="C35" i="1"/>
  <c r="H34" i="1"/>
  <c r="G34" i="1"/>
  <c r="F34" i="1"/>
  <c r="E34" i="1"/>
  <c r="D34" i="1"/>
  <c r="C34" i="1"/>
  <c r="H33" i="1"/>
  <c r="G33" i="1"/>
  <c r="F33" i="1"/>
  <c r="E33" i="1"/>
  <c r="D33" i="1"/>
  <c r="C33" i="1"/>
  <c r="H32" i="1"/>
  <c r="G32" i="1"/>
  <c r="F32" i="1"/>
  <c r="E32" i="1"/>
  <c r="D32" i="1"/>
  <c r="C32" i="1"/>
  <c r="H31" i="1"/>
  <c r="G31" i="1"/>
  <c r="F31" i="1"/>
  <c r="E31" i="1"/>
  <c r="D31" i="1"/>
  <c r="C31" i="1"/>
  <c r="H30" i="1"/>
  <c r="G30" i="1"/>
  <c r="F30" i="1"/>
  <c r="E30" i="1"/>
  <c r="D30" i="1"/>
  <c r="C30" i="1"/>
  <c r="H29" i="1"/>
  <c r="G29" i="1"/>
  <c r="F29" i="1"/>
  <c r="E29" i="1"/>
  <c r="D29" i="1"/>
  <c r="C29" i="1"/>
  <c r="C22" i="1"/>
  <c r="C21" i="1"/>
  <c r="C13" i="1"/>
  <c r="C14" i="1"/>
  <c r="C15" i="1"/>
  <c r="C16" i="1"/>
  <c r="C17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A62" i="1"/>
  <c r="A5" i="1"/>
  <c r="A4" i="1"/>
  <c r="A3" i="1"/>
  <c r="A2" i="1"/>
</calcChain>
</file>

<file path=xl/sharedStrings.xml><?xml version="1.0" encoding="utf-8"?>
<sst xmlns="http://schemas.openxmlformats.org/spreadsheetml/2006/main" count="133" uniqueCount="131">
  <si>
    <t>account template measure</t>
  </si>
  <si>
    <t>00001</t>
  </si>
  <si>
    <t>00002</t>
  </si>
  <si>
    <t>00003</t>
  </si>
  <si>
    <t>00004</t>
  </si>
  <si>
    <t>00005</t>
  </si>
  <si>
    <t>00006</t>
  </si>
  <si>
    <t>00007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</si>
  <si>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</si>
  <si>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</si>
  <si>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</si>
  <si>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</si>
  <si>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</si>
  <si>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</si>
  <si>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</si>
  <si>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</si>
  <si>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</si>
  <si>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</si>
  <si>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</si>
  <si>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</si>
  <si>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</si>
  <si>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</si>
  <si>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</si>
  <si>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</si>
  <si>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</si>
  <si>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</si>
  <si>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</si>
  <si>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</si>
  <si>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</si>
  <si>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</si>
  <si>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</si>
  <si>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</si>
  <si>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</si>
  <si>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</si>
  <si>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</si>
  <si>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</si>
  <si>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</si>
  <si>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</si>
  <si>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</si>
  <si>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</si>
  <si>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</si>
  <si>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D</t>
  </si>
  <si>
    <t>N</t>
  </si>
  <si>
    <t>[Begin Format Range]</t>
  </si>
  <si>
    <t>[End Format Range]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</si>
  <si>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</si>
  <si>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</si>
  <si>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</si>
  <si>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</si>
  <si>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</si>
  <si>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</si>
  <si>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</si>
  <si>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</si>
  <si>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</si>
  <si>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</si>
  <si>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</si>
  <si>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sys_application MDX</t>
  </si>
  <si>
    <t>Slice View (sys_application)</t>
  </si>
  <si>
    <t>Current Workbook</t>
  </si>
  <si>
    <t>Admin Acc Temp - Account Template List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</si>
  <si>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</si>
  <si>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</si>
  <si>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</si>
  <si>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</si>
  <si>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</si>
  <si>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</si>
  <si>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</si>
  <si>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</si>
  <si>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</si>
  <si>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Account Variation</t>
  </si>
  <si>
    <t>Group Data Entry - New Adj 02 - Expense Data Entry</t>
  </si>
  <si>
    <t>Admin Acc Temp - Update Account Template</t>
  </si>
  <si>
    <t>Admin Acc Temp - Program To Account Template Mapping</t>
  </si>
  <si>
    <t>AE Account Template Mapping</t>
  </si>
  <si>
    <t>Active Form</t>
  </si>
  <si>
    <t>Slice</t>
  </si>
  <si>
    <t>Program MDX</t>
  </si>
  <si>
    <t>REPORT FILTERS</t>
  </si>
  <si>
    <t>program dimension name</t>
  </si>
  <si>
    <t xml:space="preserve">Program : </t>
  </si>
  <si>
    <t>}ElementAttributes_Account Template</t>
  </si>
  <si>
    <t>Slice View</t>
  </si>
  <si>
    <t>Program</t>
  </si>
  <si>
    <t>Program to Account Template Mapping</t>
  </si>
  <si>
    <t xml:space="preserve">Note : Add 1 to add mapping or 0 to remove mapping for each program. </t>
  </si>
  <si>
    <t xml:space="preserve">Note : Click to the 'Update Mapping Subsets' to allow the program to see available template during Group Adjustment Data Entry. 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</si>
  <si>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</si>
  <si>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</si>
  <si>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</si>
  <si>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</si>
  <si>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</si>
  <si>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</si>
  <si>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</si>
  <si>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</si>
  <si>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</si>
  <si>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</si>
  <si>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</si>
  <si>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</si>
  <si>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</si>
  <si>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</si>
  <si>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</si>
  <si>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</si>
  <si>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</si>
  <si>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</si>
  <si>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</si>
  <si>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</si>
  <si>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</si>
  <si>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</si>
  <si>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</si>
  <si>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</si>
  <si>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</si>
  <si>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</si>
  <si>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</si>
  <si>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</si>
  <si>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</si>
  <si>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</si>
  <si>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</si>
  <si>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</si>
  <si>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</si>
  <si>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</si>
  <si>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</si>
  <si>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</si>
  <si>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</si>
  <si>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</si>
  <si>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00079</t>
  </si>
  <si>
    <t>00080</t>
  </si>
  <si>
    <t>To Use</t>
  </si>
  <si>
    <t>00001 - 00040</t>
  </si>
  <si>
    <t>00041 - 00080</t>
  </si>
  <si>
    <t xml:space="preserve">Account Template Columns : 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</si>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</sst>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- &quot;@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426A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4" fillId="0" borderId="4" xfId="0" applyFont="1" applyBorder="1"/>
    <xf numFmtId="0" fontId="5" fillId="0" borderId="4" xfId="0" applyFont="1" applyBorder="1"/>
    <xf numFmtId="0" fontId="1" fillId="0" borderId="4" xfId="0" applyFont="1" applyBorder="1"/>
    <xf numFmtId="0" fontId="2" fillId="0" borderId="4" xfId="0" applyFont="1" applyBorder="1"/>
    <xf numFmtId="0" fontId="0" fillId="0" borderId="4" xfId="0" applyBorder="1" applyAlignment="1">
      <alignment horizontal="left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4" xfId="0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0" borderId="0" xfId="0" applyFont="1" applyAlignment="1">
      <alignment horizontal="right"/>
    </xf>
    <xf numFmtId="0" fontId="6" fillId="0" borderId="4" xfId="0" applyFont="1" applyBorder="1"/>
    <xf numFmtId="0" fontId="6" fillId="4" borderId="4" xfId="0" applyFont="1" applyFill="1" applyBorder="1"/>
    <xf numFmtId="0" fontId="6" fillId="5" borderId="4" xfId="0" applyFont="1" applyFill="1" applyBorder="1"/>
    <xf numFmtId="0" fontId="1" fillId="6" borderId="0" xfId="0" applyFont="1" applyFill="1" applyAlignment="1">
      <alignment horizontal="center" vertical="center" wrapText="1"/>
    </xf>
    <xf numFmtId="0" fontId="6" fillId="4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8" fillId="6" borderId="0" xfId="0" applyFont="1" applyFill="1" applyAlignment="1">
      <alignment vertical="center"/>
    </xf>
    <xf numFmtId="0" fontId="7" fillId="6" borderId="7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8" fillId="6" borderId="0" xfId="0" applyFont="1" applyFill="1" applyAlignment="1">
      <alignment horizontal="right" vertical="center"/>
    </xf>
    <xf numFmtId="0" fontId="9" fillId="0" borderId="0" xfId="0" applyFont="1"/>
    <xf numFmtId="0" fontId="10" fillId="0" borderId="0" xfId="0" applyFont="1"/>
    <xf numFmtId="164" fontId="6" fillId="4" borderId="4" xfId="0" applyNumberFormat="1" applyFont="1" applyFill="1" applyBorder="1"/>
    <xf numFmtId="0" fontId="0" fillId="0" borderId="0" xfId="0" applyAlignment="1">
      <alignment horizontal="left" indent="1"/>
    </xf>
    <xf numFmtId="0" fontId="0" fillId="2" borderId="4" xfId="0" applyFill="1" applyBorder="1"/>
    <xf numFmtId="0" fontId="0" fillId="2" borderId="4" xfId="0" quotePrefix="1" applyFill="1" applyBorder="1"/>
    <xf numFmtId="0" fontId="2" fillId="2" borderId="4" xfId="0" applyFont="1" applyFill="1" applyBorder="1" applyAlignment="1">
      <alignment horizontal="right"/>
    </xf>
    <xf numFmtId="0" fontId="0" fillId="0" borderId="4" xfId="0" applyBorder="1" applyAlignment="1">
      <alignment horizontal="left" inden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217"/>
  <ax:ocxPr ax:name="_ExtentY" ax:value="476"/>
  <ax:ocxPr ax:name="_StockProps" ax:value="0"/>
  <ax:ocxPr ax:name="ServerName" ax:value="=db_name"/>
  <ax:ocxPr ax:name="ProcessName" ax:value="sys_Client - Clear Validation Data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6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*KEY_ERR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WB"/>
  <ax:ocxPr ax:name="TargetWorksheetName" ax:value="=TM1Home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HomeCAP"/>
  <ax:ocxPr ax:name="ResizeButtonToCaption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170"/>
  <ax:ocxPr ax:name="_ExtentY" ax:value="476"/>
  <ax:ocxPr ax:name="_StockProps" ax:value="0"/>
  <ax:ocxPr ax:name="ServerName" ax:value="=db_name"/>
  <ax:ocxPr ax:name="ProcessName" ax:value="sys_Client - Clear Validation Data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6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Data Entry Menu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0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AEAccVarWB"/>
  <ax:ocxPr ax:name="TargetWorksheetName" ax:value="=TM1HomeAEAccVar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2"/>
  <ax:ocxPr ax:name="DoReCalcOnly" ax:value="0"/>
  <ax:ocxPr ax:name="UseReferenceForServerName" ax:value="-1"/>
  <ax:ocxPr ax:name="ResizeButtonToCaption" ax:value="0"/>
</ax:ocx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805"/>
  <ax:ocxPr ax:name="_ExtentY" ax:value="476"/>
  <ax:ocxPr ax:name="_StockProps" ax:value="0"/>
  <ax:ocxPr ax:name="ServerName" ax:value="=db_name"/>
  <ax:ocxPr ax:name="ProcessName" ax:value="sys_Acc Temp Mapping 01 - Create Source Map"/>
  <ax:ocxPr ax:name="Name" ax:value="psUser"/>
  <ax:ocxPr ax:name="Type" ax:value="0"/>
  <ax:ocxPr ax:name="Value" ax:value="=psUser"/>
  <ax:ocxPr ax:name="Prompt" ax:value=""/>
  <ax:ocxPr ax:name="BackColor" ax:value="4734771"/>
  <ax:ocxPr ax:name="ForeColor" ax:value="16777215"/>
  <ax:ocxPr ax:name="Font">
    <ax:font ax:persistence="persistPropertyBag">
      <ax:ocxPr ax:name="Name" ax:value="Calibri"/>
      <ax:ocxPr ax:name="Size" ax:value="9.6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Update Mapping Subsets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0"/>
  <ax:ocxPr ax:name="ConfirmMessage" ax:value="Do you want to update the Program to Account Template mapping subsets?"/>
  <ax:ocxPr ax:name="SuccessMessage" ax:value="Program to Account Template Mapping subsets has been updated."/>
  <ax:ocxPr ax:name="FailureMessage" ax:value="Program to Account Mapping has been cancelled."/>
  <ax:ocxPr ax:name="ShowConfirmMessage" ax:value="-1"/>
  <ax:ocxPr ax:name="ShowSuccessMessage" ax:value="-1"/>
  <ax:ocxPr ax:name="ShowFailureMessage" ax:value="-1"/>
  <ax:ocxPr ax:name="TargetWorkbookName" ax:value="=TM1NewAdj04CopyWB"/>
  <ax:ocxPr ax:name="TargetWorksheetName" ax:value="=TM1NewAdj04Copy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0"/>
  <ax:ocxPr ax:name="UseApporg" ax:value="-1"/>
  <ax:ocxPr ax:name="Version" ax:value="6"/>
  <ax:ocxPr ax:name="PreRecalc" ax:value="1"/>
  <ax:ocxPr ax:name="WorkSheetRecalc" ax:value="2"/>
  <ax:ocxPr ax:name="ProcessRecalc" ax:value="2"/>
  <ax:ocxPr ax:name="DoReCalcOnly" ax:value="0"/>
  <ax:ocxPr ax:name="UseReferenceForServerName" ax:value="-1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47</xdr:row>
      <xdr:rowOff>28575</xdr:rowOff>
    </xdr:from>
    <xdr:to>
      <xdr:col>9</xdr:col>
      <xdr:colOff>1790700</xdr:colOff>
      <xdr:row>47</xdr:row>
      <xdr:rowOff>474345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38100</xdr:colOff>
          <xdr:row>49</xdr:row>
          <xdr:rowOff>7620</xdr:rowOff>
        </xdr:from>
        <xdr:to>
          <xdr:col>9</xdr:col>
          <xdr:colOff>617220</xdr:colOff>
          <xdr:row>49</xdr:row>
          <xdr:rowOff>259080</xdr:rowOff>
        </xdr:to>
        <xdr:sp macro="" textlink="">
          <xdr:nvSpPr>
            <xdr:cNvPr id="1026" name="TIButton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647700</xdr:colOff>
          <xdr:row>49</xdr:row>
          <xdr:rowOff>7620</xdr:rowOff>
        </xdr:from>
        <xdr:to>
          <xdr:col>9</xdr:col>
          <xdr:colOff>1775460</xdr:colOff>
          <xdr:row>49</xdr:row>
          <xdr:rowOff>259080</xdr:rowOff>
        </xdr:to>
        <xdr:sp macro="" textlink="">
          <xdr:nvSpPr>
            <xdr:cNvPr id="1027" name="TIButton2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83820</xdr:colOff>
          <xdr:row>49</xdr:row>
          <xdr:rowOff>7620</xdr:rowOff>
        </xdr:from>
        <xdr:to>
          <xdr:col>10</xdr:col>
          <xdr:colOff>868680</xdr:colOff>
          <xdr:row>49</xdr:row>
          <xdr:rowOff>259080</xdr:rowOff>
        </xdr:to>
        <xdr:sp macro="" textlink="">
          <xdr:nvSpPr>
            <xdr:cNvPr id="1028" name="TIButton3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1798320</xdr:colOff>
          <xdr:row>49</xdr:row>
          <xdr:rowOff>7620</xdr:rowOff>
        </xdr:from>
        <xdr:to>
          <xdr:col>9</xdr:col>
          <xdr:colOff>3154680</xdr:colOff>
          <xdr:row>49</xdr:row>
          <xdr:rowOff>259080</xdr:rowOff>
        </xdr:to>
        <xdr:sp macro="" textlink="">
          <xdr:nvSpPr>
            <xdr:cNvPr id="1029" name="TIButton4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723900</xdr:colOff>
          <xdr:row>48</xdr:row>
          <xdr:rowOff>38100</xdr:rowOff>
        </xdr:from>
        <xdr:to>
          <xdr:col>17</xdr:col>
          <xdr:colOff>1036320</xdr:colOff>
          <xdr:row>49</xdr:row>
          <xdr:rowOff>297180</xdr:rowOff>
        </xdr:to>
        <xdr:sp macro="" textlink="">
          <xdr:nvSpPr>
            <xdr:cNvPr id="1030" name="TIButton5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3200400</xdr:colOff>
          <xdr:row>49</xdr:row>
          <xdr:rowOff>7620</xdr:rowOff>
        </xdr:from>
        <xdr:to>
          <xdr:col>9</xdr:col>
          <xdr:colOff>4686300</xdr:colOff>
          <xdr:row>49</xdr:row>
          <xdr:rowOff>259080</xdr:rowOff>
        </xdr:to>
        <xdr:sp macro="" textlink="">
          <xdr:nvSpPr>
            <xdr:cNvPr id="1031" name="TIButton6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howOutlineSymbols="0"/>
    <pageSetUpPr fitToPage="1"/>
  </sheetPr>
  <dimension ref="A1:AX62"/>
  <sheetViews>
    <sheetView showGridLines="0" showRowColHeaders="0" tabSelected="1" showOutlineSymbols="0" topLeftCell="A48" workbookViewId="0">
      <pane xSplit="10" ySplit="14" topLeftCell="K62" activePane="bottomRight" state="frozen"/>
      <selection activeCell="I48" sqref="I48"/>
      <selection pane="topRight" activeCell="K48" sqref="K48"/>
      <selection pane="bottomLeft" activeCell="I62" sqref="I62"/>
      <selection pane="bottomRight"/>
    </sheetView>
  </sheetViews>
  <sheetFormatPr defaultRowHeight="14.4" outlineLevelRow="1" outlineLevelCol="1" x14ac:dyDescent="0.3"/>
  <cols>
    <col min="1" max="1" width="2.6640625" hidden="1" customWidth="1" outlineLevel="1"/>
    <col min="2" max="2" width="59.33203125" hidden="1" customWidth="1" outlineLevel="1"/>
    <col min="3" max="6" width="24.5546875" hidden="1" customWidth="1" outlineLevel="1"/>
    <col min="7" max="7" width="10.6640625" hidden="1" customWidth="1" outlineLevel="1"/>
    <col min="8" max="8" width="24.5546875" hidden="1" customWidth="1" outlineLevel="1"/>
    <col min="9" max="9" width="0.88671875" customWidth="1" collapsed="1"/>
    <col min="10" max="10" width="70.6640625" customWidth="1"/>
    <col min="11" max="50" width="15.6640625" customWidth="1"/>
  </cols>
  <sheetData>
    <row r="1" spans="1:50" hidden="1" outlineLevel="1" x14ac:dyDescent="0.3">
      <c r="A1" t="s">
        <v>43</v>
      </c>
    </row>
    <row r="2" spans="1:50" hidden="1" outlineLevel="1" x14ac:dyDescent="0.3">
      <c r="A2">
        <f>0</f>
        <v>0</v>
      </c>
      <c r="J2" s="14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1:50" hidden="1" outlineLevel="1" x14ac:dyDescent="0.3">
      <c r="A3">
        <f>1</f>
        <v>1</v>
      </c>
      <c r="J3" s="15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</row>
    <row r="4" spans="1:50" hidden="1" outlineLevel="1" x14ac:dyDescent="0.3">
      <c r="A4">
        <f>2</f>
        <v>2</v>
      </c>
      <c r="J4" s="15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</row>
    <row r="5" spans="1:50" hidden="1" outlineLevel="1" x14ac:dyDescent="0.3">
      <c r="A5">
        <f>3</f>
        <v>3</v>
      </c>
      <c r="J5" s="15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</row>
    <row r="6" spans="1:50" hidden="1" outlineLevel="1" x14ac:dyDescent="0.3">
      <c r="A6" t="s">
        <v>41</v>
      </c>
      <c r="J6" s="15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</row>
    <row r="7" spans="1:50" hidden="1" outlineLevel="1" x14ac:dyDescent="0.3">
      <c r="A7" t="s">
        <v>42</v>
      </c>
      <c r="J7" s="13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</row>
    <row r="8" spans="1:50" hidden="1" outlineLevel="1" x14ac:dyDescent="0.3">
      <c r="A8" t="s">
        <v>44</v>
      </c>
    </row>
    <row r="9" spans="1:50" hidden="1" outlineLevel="1" x14ac:dyDescent="0.3"/>
    <row r="10" spans="1:50" hidden="1" outlineLevel="1" x14ac:dyDescent="0.3"/>
    <row r="11" spans="1:50" hidden="1" outlineLevel="1" x14ac:dyDescent="0.3">
      <c r="B11" s="32" t="s">
        <v>45</v>
      </c>
      <c r="C11" s="33"/>
      <c r="D11" s="34"/>
    </row>
    <row r="12" spans="1:50" hidden="1" outlineLevel="1" x14ac:dyDescent="0.3">
      <c r="B12" s="2" t="s">
        <v>46</v>
      </c>
      <c r="C12" s="3" t="s">
        <v>130</v>
      </c>
      <c r="D12" s="4"/>
    </row>
    <row r="13" spans="1:50" hidden="1" outlineLevel="1" x14ac:dyDescent="0.3">
      <c r="B13" s="5" t="s">
        <v>47</v>
      </c>
      <c r="C13" s="6" t="str">
        <f ca="1">_xll.VIEW(db_name&amp;":}ElementAttributes_}Clients","!","!")</f>
        <v>dcceew_geus:}ElementAttributes_}Clients</v>
      </c>
      <c r="D13" s="7"/>
    </row>
    <row r="14" spans="1:50" hidden="1" outlineLevel="1" x14ac:dyDescent="0.3">
      <c r="B14" s="5" t="s">
        <v>48</v>
      </c>
      <c r="C14" s="8" t="str">
        <f ca="1">_xll.TM1USER(db_name)</f>
        <v/>
      </c>
      <c r="D14" s="7"/>
    </row>
    <row r="15" spans="1:50" hidden="1" outlineLevel="1" x14ac:dyDescent="0.3">
      <c r="B15" s="5" t="s">
        <v>49</v>
      </c>
      <c r="C15" s="8" t="str">
        <f ca="1">_xll.DBR($C$13,$C$14,$B15)</f>
        <v>*KEY_ERR</v>
      </c>
      <c r="D15" s="7"/>
    </row>
    <row r="16" spans="1:50" hidden="1" outlineLevel="1" x14ac:dyDescent="0.3">
      <c r="B16" s="5" t="s">
        <v>50</v>
      </c>
      <c r="C16" s="8" t="str">
        <f ca="1">_xll.DBR($C$13,$C$14,$B16)</f>
        <v>*KEY_ERR</v>
      </c>
      <c r="D16" s="7"/>
    </row>
    <row r="17" spans="2:8" hidden="1" outlineLevel="1" x14ac:dyDescent="0.3">
      <c r="B17" s="5" t="s">
        <v>51</v>
      </c>
      <c r="C17" s="8" t="str">
        <f ca="1">IF(LEFT($C$15,6)="CAM_AD",$C$16,$C$15)</f>
        <v>*KEY_ERR</v>
      </c>
      <c r="D17" s="9"/>
    </row>
    <row r="18" spans="2:8" hidden="1" outlineLevel="1" x14ac:dyDescent="0.3"/>
    <row r="19" spans="2:8" hidden="1" outlineLevel="1" x14ac:dyDescent="0.3">
      <c r="B19" s="32" t="s">
        <v>52</v>
      </c>
      <c r="C19" s="33"/>
      <c r="D19" s="34"/>
    </row>
    <row r="20" spans="2:8" hidden="1" outlineLevel="1" x14ac:dyDescent="0.3">
      <c r="B20" s="5" t="s">
        <v>53</v>
      </c>
      <c r="C20" s="9" t="str">
        <f ca="1">_xll.VIEW(db_name&amp;":}ElementAttributes_variables","!","!")</f>
        <v>dcceew_geus:}ElementAttributes_variables</v>
      </c>
      <c r="D20" s="9"/>
    </row>
    <row r="21" spans="2:8" hidden="1" outlineLevel="1" x14ac:dyDescent="0.3">
      <c r="B21" s="5" t="s">
        <v>54</v>
      </c>
      <c r="C21" s="9" t="str">
        <f ca="1">_xll.DBR($C$20,$B21,"value")</f>
        <v>*KEY_ERR</v>
      </c>
      <c r="D21" s="9"/>
    </row>
    <row r="22" spans="2:8" hidden="1" outlineLevel="1" x14ac:dyDescent="0.3">
      <c r="B22" s="5" t="s">
        <v>55</v>
      </c>
      <c r="C22" s="9" t="str">
        <f ca="1">_xll.DBR($C$20,$B22,"value")</f>
        <v>*KEY_ERR</v>
      </c>
      <c r="D22" s="9"/>
    </row>
    <row r="23" spans="2:8" hidden="1" outlineLevel="1" x14ac:dyDescent="0.3">
      <c r="B23" s="5" t="s">
        <v>78</v>
      </c>
      <c r="C23" s="9" t="str">
        <f ca="1">_xll.DBR($C$20,$B23,"value")</f>
        <v>*KEY_ERR</v>
      </c>
      <c r="D23" s="9"/>
    </row>
    <row r="24" spans="2:8" hidden="1" outlineLevel="1" x14ac:dyDescent="0.3"/>
    <row r="25" spans="2:8" hidden="1" outlineLevel="1" x14ac:dyDescent="0.3">
      <c r="B25" s="32" t="s">
        <v>56</v>
      </c>
      <c r="C25" s="33"/>
      <c r="D25" s="34"/>
    </row>
    <row r="26" spans="2:8" hidden="1" outlineLevel="1" x14ac:dyDescent="0.3">
      <c r="B26" s="9" t="s">
        <v>57</v>
      </c>
      <c r="C26" s="9" t="str">
        <f ca="1">_xll.VIEW(db_name&amp;":sys_application","!","!")</f>
        <v>dcceew_geus:sys_application</v>
      </c>
    </row>
    <row r="27" spans="2:8" hidden="1" outlineLevel="1" x14ac:dyDescent="0.3">
      <c r="B27" s="9" t="s">
        <v>58</v>
      </c>
      <c r="C27" s="9" t="s">
        <v>72</v>
      </c>
    </row>
    <row r="28" spans="2:8" hidden="1" outlineLevel="1" x14ac:dyDescent="0.3">
      <c r="B28" s="10" t="s">
        <v>60</v>
      </c>
      <c r="C28" s="11" t="s">
        <v>61</v>
      </c>
      <c r="D28" s="11" t="s">
        <v>62</v>
      </c>
      <c r="E28" s="11" t="s">
        <v>63</v>
      </c>
      <c r="F28" s="11" t="s">
        <v>64</v>
      </c>
      <c r="G28" s="11" t="s">
        <v>65</v>
      </c>
      <c r="H28" s="11" t="s">
        <v>66</v>
      </c>
    </row>
    <row r="29" spans="2:8" hidden="1" outlineLevel="1" x14ac:dyDescent="0.3">
      <c r="B29" s="9" t="s">
        <v>67</v>
      </c>
      <c r="C29" s="9" t="str">
        <f ca="1">_xll.DBR($C$26,$B29,C$28)</f>
        <v>*KEY_ERR</v>
      </c>
      <c r="D29" s="9" t="str">
        <f ca="1">_xll.DBR($C$26,$B29,D$28)</f>
        <v>*KEY_ERR</v>
      </c>
      <c r="E29" s="9" t="str">
        <f ca="1">_xll.DBR($C$26,$B29,E$28)</f>
        <v>*KEY_ERR</v>
      </c>
      <c r="F29" s="9" t="str">
        <f ca="1">_xll.DBR($C$26,$B29,F$28)</f>
        <v>*KEY_ERR</v>
      </c>
      <c r="G29" s="9" t="str">
        <f ca="1">_xll.DBR($C$26,$B29,G$28)</f>
        <v>*KEY_ERR</v>
      </c>
      <c r="H29" s="9" t="str">
        <f ca="1">_xll.DBR($C$26,$B29,H$28)</f>
        <v>*KEY_ERR</v>
      </c>
    </row>
    <row r="30" spans="2:8" hidden="1" outlineLevel="1" x14ac:dyDescent="0.3">
      <c r="B30" s="9" t="s">
        <v>68</v>
      </c>
      <c r="C30" s="9" t="str">
        <f ca="1">_xll.DBR($C$26,$B30,C$28)</f>
        <v>*KEY_ERR</v>
      </c>
      <c r="D30" s="9" t="str">
        <f ca="1">_xll.DBR($C$26,$B30,D$28)</f>
        <v>*KEY_ERR</v>
      </c>
      <c r="E30" s="9" t="str">
        <f ca="1">_xll.DBR($C$26,$B30,E$28)</f>
        <v>*KEY_ERR</v>
      </c>
      <c r="F30" s="9" t="str">
        <f ca="1">_xll.DBR($C$26,$B30,F$28)</f>
        <v>*KEY_ERR</v>
      </c>
      <c r="G30" s="9" t="str">
        <f ca="1">_xll.DBR($C$26,$B30,G$28)</f>
        <v>*KEY_ERR</v>
      </c>
      <c r="H30" s="9" t="str">
        <f ca="1">_xll.DBR($C$26,$B30,H$28)</f>
        <v>*KEY_ERR</v>
      </c>
    </row>
    <row r="31" spans="2:8" hidden="1" outlineLevel="1" x14ac:dyDescent="0.3">
      <c r="B31" s="9" t="s">
        <v>69</v>
      </c>
      <c r="C31" s="9" t="str">
        <f ca="1">_xll.DBR($C$26,$B31,C$28)</f>
        <v>*KEY_ERR</v>
      </c>
      <c r="D31" s="9" t="str">
        <f ca="1">_xll.DBR($C$26,$B31,D$28)</f>
        <v>*KEY_ERR</v>
      </c>
      <c r="E31" s="9" t="str">
        <f ca="1">_xll.DBR($C$26,$B31,E$28)</f>
        <v>*KEY_ERR</v>
      </c>
      <c r="F31" s="9" t="str">
        <f ca="1">_xll.DBR($C$26,$B31,F$28)</f>
        <v>*KEY_ERR</v>
      </c>
      <c r="G31" s="9" t="str">
        <f ca="1">_xll.DBR($C$26,$B31,G$28)</f>
        <v>*KEY_ERR</v>
      </c>
      <c r="H31" s="9" t="str">
        <f ca="1">_xll.DBR($C$26,$B31,H$28)</f>
        <v>*KEY_ERR</v>
      </c>
    </row>
    <row r="32" spans="2:8" hidden="1" outlineLevel="1" x14ac:dyDescent="0.3">
      <c r="B32" s="9" t="s">
        <v>70</v>
      </c>
      <c r="C32" s="9" t="str">
        <f ca="1">_xll.DBR($C$26,$B32,C$28)</f>
        <v>*KEY_ERR</v>
      </c>
      <c r="D32" s="9" t="str">
        <f ca="1">_xll.DBR($C$26,$B32,D$28)</f>
        <v>*KEY_ERR</v>
      </c>
      <c r="E32" s="9" t="str">
        <f ca="1">_xll.DBR($C$26,$B32,E$28)</f>
        <v>*KEY_ERR</v>
      </c>
      <c r="F32" s="9" t="str">
        <f ca="1">_xll.DBR($C$26,$B32,F$28)</f>
        <v>*KEY_ERR</v>
      </c>
      <c r="G32" s="9" t="str">
        <f ca="1">_xll.DBR($C$26,$B32,G$28)</f>
        <v>*KEY_ERR</v>
      </c>
      <c r="H32" s="9" t="str">
        <f ca="1">_xll.DBR($C$26,$B32,H$28)</f>
        <v>*KEY_ERR</v>
      </c>
    </row>
    <row r="33" spans="2:50" hidden="1" outlineLevel="1" x14ac:dyDescent="0.3">
      <c r="B33" s="9" t="s">
        <v>59</v>
      </c>
      <c r="C33" s="9" t="str">
        <f ca="1">_xll.DBR($C$26,$B33,C$28)</f>
        <v>*KEY_ERR</v>
      </c>
      <c r="D33" s="9" t="str">
        <f ca="1">_xll.DBR($C$26,$B33,D$28)</f>
        <v>*KEY_ERR</v>
      </c>
      <c r="E33" s="9" t="str">
        <f ca="1">_xll.DBR($C$26,$B33,E$28)</f>
        <v>*KEY_ERR</v>
      </c>
      <c r="F33" s="9" t="str">
        <f ca="1">_xll.DBR($C$26,$B33,F$28)</f>
        <v>*KEY_ERR</v>
      </c>
      <c r="G33" s="9" t="str">
        <f ca="1">_xll.DBR($C$26,$B33,G$28)</f>
        <v>*KEY_ERR</v>
      </c>
      <c r="H33" s="9" t="str">
        <f ca="1">_xll.DBR($C$26,$B33,H$28)</f>
        <v>*KEY_ERR</v>
      </c>
    </row>
    <row r="34" spans="2:50" hidden="1" outlineLevel="1" x14ac:dyDescent="0.3">
      <c r="B34" s="9" t="s">
        <v>71</v>
      </c>
      <c r="C34" s="9" t="str">
        <f ca="1">_xll.DBR($C$26,$B34,C$28)</f>
        <v>*KEY_ERR</v>
      </c>
      <c r="D34" s="9" t="str">
        <f ca="1">_xll.DBR($C$26,$B34,D$28)</f>
        <v>*KEY_ERR</v>
      </c>
      <c r="E34" s="9" t="str">
        <f ca="1">_xll.DBR($C$26,$B34,E$28)</f>
        <v>*KEY_ERR</v>
      </c>
      <c r="F34" s="9" t="str">
        <f ca="1">_xll.DBR($C$26,$B34,F$28)</f>
        <v>*KEY_ERR</v>
      </c>
      <c r="G34" s="9" t="str">
        <f ca="1">_xll.DBR($C$26,$B34,G$28)</f>
        <v>*KEY_ERR</v>
      </c>
      <c r="H34" s="9" t="str">
        <f ca="1">_xll.DBR($C$26,$B34,H$28)</f>
        <v>*KEY_ERR</v>
      </c>
    </row>
    <row r="35" spans="2:50" hidden="1" outlineLevel="1" x14ac:dyDescent="0.3">
      <c r="B35" s="9" t="s">
        <v>72</v>
      </c>
      <c r="C35" s="9" t="str">
        <f ca="1">_xll.DBR($C$26,$B35,C$28)</f>
        <v>*KEY_ERR</v>
      </c>
      <c r="D35" s="9" t="str">
        <f ca="1">_xll.DBR($C$26,$B35,D$28)</f>
        <v>*KEY_ERR</v>
      </c>
      <c r="E35" s="9" t="str">
        <f ca="1">_xll.DBR($C$26,$B35,E$28)</f>
        <v>*KEY_ERR</v>
      </c>
      <c r="F35" s="9" t="str">
        <f ca="1">_xll.DBR($C$26,$B35,F$28)</f>
        <v>*KEY_ERR</v>
      </c>
      <c r="G35" s="9" t="str">
        <f ca="1">_xll.DBR($C$26,$B35,G$28)</f>
        <v>*KEY_ERR</v>
      </c>
      <c r="H35" s="9" t="str">
        <f ca="1">_xll.DBR($C$26,$B35,H$28)</f>
        <v>*KEY_ERR</v>
      </c>
    </row>
    <row r="36" spans="2:50" hidden="1" outlineLevel="1" x14ac:dyDescent="0.3"/>
    <row r="37" spans="2:50" hidden="1" outlineLevel="1" x14ac:dyDescent="0.3">
      <c r="B37" s="32" t="s">
        <v>73</v>
      </c>
      <c r="C37" s="33"/>
      <c r="D37" s="34"/>
    </row>
    <row r="38" spans="2:50" hidden="1" outlineLevel="1" x14ac:dyDescent="0.3">
      <c r="B38" s="9" t="s">
        <v>74</v>
      </c>
      <c r="C38" s="9" t="str">
        <f ca="1">_xll.TM1RPTVIEW(db_name&amp;":AE account template mapping:1", 0, _xll.TM1RPTTITLE(db_name&amp;":account template measure",$C$40),TM1RPTFMTRNG,TM1RPTFMTIDCOL)</f>
        <v>dcceew_geus:AE account template mapping:1</v>
      </c>
      <c r="D38" s="9"/>
    </row>
    <row r="39" spans="2:50" hidden="1" outlineLevel="1" x14ac:dyDescent="0.3">
      <c r="B39" s="9" t="s">
        <v>75</v>
      </c>
      <c r="C39" s="9" t="str">
        <f ca="1">_xll.VIEW(db_name&amp;":AE account template mapping","!","!","!")</f>
        <v>dcceew_geus:AE account template mapping</v>
      </c>
      <c r="D39" s="9"/>
    </row>
    <row r="40" spans="2:50" hidden="1" outlineLevel="1" x14ac:dyDescent="0.3">
      <c r="B40" s="5" t="s">
        <v>0</v>
      </c>
      <c r="C40" s="9" t="str">
        <f ca="1">_xll.SUBNM(db_name&amp;":account template measure","","flag")</f>
        <v/>
      </c>
      <c r="D40" s="9"/>
      <c r="J40" s="30" t="s">
        <v>126</v>
      </c>
      <c r="K40" s="28" t="str">
        <f ca="1">IF($K$58=$J$41,K41,K42)</f>
        <v>00001</v>
      </c>
      <c r="L40" s="28" t="str">
        <f t="shared" ref="L40:AX40" ca="1" si="0">IF($K$58=$J$41,L41,L42)</f>
        <v>00002</v>
      </c>
      <c r="M40" s="28" t="str">
        <f t="shared" ca="1" si="0"/>
        <v>00003</v>
      </c>
      <c r="N40" s="28" t="str">
        <f t="shared" ca="1" si="0"/>
        <v>00004</v>
      </c>
      <c r="O40" s="28" t="str">
        <f t="shared" ca="1" si="0"/>
        <v>00005</v>
      </c>
      <c r="P40" s="28" t="str">
        <f t="shared" ca="1" si="0"/>
        <v>00006</v>
      </c>
      <c r="Q40" s="28" t="str">
        <f t="shared" ca="1" si="0"/>
        <v>00007</v>
      </c>
      <c r="R40" s="28" t="str">
        <f t="shared" ca="1" si="0"/>
        <v>00008</v>
      </c>
      <c r="S40" s="28" t="str">
        <f t="shared" ca="1" si="0"/>
        <v>00009</v>
      </c>
      <c r="T40" s="28" t="str">
        <f t="shared" ca="1" si="0"/>
        <v>00010</v>
      </c>
      <c r="U40" s="28" t="str">
        <f t="shared" ca="1" si="0"/>
        <v>00011</v>
      </c>
      <c r="V40" s="28" t="str">
        <f t="shared" ca="1" si="0"/>
        <v>00012</v>
      </c>
      <c r="W40" s="28" t="str">
        <f t="shared" ca="1" si="0"/>
        <v>00013</v>
      </c>
      <c r="X40" s="28" t="str">
        <f t="shared" ca="1" si="0"/>
        <v>00014</v>
      </c>
      <c r="Y40" s="28" t="str">
        <f t="shared" ca="1" si="0"/>
        <v>00015</v>
      </c>
      <c r="Z40" s="28" t="str">
        <f t="shared" ca="1" si="0"/>
        <v>00016</v>
      </c>
      <c r="AA40" s="28" t="str">
        <f t="shared" ca="1" si="0"/>
        <v>00017</v>
      </c>
      <c r="AB40" s="28" t="str">
        <f t="shared" ca="1" si="0"/>
        <v>00018</v>
      </c>
      <c r="AC40" s="28" t="str">
        <f t="shared" ca="1" si="0"/>
        <v>00019</v>
      </c>
      <c r="AD40" s="28" t="str">
        <f t="shared" ca="1" si="0"/>
        <v>00020</v>
      </c>
      <c r="AE40" s="28" t="str">
        <f t="shared" ca="1" si="0"/>
        <v>00021</v>
      </c>
      <c r="AF40" s="28" t="str">
        <f t="shared" ca="1" si="0"/>
        <v>00022</v>
      </c>
      <c r="AG40" s="28" t="str">
        <f t="shared" ca="1" si="0"/>
        <v>00023</v>
      </c>
      <c r="AH40" s="28" t="str">
        <f t="shared" ca="1" si="0"/>
        <v>00024</v>
      </c>
      <c r="AI40" s="28" t="str">
        <f t="shared" ca="1" si="0"/>
        <v>00025</v>
      </c>
      <c r="AJ40" s="28" t="str">
        <f t="shared" ca="1" si="0"/>
        <v>00026</v>
      </c>
      <c r="AK40" s="28" t="str">
        <f t="shared" ca="1" si="0"/>
        <v>00027</v>
      </c>
      <c r="AL40" s="28" t="str">
        <f t="shared" ca="1" si="0"/>
        <v>00028</v>
      </c>
      <c r="AM40" s="28" t="str">
        <f t="shared" ca="1" si="0"/>
        <v>00029</v>
      </c>
      <c r="AN40" s="28" t="str">
        <f t="shared" ca="1" si="0"/>
        <v>00030</v>
      </c>
      <c r="AO40" s="28" t="str">
        <f t="shared" ca="1" si="0"/>
        <v>00031</v>
      </c>
      <c r="AP40" s="28" t="str">
        <f t="shared" ca="1" si="0"/>
        <v>00032</v>
      </c>
      <c r="AQ40" s="28" t="str">
        <f t="shared" ca="1" si="0"/>
        <v>00033</v>
      </c>
      <c r="AR40" s="28" t="str">
        <f t="shared" ca="1" si="0"/>
        <v>00034</v>
      </c>
      <c r="AS40" s="28" t="str">
        <f t="shared" ca="1" si="0"/>
        <v>00035</v>
      </c>
      <c r="AT40" s="28" t="str">
        <f t="shared" ca="1" si="0"/>
        <v>00036</v>
      </c>
      <c r="AU40" s="28" t="str">
        <f t="shared" ca="1" si="0"/>
        <v>00037</v>
      </c>
      <c r="AV40" s="28" t="str">
        <f t="shared" ca="1" si="0"/>
        <v>00038</v>
      </c>
      <c r="AW40" s="28" t="str">
        <f t="shared" ca="1" si="0"/>
        <v>00039</v>
      </c>
      <c r="AX40" s="28" t="str">
        <f t="shared" ca="1" si="0"/>
        <v>00040</v>
      </c>
    </row>
    <row r="41" spans="2:50" hidden="1" outlineLevel="1" x14ac:dyDescent="0.3">
      <c r="B41" s="9" t="s">
        <v>76</v>
      </c>
      <c r="C41" s="9" t="str">
        <f ca="1">"{TM1DRILLDOWNMEMBER( {[programme].[" &amp; $K$57 &amp; "]}, ALL, RECURSIVE )}"</f>
        <v>{TM1DRILLDOWNMEMBER( {[programme].[]}, ALL, RECURSIVE )}</v>
      </c>
      <c r="D41" s="9"/>
      <c r="J41" s="30" t="s">
        <v>127</v>
      </c>
      <c r="K41" s="28" t="s">
        <v>1</v>
      </c>
      <c r="L41" s="28" t="s">
        <v>2</v>
      </c>
      <c r="M41" s="28" t="s">
        <v>3</v>
      </c>
      <c r="N41" s="28" t="s">
        <v>4</v>
      </c>
      <c r="O41" s="28" t="s">
        <v>5</v>
      </c>
      <c r="P41" s="28" t="s">
        <v>6</v>
      </c>
      <c r="Q41" s="28" t="s">
        <v>7</v>
      </c>
      <c r="R41" s="28" t="s">
        <v>8</v>
      </c>
      <c r="S41" s="28" t="s">
        <v>9</v>
      </c>
      <c r="T41" s="28" t="s">
        <v>10</v>
      </c>
      <c r="U41" s="28" t="s">
        <v>11</v>
      </c>
      <c r="V41" s="28" t="s">
        <v>12</v>
      </c>
      <c r="W41" s="28" t="s">
        <v>13</v>
      </c>
      <c r="X41" s="28" t="s">
        <v>14</v>
      </c>
      <c r="Y41" s="28" t="s">
        <v>15</v>
      </c>
      <c r="Z41" s="28" t="s">
        <v>16</v>
      </c>
      <c r="AA41" s="28" t="s">
        <v>17</v>
      </c>
      <c r="AB41" s="28" t="s">
        <v>18</v>
      </c>
      <c r="AC41" s="28" t="s">
        <v>19</v>
      </c>
      <c r="AD41" s="28" t="s">
        <v>20</v>
      </c>
      <c r="AE41" s="28" t="s">
        <v>21</v>
      </c>
      <c r="AF41" s="28" t="s">
        <v>22</v>
      </c>
      <c r="AG41" s="28" t="s">
        <v>23</v>
      </c>
      <c r="AH41" s="28" t="s">
        <v>24</v>
      </c>
      <c r="AI41" s="28" t="s">
        <v>25</v>
      </c>
      <c r="AJ41" s="28" t="s">
        <v>26</v>
      </c>
      <c r="AK41" s="28" t="s">
        <v>27</v>
      </c>
      <c r="AL41" s="28" t="s">
        <v>28</v>
      </c>
      <c r="AM41" s="28" t="s">
        <v>29</v>
      </c>
      <c r="AN41" s="28" t="s">
        <v>30</v>
      </c>
      <c r="AO41" s="28" t="s">
        <v>31</v>
      </c>
      <c r="AP41" s="28" t="s">
        <v>32</v>
      </c>
      <c r="AQ41" s="28" t="s">
        <v>33</v>
      </c>
      <c r="AR41" s="28" t="s">
        <v>34</v>
      </c>
      <c r="AS41" s="28" t="s">
        <v>35</v>
      </c>
      <c r="AT41" s="28" t="s">
        <v>36</v>
      </c>
      <c r="AU41" s="28" t="s">
        <v>37</v>
      </c>
      <c r="AV41" s="28" t="s">
        <v>38</v>
      </c>
      <c r="AW41" s="28" t="s">
        <v>39</v>
      </c>
      <c r="AX41" s="28" t="s">
        <v>40</v>
      </c>
    </row>
    <row r="42" spans="2:50" hidden="1" outlineLevel="1" x14ac:dyDescent="0.3">
      <c r="J42" s="30" t="s">
        <v>128</v>
      </c>
      <c r="K42" s="29" t="s">
        <v>86</v>
      </c>
      <c r="L42" s="29" t="s">
        <v>87</v>
      </c>
      <c r="M42" s="29" t="s">
        <v>88</v>
      </c>
      <c r="N42" s="29" t="s">
        <v>89</v>
      </c>
      <c r="O42" s="29" t="s">
        <v>90</v>
      </c>
      <c r="P42" s="29" t="s">
        <v>91</v>
      </c>
      <c r="Q42" s="29" t="s">
        <v>92</v>
      </c>
      <c r="R42" s="29" t="s">
        <v>93</v>
      </c>
      <c r="S42" s="29" t="s">
        <v>94</v>
      </c>
      <c r="T42" s="29" t="s">
        <v>95</v>
      </c>
      <c r="U42" s="29" t="s">
        <v>96</v>
      </c>
      <c r="V42" s="29" t="s">
        <v>97</v>
      </c>
      <c r="W42" s="29" t="s">
        <v>98</v>
      </c>
      <c r="X42" s="29" t="s">
        <v>99</v>
      </c>
      <c r="Y42" s="29" t="s">
        <v>100</v>
      </c>
      <c r="Z42" s="29" t="s">
        <v>101</v>
      </c>
      <c r="AA42" s="29" t="s">
        <v>102</v>
      </c>
      <c r="AB42" s="29" t="s">
        <v>103</v>
      </c>
      <c r="AC42" s="29" t="s">
        <v>104</v>
      </c>
      <c r="AD42" s="29" t="s">
        <v>105</v>
      </c>
      <c r="AE42" s="29" t="s">
        <v>106</v>
      </c>
      <c r="AF42" s="29" t="s">
        <v>107</v>
      </c>
      <c r="AG42" s="29" t="s">
        <v>108</v>
      </c>
      <c r="AH42" s="29" t="s">
        <v>109</v>
      </c>
      <c r="AI42" s="29" t="s">
        <v>110</v>
      </c>
      <c r="AJ42" s="29" t="s">
        <v>111</v>
      </c>
      <c r="AK42" s="29" t="s">
        <v>112</v>
      </c>
      <c r="AL42" s="29" t="s">
        <v>113</v>
      </c>
      <c r="AM42" s="29" t="s">
        <v>114</v>
      </c>
      <c r="AN42" s="29" t="s">
        <v>115</v>
      </c>
      <c r="AO42" s="29" t="s">
        <v>116</v>
      </c>
      <c r="AP42" s="29" t="s">
        <v>117</v>
      </c>
      <c r="AQ42" s="29" t="s">
        <v>118</v>
      </c>
      <c r="AR42" s="29" t="s">
        <v>119</v>
      </c>
      <c r="AS42" s="29" t="s">
        <v>120</v>
      </c>
      <c r="AT42" s="29" t="s">
        <v>121</v>
      </c>
      <c r="AU42" s="29" t="s">
        <v>122</v>
      </c>
      <c r="AV42" s="29" t="s">
        <v>123</v>
      </c>
      <c r="AW42" s="29" t="s">
        <v>124</v>
      </c>
      <c r="AX42" s="29" t="s">
        <v>125</v>
      </c>
    </row>
    <row r="43" spans="2:50" hidden="1" outlineLevel="1" x14ac:dyDescent="0.3">
      <c r="B43" s="32" t="s">
        <v>80</v>
      </c>
      <c r="C43" s="33"/>
      <c r="D43" s="34"/>
    </row>
    <row r="44" spans="2:50" hidden="1" outlineLevel="1" x14ac:dyDescent="0.3">
      <c r="B44" s="5" t="s">
        <v>81</v>
      </c>
      <c r="C44" s="9" t="str">
        <f ca="1">_xll.VIEW(db_name&amp;":}ElementAttributes_account template","!","!")</f>
        <v>dcceew_geus:}ElementAttributes_account template</v>
      </c>
      <c r="K44" t="str">
        <f ca="1">_xll.DBR($C$44,K$60,"title")</f>
        <v>*KEY_ERR</v>
      </c>
      <c r="L44" t="str">
        <f ca="1">_xll.DBR($C$44,L$60,"title")</f>
        <v>*KEY_ERR</v>
      </c>
      <c r="M44" t="str">
        <f ca="1">_xll.DBR($C$44,M$60,"title")</f>
        <v>*KEY_ERR</v>
      </c>
      <c r="N44" t="str">
        <f ca="1">_xll.DBR($C$44,N$60,"title")</f>
        <v>*KEY_ERR</v>
      </c>
      <c r="O44" t="str">
        <f ca="1">_xll.DBR($C$44,O$60,"title")</f>
        <v>*KEY_ERR</v>
      </c>
      <c r="P44" t="str">
        <f ca="1">_xll.DBR($C$44,P$60,"title")</f>
        <v>*KEY_ERR</v>
      </c>
      <c r="Q44" t="str">
        <f ca="1">_xll.DBR($C$44,Q$60,"title")</f>
        <v>*KEY_ERR</v>
      </c>
      <c r="R44" t="str">
        <f ca="1">_xll.DBR($C$44,R$60,"title")</f>
        <v>*KEY_ERR</v>
      </c>
      <c r="S44" t="str">
        <f ca="1">_xll.DBR($C$44,S$60,"title")</f>
        <v>*KEY_ERR</v>
      </c>
      <c r="T44" t="str">
        <f ca="1">_xll.DBR($C$44,T$60,"title")</f>
        <v>*KEY_ERR</v>
      </c>
      <c r="U44" t="str">
        <f ca="1">_xll.DBR($C$44,U$60,"title")</f>
        <v>*KEY_ERR</v>
      </c>
      <c r="V44" t="str">
        <f ca="1">_xll.DBR($C$44,V$60,"title")</f>
        <v>*KEY_ERR</v>
      </c>
      <c r="W44" t="str">
        <f ca="1">_xll.DBR($C$44,W$60,"title")</f>
        <v>*KEY_ERR</v>
      </c>
      <c r="X44" t="str">
        <f ca="1">_xll.DBR($C$44,X$60,"title")</f>
        <v>*KEY_ERR</v>
      </c>
      <c r="Y44" t="str">
        <f ca="1">_xll.DBR($C$44,Y$60,"title")</f>
        <v>*KEY_ERR</v>
      </c>
      <c r="Z44" t="str">
        <f ca="1">_xll.DBR($C$44,Z$60,"title")</f>
        <v>*KEY_ERR</v>
      </c>
      <c r="AA44" t="str">
        <f ca="1">_xll.DBR($C$44,AA$60,"title")</f>
        <v>*KEY_ERR</v>
      </c>
      <c r="AB44" t="str">
        <f ca="1">_xll.DBR($C$44,AB$60,"title")</f>
        <v>*KEY_ERR</v>
      </c>
      <c r="AC44" t="str">
        <f ca="1">_xll.DBR($C$44,AC$60,"title")</f>
        <v>*KEY_ERR</v>
      </c>
      <c r="AD44" t="str">
        <f ca="1">_xll.DBR($C$44,AD$60,"title")</f>
        <v>*KEY_ERR</v>
      </c>
      <c r="AE44" t="str">
        <f ca="1">_xll.DBR($C$44,AE$60,"title")</f>
        <v>*KEY_ERR</v>
      </c>
      <c r="AF44" t="str">
        <f ca="1">_xll.DBR($C$44,AF$60,"title")</f>
        <v>*KEY_ERR</v>
      </c>
      <c r="AG44" t="str">
        <f ca="1">_xll.DBR($C$44,AG$60,"title")</f>
        <v>*KEY_ERR</v>
      </c>
      <c r="AH44" t="str">
        <f ca="1">_xll.DBR($C$44,AH$60,"title")</f>
        <v>*KEY_ERR</v>
      </c>
      <c r="AI44" t="str">
        <f ca="1">_xll.DBR($C$44,AI$60,"title")</f>
        <v>*KEY_ERR</v>
      </c>
      <c r="AJ44" t="str">
        <f ca="1">_xll.DBR($C$44,AJ$60,"title")</f>
        <v>*KEY_ERR</v>
      </c>
      <c r="AK44" t="str">
        <f ca="1">_xll.DBR($C$44,AK$60,"title")</f>
        <v>*KEY_ERR</v>
      </c>
      <c r="AL44" t="str">
        <f ca="1">_xll.DBR($C$44,AL$60,"title")</f>
        <v>*KEY_ERR</v>
      </c>
      <c r="AM44" t="str">
        <f ca="1">_xll.DBR($C$44,AM$60,"title")</f>
        <v>*KEY_ERR</v>
      </c>
      <c r="AN44" t="str">
        <f ca="1">_xll.DBR($C$44,AN$60,"title")</f>
        <v>*KEY_ERR</v>
      </c>
      <c r="AO44" t="str">
        <f ca="1">_xll.DBR($C$44,AO$60,"title")</f>
        <v>*KEY_ERR</v>
      </c>
      <c r="AP44" t="str">
        <f ca="1">_xll.DBR($C$44,AP$60,"title")</f>
        <v>*KEY_ERR</v>
      </c>
      <c r="AQ44" t="str">
        <f ca="1">_xll.DBR($C$44,AQ$60,"title")</f>
        <v>*KEY_ERR</v>
      </c>
      <c r="AR44" t="str">
        <f ca="1">_xll.DBR($C$44,AR$60,"title")</f>
        <v>*KEY_ERR</v>
      </c>
      <c r="AS44" t="str">
        <f ca="1">_xll.DBR($C$44,AS$60,"title")</f>
        <v>*KEY_ERR</v>
      </c>
      <c r="AT44" t="str">
        <f ca="1">_xll.DBR($C$44,AT$60,"title")</f>
        <v>*KEY_ERR</v>
      </c>
      <c r="AU44" t="str">
        <f ca="1">_xll.DBR($C$44,AU$60,"title")</f>
        <v>*KEY_ERR</v>
      </c>
      <c r="AV44" t="str">
        <f ca="1">_xll.DBR($C$44,AV$60,"title")</f>
        <v>*KEY_ERR</v>
      </c>
      <c r="AW44" t="str">
        <f ca="1">_xll.DBR($C$44,AW$60,"title")</f>
        <v>*KEY_ERR</v>
      </c>
      <c r="AX44" t="str">
        <f ca="1">_xll.DBR($C$44,AX$60,"title")</f>
        <v>*KEY_ERR</v>
      </c>
    </row>
    <row r="45" spans="2:50" hidden="1" outlineLevel="1" x14ac:dyDescent="0.3"/>
    <row r="46" spans="2:50" hidden="1" outlineLevel="1" x14ac:dyDescent="0.3"/>
    <row r="47" spans="2:50" hidden="1" outlineLevel="1" x14ac:dyDescent="0.3"/>
    <row r="48" spans="2:50" ht="39.9" customHeight="1" collapsed="1" x14ac:dyDescent="0.3">
      <c r="I48" s="20"/>
      <c r="J48" s="20"/>
      <c r="K48" s="20"/>
      <c r="L48" s="20"/>
      <c r="M48" s="20"/>
      <c r="N48" s="20"/>
      <c r="O48" s="20"/>
      <c r="P48" s="20"/>
      <c r="Q48" s="20"/>
      <c r="R48" s="23" t="s">
        <v>83</v>
      </c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</row>
    <row r="49" spans="1:50" ht="4.5" customHeight="1" x14ac:dyDescent="0.3"/>
    <row r="50" spans="1:50" ht="24" customHeight="1" x14ac:dyDescent="0.3"/>
    <row r="51" spans="1:50" ht="1.5" customHeight="1" x14ac:dyDescent="0.3"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</row>
    <row r="52" spans="1:50" ht="4.5" customHeight="1" x14ac:dyDescent="0.3"/>
    <row r="53" spans="1:50" x14ac:dyDescent="0.3">
      <c r="J53" s="25" t="s">
        <v>84</v>
      </c>
    </row>
    <row r="54" spans="1:50" x14ac:dyDescent="0.3">
      <c r="J54" s="25" t="s">
        <v>85</v>
      </c>
    </row>
    <row r="55" spans="1:50" ht="4.5" customHeight="1" x14ac:dyDescent="0.3">
      <c r="J55" s="24"/>
    </row>
    <row r="56" spans="1:50" x14ac:dyDescent="0.3">
      <c r="C56" s="1"/>
      <c r="D56" s="1"/>
      <c r="E56" s="1"/>
      <c r="F56" s="1"/>
      <c r="G56" s="1"/>
      <c r="H56" s="1"/>
      <c r="I56" s="1"/>
      <c r="J56" s="1"/>
      <c r="K56" s="35" t="s">
        <v>77</v>
      </c>
      <c r="L56" s="35"/>
      <c r="M56" s="35"/>
      <c r="N56" s="35"/>
      <c r="O56" s="35"/>
      <c r="P56" s="35"/>
      <c r="Q56" s="35"/>
    </row>
    <row r="57" spans="1:50" x14ac:dyDescent="0.3">
      <c r="J57" s="12" t="s">
        <v>79</v>
      </c>
      <c r="K57" s="31" t="str">
        <f ca="1">_xll.SUBNM(db_name&amp;":programme","","Administered Programmes","code and description")</f>
        <v/>
      </c>
      <c r="L57" s="31"/>
      <c r="M57" s="31"/>
      <c r="N57" s="31"/>
      <c r="O57" s="31"/>
      <c r="P57" s="31"/>
      <c r="Q57" s="31"/>
    </row>
    <row r="58" spans="1:50" x14ac:dyDescent="0.3">
      <c r="J58" s="12" t="s">
        <v>129</v>
      </c>
      <c r="K58" s="8" t="s">
        <v>127</v>
      </c>
      <c r="L58" s="27"/>
      <c r="M58" s="27"/>
      <c r="N58" s="27"/>
      <c r="O58" s="27"/>
      <c r="P58" s="27"/>
      <c r="Q58" s="27"/>
    </row>
    <row r="59" spans="1:50" ht="4.5" customHeight="1" x14ac:dyDescent="0.3"/>
    <row r="60" spans="1:50" x14ac:dyDescent="0.3">
      <c r="K60" s="21" t="str">
        <f ca="1">K$40</f>
        <v>00001</v>
      </c>
      <c r="L60" s="21" t="str">
        <f t="shared" ref="L60:AX60" ca="1" si="1">L$40</f>
        <v>00002</v>
      </c>
      <c r="M60" s="21" t="str">
        <f t="shared" ca="1" si="1"/>
        <v>00003</v>
      </c>
      <c r="N60" s="21" t="str">
        <f t="shared" ca="1" si="1"/>
        <v>00004</v>
      </c>
      <c r="O60" s="21" t="str">
        <f t="shared" ca="1" si="1"/>
        <v>00005</v>
      </c>
      <c r="P60" s="21" t="str">
        <f t="shared" ca="1" si="1"/>
        <v>00006</v>
      </c>
      <c r="Q60" s="21" t="str">
        <f t="shared" ca="1" si="1"/>
        <v>00007</v>
      </c>
      <c r="R60" s="21" t="str">
        <f t="shared" ca="1" si="1"/>
        <v>00008</v>
      </c>
      <c r="S60" s="21" t="str">
        <f t="shared" ca="1" si="1"/>
        <v>00009</v>
      </c>
      <c r="T60" s="21" t="str">
        <f t="shared" ca="1" si="1"/>
        <v>00010</v>
      </c>
      <c r="U60" s="21" t="str">
        <f t="shared" ca="1" si="1"/>
        <v>00011</v>
      </c>
      <c r="V60" s="21" t="str">
        <f t="shared" ca="1" si="1"/>
        <v>00012</v>
      </c>
      <c r="W60" s="21" t="str">
        <f t="shared" ca="1" si="1"/>
        <v>00013</v>
      </c>
      <c r="X60" s="21" t="str">
        <f t="shared" ca="1" si="1"/>
        <v>00014</v>
      </c>
      <c r="Y60" s="21" t="str">
        <f t="shared" ca="1" si="1"/>
        <v>00015</v>
      </c>
      <c r="Z60" s="21" t="str">
        <f t="shared" ca="1" si="1"/>
        <v>00016</v>
      </c>
      <c r="AA60" s="21" t="str">
        <f t="shared" ca="1" si="1"/>
        <v>00017</v>
      </c>
      <c r="AB60" s="21" t="str">
        <f t="shared" ca="1" si="1"/>
        <v>00018</v>
      </c>
      <c r="AC60" s="21" t="str">
        <f t="shared" ca="1" si="1"/>
        <v>00019</v>
      </c>
      <c r="AD60" s="21" t="str">
        <f t="shared" ca="1" si="1"/>
        <v>00020</v>
      </c>
      <c r="AE60" s="21" t="str">
        <f t="shared" ca="1" si="1"/>
        <v>00021</v>
      </c>
      <c r="AF60" s="21" t="str">
        <f t="shared" ca="1" si="1"/>
        <v>00022</v>
      </c>
      <c r="AG60" s="21" t="str">
        <f t="shared" ca="1" si="1"/>
        <v>00023</v>
      </c>
      <c r="AH60" s="21" t="str">
        <f t="shared" ca="1" si="1"/>
        <v>00024</v>
      </c>
      <c r="AI60" s="21" t="str">
        <f t="shared" ca="1" si="1"/>
        <v>00025</v>
      </c>
      <c r="AJ60" s="21" t="str">
        <f t="shared" ca="1" si="1"/>
        <v>00026</v>
      </c>
      <c r="AK60" s="21" t="str">
        <f t="shared" ca="1" si="1"/>
        <v>00027</v>
      </c>
      <c r="AL60" s="21" t="str">
        <f t="shared" ca="1" si="1"/>
        <v>00028</v>
      </c>
      <c r="AM60" s="21" t="str">
        <f t="shared" ca="1" si="1"/>
        <v>00029</v>
      </c>
      <c r="AN60" s="21" t="str">
        <f t="shared" ca="1" si="1"/>
        <v>00030</v>
      </c>
      <c r="AO60" s="21" t="str">
        <f t="shared" ca="1" si="1"/>
        <v>00031</v>
      </c>
      <c r="AP60" s="21" t="str">
        <f t="shared" ca="1" si="1"/>
        <v>00032</v>
      </c>
      <c r="AQ60" s="21" t="str">
        <f t="shared" ca="1" si="1"/>
        <v>00033</v>
      </c>
      <c r="AR60" s="21" t="str">
        <f t="shared" ca="1" si="1"/>
        <v>00034</v>
      </c>
      <c r="AS60" s="21" t="str">
        <f t="shared" ca="1" si="1"/>
        <v>00035</v>
      </c>
      <c r="AT60" s="21" t="str">
        <f t="shared" ca="1" si="1"/>
        <v>00036</v>
      </c>
      <c r="AU60" s="21" t="str">
        <f t="shared" ca="1" si="1"/>
        <v>00037</v>
      </c>
      <c r="AV60" s="21" t="str">
        <f t="shared" ca="1" si="1"/>
        <v>00038</v>
      </c>
      <c r="AW60" s="21" t="str">
        <f t="shared" ca="1" si="1"/>
        <v>00039</v>
      </c>
      <c r="AX60" s="21" t="str">
        <f t="shared" ca="1" si="1"/>
        <v>00040</v>
      </c>
    </row>
    <row r="61" spans="1:50" s="22" customFormat="1" ht="45" customHeight="1" x14ac:dyDescent="0.3">
      <c r="J61" s="16" t="s">
        <v>82</v>
      </c>
      <c r="K61" s="21" t="str">
        <f ca="1">K$44</f>
        <v>*KEY_ERR</v>
      </c>
      <c r="L61" s="21" t="str">
        <f t="shared" ref="L61:AX61" ca="1" si="2">L$44</f>
        <v>*KEY_ERR</v>
      </c>
      <c r="M61" s="21" t="str">
        <f t="shared" ca="1" si="2"/>
        <v>*KEY_ERR</v>
      </c>
      <c r="N61" s="21" t="str">
        <f t="shared" ca="1" si="2"/>
        <v>*KEY_ERR</v>
      </c>
      <c r="O61" s="21" t="str">
        <f t="shared" ca="1" si="2"/>
        <v>*KEY_ERR</v>
      </c>
      <c r="P61" s="21" t="str">
        <f t="shared" ca="1" si="2"/>
        <v>*KEY_ERR</v>
      </c>
      <c r="Q61" s="21" t="str">
        <f t="shared" ca="1" si="2"/>
        <v>*KEY_ERR</v>
      </c>
      <c r="R61" s="21" t="str">
        <f t="shared" ca="1" si="2"/>
        <v>*KEY_ERR</v>
      </c>
      <c r="S61" s="21" t="str">
        <f t="shared" ca="1" si="2"/>
        <v>*KEY_ERR</v>
      </c>
      <c r="T61" s="21" t="str">
        <f t="shared" ca="1" si="2"/>
        <v>*KEY_ERR</v>
      </c>
      <c r="U61" s="21" t="str">
        <f t="shared" ca="1" si="2"/>
        <v>*KEY_ERR</v>
      </c>
      <c r="V61" s="21" t="str">
        <f t="shared" ca="1" si="2"/>
        <v>*KEY_ERR</v>
      </c>
      <c r="W61" s="21" t="str">
        <f t="shared" ca="1" si="2"/>
        <v>*KEY_ERR</v>
      </c>
      <c r="X61" s="21" t="str">
        <f t="shared" ca="1" si="2"/>
        <v>*KEY_ERR</v>
      </c>
      <c r="Y61" s="21" t="str">
        <f t="shared" ca="1" si="2"/>
        <v>*KEY_ERR</v>
      </c>
      <c r="Z61" s="21" t="str">
        <f t="shared" ca="1" si="2"/>
        <v>*KEY_ERR</v>
      </c>
      <c r="AA61" s="21" t="str">
        <f t="shared" ca="1" si="2"/>
        <v>*KEY_ERR</v>
      </c>
      <c r="AB61" s="21" t="str">
        <f t="shared" ca="1" si="2"/>
        <v>*KEY_ERR</v>
      </c>
      <c r="AC61" s="21" t="str">
        <f t="shared" ca="1" si="2"/>
        <v>*KEY_ERR</v>
      </c>
      <c r="AD61" s="21" t="str">
        <f t="shared" ca="1" si="2"/>
        <v>*KEY_ERR</v>
      </c>
      <c r="AE61" s="21" t="str">
        <f t="shared" ca="1" si="2"/>
        <v>*KEY_ERR</v>
      </c>
      <c r="AF61" s="21" t="str">
        <f t="shared" ca="1" si="2"/>
        <v>*KEY_ERR</v>
      </c>
      <c r="AG61" s="21" t="str">
        <f t="shared" ca="1" si="2"/>
        <v>*KEY_ERR</v>
      </c>
      <c r="AH61" s="21" t="str">
        <f t="shared" ca="1" si="2"/>
        <v>*KEY_ERR</v>
      </c>
      <c r="AI61" s="21" t="str">
        <f t="shared" ca="1" si="2"/>
        <v>*KEY_ERR</v>
      </c>
      <c r="AJ61" s="21" t="str">
        <f t="shared" ca="1" si="2"/>
        <v>*KEY_ERR</v>
      </c>
      <c r="AK61" s="21" t="str">
        <f t="shared" ca="1" si="2"/>
        <v>*KEY_ERR</v>
      </c>
      <c r="AL61" s="21" t="str">
        <f t="shared" ca="1" si="2"/>
        <v>*KEY_ERR</v>
      </c>
      <c r="AM61" s="21" t="str">
        <f t="shared" ca="1" si="2"/>
        <v>*KEY_ERR</v>
      </c>
      <c r="AN61" s="21" t="str">
        <f t="shared" ca="1" si="2"/>
        <v>*KEY_ERR</v>
      </c>
      <c r="AO61" s="21" t="str">
        <f t="shared" ca="1" si="2"/>
        <v>*KEY_ERR</v>
      </c>
      <c r="AP61" s="21" t="str">
        <f t="shared" ca="1" si="2"/>
        <v>*KEY_ERR</v>
      </c>
      <c r="AQ61" s="21" t="str">
        <f t="shared" ca="1" si="2"/>
        <v>*KEY_ERR</v>
      </c>
      <c r="AR61" s="21" t="str">
        <f t="shared" ca="1" si="2"/>
        <v>*KEY_ERR</v>
      </c>
      <c r="AS61" s="21" t="str">
        <f t="shared" ca="1" si="2"/>
        <v>*KEY_ERR</v>
      </c>
      <c r="AT61" s="21" t="str">
        <f t="shared" ca="1" si="2"/>
        <v>*KEY_ERR</v>
      </c>
      <c r="AU61" s="21" t="str">
        <f t="shared" ca="1" si="2"/>
        <v>*KEY_ERR</v>
      </c>
      <c r="AV61" s="21" t="str">
        <f t="shared" ca="1" si="2"/>
        <v>*KEY_ERR</v>
      </c>
      <c r="AW61" s="21" t="str">
        <f t="shared" ca="1" si="2"/>
        <v>*KEY_ERR</v>
      </c>
      <c r="AX61" s="21" t="str">
        <f t="shared" ca="1" si="2"/>
        <v>*KEY_ERR</v>
      </c>
    </row>
    <row r="62" spans="1:50" x14ac:dyDescent="0.3">
      <c r="A62" t="str">
        <f ca="1">IF(_xll.TM1RPTELISCONSOLIDATED($J$62,$J62),IF(_xll.TM1RPTELLEV($J$62,$J62)&lt;=3,_xll.TM1RPTELLEV($J$62,$J62),"D"),"N")</f>
        <v>N</v>
      </c>
      <c r="J62" s="26" t="str">
        <f ca="1">_xll.TM1RPTROW($C$38,db_name&amp;":programme","","","code and description",0,$C$41)</f>
        <v/>
      </c>
      <c r="K62" s="17" t="str">
        <f ca="1">_xll.DBRW($C$38,K$60,$J62,$C$40)</f>
        <v/>
      </c>
      <c r="L62" s="17" t="str">
        <f ca="1">_xll.DBRW($C$38,L$60,$J62,$C$40)</f>
        <v/>
      </c>
      <c r="M62" s="17" t="str">
        <f ca="1">_xll.DBRW($C$38,M$60,$J62,$C$40)</f>
        <v/>
      </c>
      <c r="N62" s="17" t="str">
        <f ca="1">_xll.DBRW($C$38,N$60,$J62,$C$40)</f>
        <v/>
      </c>
      <c r="O62" s="17" t="str">
        <f ca="1">_xll.DBRW($C$38,O$60,$J62,$C$40)</f>
        <v/>
      </c>
      <c r="P62" s="17" t="str">
        <f ca="1">_xll.DBRW($C$38,P$60,$J62,$C$40)</f>
        <v/>
      </c>
      <c r="Q62" s="17" t="str">
        <f ca="1">_xll.DBRW($C$38,Q$60,$J62,$C$40)</f>
        <v/>
      </c>
      <c r="R62" s="17" t="str">
        <f ca="1">_xll.DBRW($C$38,R$60,$J62,$C$40)</f>
        <v/>
      </c>
      <c r="S62" s="17" t="str">
        <f ca="1">_xll.DBRW($C$38,S$60,$J62,$C$40)</f>
        <v/>
      </c>
      <c r="T62" s="17" t="str">
        <f ca="1">_xll.DBRW($C$38,T$60,$J62,$C$40)</f>
        <v/>
      </c>
      <c r="U62" s="17" t="str">
        <f ca="1">_xll.DBRW($C$38,U$60,$J62,$C$40)</f>
        <v/>
      </c>
      <c r="V62" s="17" t="str">
        <f ca="1">_xll.DBRW($C$38,V$60,$J62,$C$40)</f>
        <v/>
      </c>
      <c r="W62" s="17" t="str">
        <f ca="1">_xll.DBRW($C$38,W$60,$J62,$C$40)</f>
        <v/>
      </c>
      <c r="X62" s="17" t="str">
        <f ca="1">_xll.DBRW($C$38,X$60,$J62,$C$40)</f>
        <v/>
      </c>
      <c r="Y62" s="17" t="str">
        <f ca="1">_xll.DBRW($C$38,Y$60,$J62,$C$40)</f>
        <v/>
      </c>
      <c r="Z62" s="17" t="str">
        <f ca="1">_xll.DBRW($C$38,Z$60,$J62,$C$40)</f>
        <v/>
      </c>
      <c r="AA62" s="17" t="str">
        <f ca="1">_xll.DBRW($C$38,AA$60,$J62,$C$40)</f>
        <v/>
      </c>
      <c r="AB62" s="17" t="str">
        <f ca="1">_xll.DBRW($C$38,AB$60,$J62,$C$40)</f>
        <v/>
      </c>
      <c r="AC62" s="17" t="str">
        <f ca="1">_xll.DBRW($C$38,AC$60,$J62,$C$40)</f>
        <v/>
      </c>
      <c r="AD62" s="17" t="str">
        <f ca="1">_xll.DBRW($C$38,AD$60,$J62,$C$40)</f>
        <v/>
      </c>
      <c r="AE62" s="17" t="str">
        <f ca="1">_xll.DBRW($C$38,AE$60,$J62,$C$40)</f>
        <v/>
      </c>
      <c r="AF62" s="17" t="str">
        <f ca="1">_xll.DBRW($C$38,AF$60,$J62,$C$40)</f>
        <v/>
      </c>
      <c r="AG62" s="17" t="str">
        <f ca="1">_xll.DBRW($C$38,AG$60,$J62,$C$40)</f>
        <v/>
      </c>
      <c r="AH62" s="17" t="str">
        <f ca="1">_xll.DBRW($C$38,AH$60,$J62,$C$40)</f>
        <v/>
      </c>
      <c r="AI62" s="17" t="str">
        <f ca="1">_xll.DBRW($C$38,AI$60,$J62,$C$40)</f>
        <v/>
      </c>
      <c r="AJ62" s="17" t="str">
        <f ca="1">_xll.DBRW($C$38,AJ$60,$J62,$C$40)</f>
        <v/>
      </c>
      <c r="AK62" s="17" t="str">
        <f ca="1">_xll.DBRW($C$38,AK$60,$J62,$C$40)</f>
        <v/>
      </c>
      <c r="AL62" s="17" t="str">
        <f ca="1">_xll.DBRW($C$38,AL$60,$J62,$C$40)</f>
        <v/>
      </c>
      <c r="AM62" s="17" t="str">
        <f ca="1">_xll.DBRW($C$38,AM$60,$J62,$C$40)</f>
        <v/>
      </c>
      <c r="AN62" s="17" t="str">
        <f ca="1">_xll.DBRW($C$38,AN$60,$J62,$C$40)</f>
        <v/>
      </c>
      <c r="AO62" s="17" t="str">
        <f ca="1">_xll.DBRW($C$38,AO$60,$J62,$C$40)</f>
        <v/>
      </c>
      <c r="AP62" s="17" t="str">
        <f ca="1">_xll.DBRW($C$38,AP$60,$J62,$C$40)</f>
        <v/>
      </c>
      <c r="AQ62" s="17" t="str">
        <f ca="1">_xll.DBRW($C$38,AQ$60,$J62,$C$40)</f>
        <v/>
      </c>
      <c r="AR62" s="17" t="str">
        <f ca="1">_xll.DBRW($C$38,AR$60,$J62,$C$40)</f>
        <v/>
      </c>
      <c r="AS62" s="17" t="str">
        <f ca="1">_xll.DBRW($C$38,AS$60,$J62,$C$40)</f>
        <v/>
      </c>
      <c r="AT62" s="17" t="str">
        <f ca="1">_xll.DBRW($C$38,AT$60,$J62,$C$40)</f>
        <v/>
      </c>
      <c r="AU62" s="17" t="str">
        <f ca="1">_xll.DBRW($C$38,AU$60,$J62,$C$40)</f>
        <v/>
      </c>
      <c r="AV62" s="17" t="str">
        <f ca="1">_xll.DBRW($C$38,AV$60,$J62,$C$40)</f>
        <v/>
      </c>
      <c r="AW62" s="17" t="str">
        <f ca="1">_xll.DBRW($C$38,AW$60,$J62,$C$40)</f>
        <v/>
      </c>
      <c r="AX62" s="17" t="str">
        <f ca="1">_xll.DBRW($C$38,AX$60,$J62,$C$40)</f>
        <v/>
      </c>
    </row>
  </sheetData>
  <sheetProtection sheet="1" objects="1" scenarios="1"/>
  <mergeCells count="7">
    <mergeCell ref="K57:Q57"/>
    <mergeCell ref="B43:D43"/>
    <mergeCell ref="B11:D11"/>
    <mergeCell ref="B19:D19"/>
    <mergeCell ref="B25:D25"/>
    <mergeCell ref="B37:D37"/>
    <mergeCell ref="K56:Q56"/>
  </mergeCells>
  <dataValidations disablePrompts="1" count="1">
    <dataValidation type="list" allowBlank="1" showInputMessage="1" showErrorMessage="1" sqref="K58" xr:uid="{00000000-0002-0000-0000-000000000000}">
      <formula1>$J$41:$J$42</formula1>
    </dataValidation>
  </dataValidations>
  <pageMargins left="0.70866141732283472" right="0.70866141732283472" top="0.74803149606299213" bottom="0.74803149606299213" header="0.31496062992125984" footer="0.31496062992125984"/>
  <pageSetup paperSize="9" scale="12" fitToHeight="0" orientation="portrait" r:id="rId1"/>
  <drawing r:id="rId2"/>
  <legacyDrawing r:id="rId3"/>
  <controls>
    <mc:AlternateContent xmlns:mc="http://schemas.openxmlformats.org/markup-compatibility/2006">
      <mc:Choice Requires="x14">
        <control shapeId="1026" r:id="rId4" name="TIButton1">
          <controlPr defaultSize="0" print="0" autoLine="0" autoPict="0" r:id="rId5">
            <anchor moveWithCells="1" sizeWithCells="1">
              <from>
                <xdr:col>8</xdr:col>
                <xdr:colOff>38100</xdr:colOff>
                <xdr:row>49</xdr:row>
                <xdr:rowOff>7620</xdr:rowOff>
              </from>
              <to>
                <xdr:col>9</xdr:col>
                <xdr:colOff>617220</xdr:colOff>
                <xdr:row>49</xdr:row>
                <xdr:rowOff>259080</xdr:rowOff>
              </to>
            </anchor>
          </controlPr>
        </control>
      </mc:Choice>
      <mc:Fallback>
        <control shapeId="1026" r:id="rId4" name="TIButton1"/>
      </mc:Fallback>
    </mc:AlternateContent>
    <mc:AlternateContent xmlns:mc="http://schemas.openxmlformats.org/markup-compatibility/2006">
      <mc:Choice Requires="x14">
        <control shapeId="1027" r:id="rId6" name="TIButton2">
          <controlPr defaultSize="0" print="0" autoLine="0" autoPict="0" r:id="rId7">
            <anchor moveWithCells="1" sizeWithCells="1">
              <from>
                <xdr:col>9</xdr:col>
                <xdr:colOff>647700</xdr:colOff>
                <xdr:row>49</xdr:row>
                <xdr:rowOff>7620</xdr:rowOff>
              </from>
              <to>
                <xdr:col>9</xdr:col>
                <xdr:colOff>1775460</xdr:colOff>
                <xdr:row>49</xdr:row>
                <xdr:rowOff>259080</xdr:rowOff>
              </to>
            </anchor>
          </controlPr>
        </control>
      </mc:Choice>
      <mc:Fallback>
        <control shapeId="1027" r:id="rId6" name="TIButton2"/>
      </mc:Fallback>
    </mc:AlternateContent>
    <mc:AlternateContent xmlns:mc="http://schemas.openxmlformats.org/markup-compatibility/2006">
      <mc:Choice Requires="x14">
        <control shapeId="1028" r:id="rId8" name="TIButton3">
          <controlPr defaultSize="0" print="0" autoLine="0" autoPict="0" r:id="rId9">
            <anchor moveWithCells="1" sizeWithCells="1">
              <from>
                <xdr:col>10</xdr:col>
                <xdr:colOff>83820</xdr:colOff>
                <xdr:row>49</xdr:row>
                <xdr:rowOff>7620</xdr:rowOff>
              </from>
              <to>
                <xdr:col>10</xdr:col>
                <xdr:colOff>868680</xdr:colOff>
                <xdr:row>49</xdr:row>
                <xdr:rowOff>259080</xdr:rowOff>
              </to>
            </anchor>
          </controlPr>
        </control>
      </mc:Choice>
      <mc:Fallback>
        <control shapeId="1028" r:id="rId8" name="TIButton3"/>
      </mc:Fallback>
    </mc:AlternateContent>
    <mc:AlternateContent xmlns:mc="http://schemas.openxmlformats.org/markup-compatibility/2006">
      <mc:Choice Requires="x14">
        <control shapeId="1029" r:id="rId10" name="TIButton4">
          <controlPr defaultSize="0" print="0" autoLine="0" autoPict="0" r:id="rId11">
            <anchor moveWithCells="1" sizeWithCells="1">
              <from>
                <xdr:col>9</xdr:col>
                <xdr:colOff>1798320</xdr:colOff>
                <xdr:row>49</xdr:row>
                <xdr:rowOff>7620</xdr:rowOff>
              </from>
              <to>
                <xdr:col>9</xdr:col>
                <xdr:colOff>3154680</xdr:colOff>
                <xdr:row>49</xdr:row>
                <xdr:rowOff>259080</xdr:rowOff>
              </to>
            </anchor>
          </controlPr>
        </control>
      </mc:Choice>
      <mc:Fallback>
        <control shapeId="1029" r:id="rId10" name="TIButton4"/>
      </mc:Fallback>
    </mc:AlternateContent>
    <mc:AlternateContent xmlns:mc="http://schemas.openxmlformats.org/markup-compatibility/2006">
      <mc:Choice Requires="x14">
        <control shapeId="1030" r:id="rId12" name="TIButton5">
          <controlPr defaultSize="0" print="0" autoLine="0" autoPict="0" r:id="rId13">
            <anchor moveWithCells="1" sizeWithCells="1">
              <from>
                <xdr:col>17</xdr:col>
                <xdr:colOff>723900</xdr:colOff>
                <xdr:row>48</xdr:row>
                <xdr:rowOff>38100</xdr:rowOff>
              </from>
              <to>
                <xdr:col>17</xdr:col>
                <xdr:colOff>1036320</xdr:colOff>
                <xdr:row>49</xdr:row>
                <xdr:rowOff>297180</xdr:rowOff>
              </to>
            </anchor>
          </controlPr>
        </control>
      </mc:Choice>
      <mc:Fallback>
        <control shapeId="1030" r:id="rId12" name="TIButton5"/>
      </mc:Fallback>
    </mc:AlternateContent>
    <mc:AlternateContent xmlns:mc="http://schemas.openxmlformats.org/markup-compatibility/2006">
      <mc:Choice Requires="x14">
        <control shapeId="1031" r:id="rId14" name="TIButton6">
          <controlPr defaultSize="0" print="0" autoLine="0" autoPict="0" r:id="rId15">
            <anchor moveWithCells="1" sizeWithCells="1">
              <from>
                <xdr:col>9</xdr:col>
                <xdr:colOff>3200400</xdr:colOff>
                <xdr:row>49</xdr:row>
                <xdr:rowOff>7620</xdr:rowOff>
              </from>
              <to>
                <xdr:col>9</xdr:col>
                <xdr:colOff>4686300</xdr:colOff>
                <xdr:row>49</xdr:row>
                <xdr:rowOff>259080</xdr:rowOff>
              </to>
            </anchor>
          </controlPr>
        </control>
      </mc:Choice>
      <mc:Fallback>
        <control shapeId="1031" r:id="rId14" name="TIButton6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2"/>
  <sheetViews>
    <sheetView workbookViewId="0"/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mapping</vt:lpstr>
      <vt:lpstr>{PL}PickLst</vt:lpstr>
      <vt:lpstr>db_name</vt:lpstr>
      <vt:lpstr>psApp</vt:lpstr>
      <vt:lpstr>psProgDimName</vt:lpstr>
      <vt:lpstr>psUser</vt:lpstr>
      <vt:lpstr>TM1AdminAccTempListCAP</vt:lpstr>
      <vt:lpstr>TM1AdminAccTempListWB</vt:lpstr>
      <vt:lpstr>TM1AdminAccTempListWS</vt:lpstr>
      <vt:lpstr>TM1AdminAccTempProgMapCAP</vt:lpstr>
      <vt:lpstr>TM1AdminAccTempProgMapWB</vt:lpstr>
      <vt:lpstr>TM1AdminAccTempProgMapWS</vt:lpstr>
      <vt:lpstr>TM1AdminAccTempUpdateEditCAP</vt:lpstr>
      <vt:lpstr>TM1AdminAccTempUpdateEditWB</vt:lpstr>
      <vt:lpstr>TM1AdminAccTempUpdateEditWS</vt:lpstr>
      <vt:lpstr>TM1GrpNewAdj02ExpDataEntryCAP</vt:lpstr>
      <vt:lpstr>TM1GrpNewAdj02ExpDataEntryWB</vt:lpstr>
      <vt:lpstr>TM1GrpNewAdj02ExpDataEntryWS</vt:lpstr>
      <vt:lpstr>TM1HomeAEAccVarCAP</vt:lpstr>
      <vt:lpstr>TM1HomeAEAccVarWB</vt:lpstr>
      <vt:lpstr>TM1HomeAEAccVarWS</vt:lpstr>
      <vt:lpstr>TM1HomeAECAP</vt:lpstr>
      <vt:lpstr>TM1HomeAEWB</vt:lpstr>
      <vt:lpstr>TM1HomeAEWS</vt:lpstr>
      <vt:lpstr>TM1HomeCAP</vt:lpstr>
      <vt:lpstr>TM1HomeWB</vt:lpstr>
      <vt:lpstr>TM1HomeWS</vt:lpstr>
      <vt:lpstr>mapping!TM1RPTDATARNG1</vt:lpstr>
      <vt:lpstr>mapping!TM1RPTFMTIDCOL</vt:lpstr>
      <vt:lpstr>mapping!TM1RPTFMTRNG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blooyen</cp:lastModifiedBy>
  <dcterms:created xsi:type="dcterms:W3CDTF">2019-09-23T07:27:25Z</dcterms:created>
  <dcterms:modified xsi:type="dcterms:W3CDTF">2023-02-14T22:33:29Z</dcterms:modified>
</cp:coreProperties>
</file>