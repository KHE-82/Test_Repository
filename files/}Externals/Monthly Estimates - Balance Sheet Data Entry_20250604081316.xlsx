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7.xml" ContentType="application/vnd.ms-office.activeX+xml"/>
  <Override PartName="/xl/activeX/activeX8.xml" ContentType="application/vnd.ms-office.activeX+xml"/>
  <Override PartName="/xl/activeX/activeX9.xml" ContentType="application/vnd.ms-office.activeX+xml"/>
  <Override PartName="/xl/activeX/activeX4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he\Test_Repository\files\}Externals\"/>
    </mc:Choice>
  </mc:AlternateContent>
  <xr:revisionPtr revIDLastSave="0" documentId="8_{DA038B2D-FD75-4FD0-899F-E13BF5A66EBC}" xr6:coauthVersionLast="47" xr6:coauthVersionMax="47" xr10:uidLastSave="{00000000-0000-0000-0000-000000000000}"/>
  <bookViews>
    <workbookView xWindow="29580" yWindow="780" windowWidth="21600" windowHeight="11385" xr2:uid="{00000000-000D-0000-FFFF-FFFF00000000}"/>
  </bookViews>
  <sheets>
    <sheet name="balance sheet" sheetId="1" r:id="rId1"/>
  </sheets>
  <definedNames>
    <definedName name="db_name">'balance sheet'!$C$12</definedName>
    <definedName name="Freeze_Here">'balance sheet'!$A$76</definedName>
    <definedName name="ID" localSheetId="0" hidden="1">"839380c2-3d62-438e-8e28-001797611f95"</definedName>
    <definedName name="_xlnm.Print_Titles" localSheetId="0">'balance sheet'!$77:$77</definedName>
    <definedName name="psHLYear">'balance sheet'!$S$69</definedName>
    <definedName name="psID">'balance sheet'!$F$16</definedName>
    <definedName name="psProg">'balance sheet'!$S$71</definedName>
    <definedName name="psScenario">'balance sheet'!$S$70</definedName>
    <definedName name="psUser">'balance sheet'!$C$13</definedName>
    <definedName name="RangeName_List">'balance sheet'!#REF!</definedName>
    <definedName name="TM1MEBSDataEntryCAP">'balance sheet'!$D$53</definedName>
    <definedName name="TM1MEBSDataEntryWB">'balance sheet'!$F$53</definedName>
    <definedName name="TM1MEBSDataEntryWS">'balance sheet'!$H$53</definedName>
    <definedName name="TM1MECCMapCAP">'balance sheet'!$D$54</definedName>
    <definedName name="TM1MECCMapWB">'balance sheet'!$F$54</definedName>
    <definedName name="TM1MECCMapWS">'balance sheet'!$H$54</definedName>
    <definedName name="TM1MECFDataEntryCAP">'balance sheet'!$D$57</definedName>
    <definedName name="TM1MECFDataEntryWB">'balance sheet'!$F$57</definedName>
    <definedName name="TM1MECFDataEntryWS">'balance sheet'!$H$57</definedName>
    <definedName name="TM1MEDataEntryCAP">'balance sheet'!$D$51</definedName>
    <definedName name="TM1MEDataEntryWB">'balance sheet'!$F$51</definedName>
    <definedName name="TM1MEDataEntryWS">'balance sheet'!$H$51</definedName>
    <definedName name="TM1MEGLMapCAP">'balance sheet'!$D$55</definedName>
    <definedName name="TM1MEGLMapWB">'balance sheet'!$F$55</definedName>
    <definedName name="TM1MEGLMapWS">'balance sheet'!$H$55</definedName>
    <definedName name="TM1MEHomeCAP">'balance sheet'!$D$50</definedName>
    <definedName name="TM1MEHomeWB">'balance sheet'!$F$50</definedName>
    <definedName name="TM1MEHomeWS">'balance sheet'!$H$50</definedName>
    <definedName name="TM1MEOSDataEntryCAP">'balance sheet'!$D$52</definedName>
    <definedName name="TM1MEOSDataEntryWB">'balance sheet'!$F$52</definedName>
    <definedName name="TM1MEOSDataEntryWS">'balance sheet'!$H$52</definedName>
    <definedName name="TM1MESummaryCAP">'balance sheet'!$D$56</definedName>
    <definedName name="TM1MESummaryWB">'balance sheet'!$F$56</definedName>
    <definedName name="TM1MESummaryWS">'balance sheet'!$H$56</definedName>
    <definedName name="TM1MEValidateCAP">'balance sheet'!$D$58</definedName>
    <definedName name="TM1MEValidateWB">'balance sheet'!$F$58</definedName>
    <definedName name="TM1MEValidateWS">'balance sheet'!$H$58</definedName>
    <definedName name="TM1REBUILDOPTION">0</definedName>
    <definedName name="TM1RPTDATARNG2" localSheetId="0">'balance sheet'!$78:$78</definedName>
    <definedName name="TM1RPTDATARNGARPT1" localSheetId="0">'balance sheet'!$84:$84</definedName>
    <definedName name="TM1RPTDATARNGARPT2" localSheetId="0">'balance sheet'!$90:$90</definedName>
    <definedName name="TM1RPTFMTIDCOL" localSheetId="0">'balance sheet'!$A$1:$A$9</definedName>
    <definedName name="TM1RPTFMTRNG" localSheetId="0">'balance sheet'!$R$1:$AP$9</definedName>
  </definedNames>
  <calcPr calcId="181029" calcMode="manual" calcCompleted="0" calcOnSave="0"/>
</workbook>
</file>

<file path=xl/calcChain.xml><?xml version="1.0" encoding="utf-8"?>
<calcChain xmlns="http://schemas.openxmlformats.org/spreadsheetml/2006/main">
  <c r="C21" i="1" l="1" a="1"/>
  <c r="C21" i="1" s="1"/>
  <c r="F22" i="1" a="1"/>
  <c r="F22" i="1" s="1"/>
  <c r="C48" i="1" a="1"/>
  <c r="C48" i="1" s="1"/>
  <c r="F19" i="1" a="1"/>
  <c r="F19" i="1" s="1"/>
  <c r="C16" i="1" a="1"/>
  <c r="C16" i="1" s="1"/>
  <c r="F23" i="1" a="1"/>
  <c r="F23" i="1" s="1"/>
  <c r="AM49" i="1"/>
  <c r="AL49" i="1"/>
  <c r="AK49" i="1"/>
  <c r="AJ49" i="1"/>
  <c r="AI49" i="1"/>
  <c r="AH49" i="1"/>
  <c r="AG49" i="1"/>
  <c r="AF49" i="1"/>
  <c r="AE49" i="1"/>
  <c r="AD49" i="1"/>
  <c r="AC49" i="1"/>
  <c r="AB49" i="1"/>
  <c r="AN89" i="1"/>
  <c r="AN83" i="1"/>
  <c r="AN77" i="1"/>
  <c r="A5" i="1"/>
  <c r="A4" i="1"/>
  <c r="A3" i="1"/>
  <c r="A2" i="1"/>
  <c r="U71" i="1"/>
  <c r="C22" i="1" a="1"/>
  <c r="U69" i="1" a="1"/>
  <c r="H58" i="1" a="1"/>
  <c r="S71" i="1" a="1"/>
  <c r="S70" i="1" a="1"/>
  <c r="A90" i="1" a="1"/>
  <c r="C57" i="1" a="1"/>
  <c r="D56" i="1" a="1"/>
  <c r="E54" i="1" a="1"/>
  <c r="F53" i="1" a="1"/>
  <c r="AL51" i="1" a="1"/>
  <c r="AG51" i="1" a="1"/>
  <c r="C51" i="1" a="1"/>
  <c r="AJ50" i="1" a="1"/>
  <c r="F50" i="1" a="1"/>
  <c r="C17" i="1" a="1"/>
  <c r="D51" i="1" a="1"/>
  <c r="C24" i="1" a="1"/>
  <c r="A84" i="1" a="1"/>
  <c r="G58" i="1" a="1"/>
  <c r="H57" i="1" a="1"/>
  <c r="C56" i="1" a="1"/>
  <c r="D55" i="1" a="1"/>
  <c r="E53" i="1" a="1"/>
  <c r="F52" i="1" a="1"/>
  <c r="AF51" i="1" a="1"/>
  <c r="H51" i="1" a="1"/>
  <c r="AI50" i="1" a="1"/>
  <c r="AD50" i="1" a="1"/>
  <c r="C18" i="1" a="1"/>
  <c r="C58" i="1" a="1"/>
  <c r="E55" i="1" a="1"/>
  <c r="AB51" i="1" a="1"/>
  <c r="G57" i="1" a="1"/>
  <c r="H56" i="1" a="1"/>
  <c r="C55" i="1" a="1"/>
  <c r="D54" i="1" a="1"/>
  <c r="E52" i="1" a="1"/>
  <c r="AK51" i="1" a="1"/>
  <c r="G51" i="1" a="1"/>
  <c r="AC50" i="1" a="1"/>
  <c r="E50" i="1" a="1"/>
  <c r="C23" i="1" a="1"/>
  <c r="F54" i="1" a="1"/>
  <c r="AM51" i="1" a="1"/>
  <c r="AE50" i="1" a="1"/>
  <c r="F58" i="1" a="1"/>
  <c r="G56" i="1" a="1"/>
  <c r="H55" i="1" a="1"/>
  <c r="C54" i="1" a="1"/>
  <c r="D53" i="1" a="1"/>
  <c r="AJ51" i="1" a="1"/>
  <c r="AE51" i="1" a="1"/>
  <c r="AM50" i="1" a="1"/>
  <c r="AH50" i="1" a="1"/>
  <c r="D50" i="1" a="1"/>
  <c r="F55" i="1" a="1"/>
  <c r="G53" i="1" a="1"/>
  <c r="AH51" i="1" a="1"/>
  <c r="E58" i="1" a="1"/>
  <c r="F57" i="1" a="1"/>
  <c r="G55" i="1" a="1"/>
  <c r="H54" i="1" a="1"/>
  <c r="C53" i="1" a="1"/>
  <c r="D52" i="1" a="1"/>
  <c r="AD51" i="1" a="1"/>
  <c r="F51" i="1" a="1"/>
  <c r="AG50" i="1" a="1"/>
  <c r="AB50" i="1" a="1"/>
  <c r="C25" i="1" a="1"/>
  <c r="C13" i="1" a="1"/>
  <c r="H53" i="1" a="1"/>
  <c r="C52" i="1" a="1"/>
  <c r="AI51" i="1" a="1"/>
  <c r="E51" i="1" a="1"/>
  <c r="AL50" i="1" a="1"/>
  <c r="H50" i="1" a="1"/>
  <c r="D58" i="1" a="1"/>
  <c r="AK50" i="1" a="1"/>
  <c r="A78" i="1" a="1"/>
  <c r="E57" i="1" a="1"/>
  <c r="F56" i="1" a="1"/>
  <c r="G54" i="1" a="1"/>
  <c r="C50" i="1" a="1"/>
  <c r="E56" i="1" a="1"/>
  <c r="H52" i="1" a="1"/>
  <c r="AC51" i="1" a="1"/>
  <c r="AF50" i="1" a="1"/>
  <c r="D57" i="1" a="1"/>
  <c r="G52" i="1" a="1"/>
  <c r="G50" i="1" a="1"/>
  <c r="G50" i="1" l="1"/>
  <c r="G52" i="1"/>
  <c r="D57" i="1"/>
  <c r="AF50" i="1"/>
  <c r="AC51" i="1"/>
  <c r="H52" i="1"/>
  <c r="E56" i="1"/>
  <c r="C50" i="1"/>
  <c r="G54" i="1"/>
  <c r="F56" i="1"/>
  <c r="E57" i="1"/>
  <c r="A78" i="1"/>
  <c r="AK50" i="1"/>
  <c r="D58" i="1"/>
  <c r="H50" i="1"/>
  <c r="AL50" i="1"/>
  <c r="E51" i="1"/>
  <c r="AI51" i="1"/>
  <c r="C52" i="1"/>
  <c r="H53" i="1"/>
  <c r="C13" i="1"/>
  <c r="F12" i="1" s="1"/>
  <c r="C25" i="1"/>
  <c r="AB50" i="1"/>
  <c r="AG50" i="1"/>
  <c r="F51" i="1"/>
  <c r="AD51" i="1"/>
  <c r="D52" i="1"/>
  <c r="C53" i="1"/>
  <c r="H54" i="1"/>
  <c r="G55" i="1"/>
  <c r="F57" i="1"/>
  <c r="E58" i="1"/>
  <c r="AH51" i="1"/>
  <c r="G53" i="1"/>
  <c r="F55" i="1"/>
  <c r="D50" i="1"/>
  <c r="AH50" i="1"/>
  <c r="AM50" i="1"/>
  <c r="AE51" i="1"/>
  <c r="AJ51" i="1"/>
  <c r="D53" i="1"/>
  <c r="C54" i="1"/>
  <c r="H55" i="1"/>
  <c r="G56" i="1"/>
  <c r="F58" i="1"/>
  <c r="AE50" i="1"/>
  <c r="AM51" i="1"/>
  <c r="F54" i="1"/>
  <c r="C23" i="1"/>
  <c r="E50" i="1"/>
  <c r="AC50" i="1"/>
  <c r="G51" i="1"/>
  <c r="AK51" i="1"/>
  <c r="E52" i="1"/>
  <c r="D54" i="1"/>
  <c r="C55" i="1"/>
  <c r="H56" i="1"/>
  <c r="G57" i="1"/>
  <c r="AB51" i="1"/>
  <c r="E55" i="1"/>
  <c r="C58" i="1"/>
  <c r="C18" i="1"/>
  <c r="AD50" i="1"/>
  <c r="AI50" i="1"/>
  <c r="H51" i="1"/>
  <c r="AF51" i="1"/>
  <c r="F52" i="1"/>
  <c r="E53" i="1"/>
  <c r="D55" i="1"/>
  <c r="C56" i="1"/>
  <c r="H57" i="1"/>
  <c r="G58" i="1"/>
  <c r="A84" i="1"/>
  <c r="C24" i="1"/>
  <c r="D51" i="1"/>
  <c r="C17" i="1"/>
  <c r="F50" i="1"/>
  <c r="AJ50" i="1"/>
  <c r="C51" i="1"/>
  <c r="AG51" i="1"/>
  <c r="AL51" i="1"/>
  <c r="F53" i="1"/>
  <c r="E54" i="1"/>
  <c r="D56" i="1"/>
  <c r="C57" i="1"/>
  <c r="A90" i="1"/>
  <c r="S70" i="1"/>
  <c r="F14" i="1" s="1"/>
  <c r="S71" i="1"/>
  <c r="H58" i="1"/>
  <c r="U69" i="1"/>
  <c r="C22" i="1"/>
  <c r="D42" i="1"/>
  <c r="C42" i="1" a="1"/>
  <c r="S69" i="1" a="1"/>
  <c r="C26" i="1" a="1"/>
  <c r="C45" i="1" l="1" a="1"/>
  <c r="C45" i="1" s="1"/>
  <c r="C26" i="1"/>
  <c r="AH52" i="1" s="1"/>
  <c r="S69" i="1"/>
  <c r="C42" i="1"/>
  <c r="B92" i="1"/>
  <c r="B80" i="1"/>
  <c r="B69" i="1"/>
  <c r="Y92" i="1"/>
  <c r="D33" i="1"/>
  <c r="E33" i="1"/>
  <c r="C33" i="1" s="1"/>
  <c r="B74" i="1"/>
  <c r="B70" i="1"/>
  <c r="Y80" i="1"/>
  <c r="B71" i="1"/>
  <c r="Y86" i="1"/>
  <c r="B73" i="1"/>
  <c r="B86" i="1"/>
  <c r="B72" i="1"/>
  <c r="F15" i="1"/>
  <c r="AK46" i="1"/>
  <c r="AC46" i="1"/>
  <c r="AH46" i="1"/>
  <c r="AM46" i="1"/>
  <c r="AE46" i="1"/>
  <c r="AJ46" i="1"/>
  <c r="AB46" i="1"/>
  <c r="AG46" i="1"/>
  <c r="AL46" i="1"/>
  <c r="AD46" i="1"/>
  <c r="AI46" i="1"/>
  <c r="AF46" i="1"/>
  <c r="AI52" i="1"/>
  <c r="AL52" i="1"/>
  <c r="C29" i="1" a="1"/>
  <c r="C30" i="1" a="1"/>
  <c r="C31" i="1" a="1"/>
  <c r="AC52" i="1" l="1"/>
  <c r="AK52" i="1"/>
  <c r="AG52" i="1"/>
  <c r="AJ52" i="1"/>
  <c r="AB52" i="1"/>
  <c r="AM52" i="1"/>
  <c r="AF52" i="1"/>
  <c r="AE52" i="1"/>
  <c r="AD52" i="1"/>
  <c r="C31" i="1"/>
  <c r="C30" i="1"/>
  <c r="C29" i="1"/>
  <c r="AG77" i="1"/>
  <c r="AG83" i="1"/>
  <c r="AG68" i="1"/>
  <c r="AG89" i="1"/>
  <c r="AC83" i="1"/>
  <c r="AC89" i="1"/>
  <c r="AC68" i="1"/>
  <c r="AC77" i="1"/>
  <c r="AB89" i="1"/>
  <c r="AB68" i="1"/>
  <c r="AB77" i="1"/>
  <c r="AB83" i="1"/>
  <c r="AK68" i="1"/>
  <c r="AK89" i="1"/>
  <c r="AK77" i="1"/>
  <c r="AK83" i="1"/>
  <c r="AE68" i="1"/>
  <c r="AE83" i="1"/>
  <c r="AE77" i="1"/>
  <c r="AE89" i="1"/>
  <c r="AM68" i="1"/>
  <c r="AM77" i="1"/>
  <c r="AM89" i="1"/>
  <c r="AM83" i="1"/>
  <c r="C32" i="1" a="1"/>
  <c r="C32" i="1" s="1"/>
  <c r="F13" i="1"/>
  <c r="AD77" i="1"/>
  <c r="AD83" i="1"/>
  <c r="AD89" i="1"/>
  <c r="AD68" i="1"/>
  <c r="AL68" i="1"/>
  <c r="AL89" i="1"/>
  <c r="AL77" i="1"/>
  <c r="AL83" i="1"/>
  <c r="AJ77" i="1"/>
  <c r="AJ83" i="1"/>
  <c r="AJ89" i="1"/>
  <c r="AJ68" i="1"/>
  <c r="AF68" i="1"/>
  <c r="AF89" i="1"/>
  <c r="AF77" i="1"/>
  <c r="AF83" i="1"/>
  <c r="AI68" i="1"/>
  <c r="AI83" i="1"/>
  <c r="AI77" i="1"/>
  <c r="AI89" i="1"/>
  <c r="AH89" i="1"/>
  <c r="AH68" i="1"/>
  <c r="AH77" i="1"/>
  <c r="AH83" i="1"/>
  <c r="H90" i="1" a="1"/>
  <c r="G90" i="1" a="1"/>
  <c r="F90" i="1" a="1"/>
  <c r="D90" i="1" a="1"/>
  <c r="C90" i="1" a="1"/>
  <c r="B90" i="1" a="1"/>
  <c r="E90" i="1" a="1"/>
  <c r="C84" i="1" a="1"/>
  <c r="B84" i="1" a="1"/>
  <c r="E84" i="1" a="1"/>
  <c r="H84" i="1" a="1"/>
  <c r="G84" i="1" a="1"/>
  <c r="F84" i="1" a="1"/>
  <c r="D84" i="1" a="1"/>
  <c r="AD70" i="1" a="1"/>
  <c r="AL73" i="1" a="1"/>
  <c r="AE72" i="1" a="1"/>
  <c r="AA92" i="1" a="1"/>
  <c r="AG69" i="1" a="1"/>
  <c r="AM69" i="1" a="1"/>
  <c r="AL70" i="1" a="1"/>
  <c r="AD71" i="1" a="1"/>
  <c r="AL71" i="1" a="1"/>
  <c r="AF73" i="1" a="1"/>
  <c r="AC80" i="1" a="1"/>
  <c r="AK80" i="1" a="1"/>
  <c r="AJ71" i="1" a="1"/>
  <c r="AI80" i="1" a="1"/>
  <c r="AM72" i="1" a="1"/>
  <c r="AL92" i="1" a="1"/>
  <c r="AA69" i="1" a="1"/>
  <c r="AH69" i="1" a="1"/>
  <c r="Z70" i="1" a="1"/>
  <c r="AF70" i="1" a="1"/>
  <c r="AG72" i="1" a="1"/>
  <c r="Z74" i="1" a="1"/>
  <c r="AH74" i="1" a="1"/>
  <c r="AG86" i="1" a="1"/>
  <c r="AD92" i="1" a="1"/>
  <c r="AN92" i="1" a="1"/>
  <c r="Z69" i="1" a="1"/>
  <c r="AF74" i="1" a="1"/>
  <c r="AC86" i="1" a="1"/>
  <c r="AF71" i="1" a="1"/>
  <c r="Z73" i="1" a="1"/>
  <c r="AH73" i="1" a="1"/>
  <c r="AE80" i="1" a="1"/>
  <c r="AM80" i="1" a="1"/>
  <c r="AL69" i="1" a="1"/>
  <c r="AB71" i="1" a="1"/>
  <c r="AC69" i="1" a="1"/>
  <c r="AI69" i="1" a="1"/>
  <c r="AH70" i="1" a="1"/>
  <c r="AA72" i="1" a="1"/>
  <c r="AI72" i="1" a="1"/>
  <c r="AB74" i="1" a="1"/>
  <c r="AJ74" i="1" a="1"/>
  <c r="AK86" i="1" a="1"/>
  <c r="AJ70" i="1" a="1"/>
  <c r="AD73" i="1" a="1"/>
  <c r="AA80" i="1" a="1"/>
  <c r="AD69" i="1" a="1"/>
  <c r="AB70" i="1" a="1"/>
  <c r="Z71" i="1" a="1"/>
  <c r="AH71" i="1" a="1"/>
  <c r="AB73" i="1" a="1"/>
  <c r="AJ73" i="1" a="1"/>
  <c r="AG80" i="1" a="1"/>
  <c r="AI92" i="1" a="1"/>
  <c r="AE69" i="1" a="1"/>
  <c r="AK69" i="1" a="1"/>
  <c r="AC72" i="1" a="1"/>
  <c r="AK72" i="1" a="1"/>
  <c r="AD74" i="1" a="1"/>
  <c r="AL74" i="1" a="1"/>
  <c r="AO86" i="1" a="1"/>
  <c r="AA70" i="1" a="1"/>
  <c r="AE70" i="1" a="1"/>
  <c r="AI70" i="1" a="1"/>
  <c r="AM70" i="1" a="1"/>
  <c r="Z72" i="1" a="1"/>
  <c r="AD72" i="1" a="1"/>
  <c r="AH72" i="1" a="1"/>
  <c r="AL72" i="1" a="1"/>
  <c r="AA74" i="1" a="1"/>
  <c r="AE74" i="1" a="1"/>
  <c r="AI74" i="1" a="1"/>
  <c r="AM74" i="1" a="1"/>
  <c r="Z86" i="1" a="1"/>
  <c r="AD86" i="1" a="1"/>
  <c r="AH86" i="1" a="1"/>
  <c r="AL86" i="1" a="1"/>
  <c r="AG92" i="1" a="1"/>
  <c r="AC71" i="1" a="1"/>
  <c r="AG71" i="1" a="1"/>
  <c r="AK71" i="1" a="1"/>
  <c r="AA73" i="1" a="1"/>
  <c r="AE73" i="1" a="1"/>
  <c r="AI73" i="1" a="1"/>
  <c r="AM73" i="1" a="1"/>
  <c r="AB80" i="1" a="1"/>
  <c r="AF80" i="1" a="1"/>
  <c r="AJ80" i="1" a="1"/>
  <c r="AN80" i="1" a="1"/>
  <c r="AB92" i="1" a="1"/>
  <c r="AJ92" i="1" a="1"/>
  <c r="AO92" i="1" a="1"/>
  <c r="AA86" i="1" a="1"/>
  <c r="AE86" i="1" a="1"/>
  <c r="AI86" i="1" a="1"/>
  <c r="AM86" i="1" a="1"/>
  <c r="AE92" i="1" a="1"/>
  <c r="AM92" i="1" a="1"/>
  <c r="AO80" i="1" a="1"/>
  <c r="AH92" i="1" a="1"/>
  <c r="AC70" i="1" a="1"/>
  <c r="AG70" i="1" a="1"/>
  <c r="AK70" i="1" a="1"/>
  <c r="AB72" i="1" a="1"/>
  <c r="AF72" i="1" a="1"/>
  <c r="AJ72" i="1" a="1"/>
  <c r="S74" i="1" a="1"/>
  <c r="AC74" i="1" a="1"/>
  <c r="AG74" i="1" a="1"/>
  <c r="AK74" i="1" a="1"/>
  <c r="AB86" i="1" a="1"/>
  <c r="AF86" i="1" a="1"/>
  <c r="AJ86" i="1" a="1"/>
  <c r="AN86" i="1" a="1"/>
  <c r="AC92" i="1" a="1"/>
  <c r="AK92" i="1" a="1"/>
  <c r="AB69" i="1" a="1"/>
  <c r="AF69" i="1" a="1"/>
  <c r="AJ69" i="1" a="1"/>
  <c r="AA71" i="1" a="1"/>
  <c r="AE71" i="1" a="1"/>
  <c r="AI71" i="1" a="1"/>
  <c r="AM71" i="1" a="1"/>
  <c r="S73" i="1" a="1"/>
  <c r="AC73" i="1" a="1"/>
  <c r="AG73" i="1" a="1"/>
  <c r="AK73" i="1" a="1"/>
  <c r="Z80" i="1" a="1"/>
  <c r="AD80" i="1" a="1"/>
  <c r="AH80" i="1" a="1"/>
  <c r="AL80" i="1" a="1"/>
  <c r="Z92" i="1" a="1"/>
  <c r="AF92" i="1" a="1"/>
  <c r="C78" i="1" a="1"/>
  <c r="D78" i="1" a="1"/>
  <c r="H78" i="1" a="1"/>
  <c r="G78" i="1" a="1"/>
  <c r="F78" i="1" a="1"/>
  <c r="B78" i="1" a="1"/>
  <c r="E78" i="1" a="1"/>
  <c r="E78" i="1" l="1"/>
  <c r="T78" i="1" s="1"/>
  <c r="B78" i="1"/>
  <c r="F78" i="1"/>
  <c r="G78" i="1"/>
  <c r="V78" i="1" s="1"/>
  <c r="H78" i="1"/>
  <c r="W78" i="1" s="1"/>
  <c r="D78" i="1"/>
  <c r="C78" i="1"/>
  <c r="X78" i="1" s="1"/>
  <c r="AF92" i="1"/>
  <c r="Z92" i="1"/>
  <c r="AL80" i="1"/>
  <c r="AH80" i="1"/>
  <c r="AD80" i="1"/>
  <c r="Z80" i="1"/>
  <c r="AK73" i="1"/>
  <c r="AG73" i="1"/>
  <c r="AC73" i="1"/>
  <c r="S73" i="1"/>
  <c r="AM71" i="1"/>
  <c r="AI71" i="1"/>
  <c r="AE71" i="1"/>
  <c r="AA71" i="1"/>
  <c r="AJ69" i="1"/>
  <c r="AF69" i="1"/>
  <c r="AB69" i="1"/>
  <c r="AK92" i="1"/>
  <c r="AC92" i="1"/>
  <c r="AN86" i="1"/>
  <c r="AJ86" i="1"/>
  <c r="AF86" i="1"/>
  <c r="AB86" i="1"/>
  <c r="AK74" i="1"/>
  <c r="AG74" i="1"/>
  <c r="AC74" i="1"/>
  <c r="S74" i="1"/>
  <c r="AJ72" i="1"/>
  <c r="AF72" i="1"/>
  <c r="AB72" i="1"/>
  <c r="AK70" i="1"/>
  <c r="AG70" i="1"/>
  <c r="AC70" i="1"/>
  <c r="AH92" i="1"/>
  <c r="AO80" i="1"/>
  <c r="AM92" i="1"/>
  <c r="AE92" i="1"/>
  <c r="AM86" i="1"/>
  <c r="AI86" i="1"/>
  <c r="AE86" i="1"/>
  <c r="AA86" i="1"/>
  <c r="AO92" i="1"/>
  <c r="AJ92" i="1"/>
  <c r="AB92" i="1"/>
  <c r="AN80" i="1"/>
  <c r="AJ80" i="1"/>
  <c r="AF80" i="1"/>
  <c r="AB80" i="1"/>
  <c r="AM73" i="1"/>
  <c r="AI73" i="1"/>
  <c r="AE73" i="1"/>
  <c r="AA73" i="1"/>
  <c r="AK71" i="1"/>
  <c r="AG71" i="1"/>
  <c r="AC71" i="1"/>
  <c r="AG92" i="1"/>
  <c r="AL86" i="1"/>
  <c r="AH86" i="1"/>
  <c r="AD86" i="1"/>
  <c r="Z86" i="1"/>
  <c r="AM74" i="1"/>
  <c r="AI74" i="1"/>
  <c r="AE74" i="1"/>
  <c r="AA74" i="1"/>
  <c r="AL72" i="1"/>
  <c r="AH72" i="1"/>
  <c r="AD72" i="1"/>
  <c r="Z72" i="1"/>
  <c r="AM70" i="1"/>
  <c r="AI70" i="1"/>
  <c r="AE70" i="1"/>
  <c r="AA70" i="1"/>
  <c r="AO86" i="1"/>
  <c r="AL74" i="1"/>
  <c r="AD74" i="1"/>
  <c r="AK72" i="1"/>
  <c r="AC72" i="1"/>
  <c r="AK69" i="1"/>
  <c r="AE69" i="1"/>
  <c r="AI92" i="1"/>
  <c r="AG80" i="1"/>
  <c r="AJ73" i="1"/>
  <c r="AB73" i="1"/>
  <c r="AH71" i="1"/>
  <c r="Z71" i="1"/>
  <c r="AB70" i="1"/>
  <c r="AD69" i="1"/>
  <c r="AA80" i="1"/>
  <c r="AD73" i="1"/>
  <c r="AJ70" i="1"/>
  <c r="AK86" i="1"/>
  <c r="AJ74" i="1"/>
  <c r="AB74" i="1"/>
  <c r="AI72" i="1"/>
  <c r="AA72" i="1"/>
  <c r="AH70" i="1"/>
  <c r="AI69" i="1"/>
  <c r="AC69" i="1"/>
  <c r="AB71" i="1"/>
  <c r="AL69" i="1"/>
  <c r="AM80" i="1"/>
  <c r="AE80" i="1"/>
  <c r="AH73" i="1"/>
  <c r="Z73" i="1"/>
  <c r="AF71" i="1"/>
  <c r="AC86" i="1"/>
  <c r="AF74" i="1"/>
  <c r="Z69" i="1"/>
  <c r="AN92" i="1"/>
  <c r="AD92" i="1"/>
  <c r="AG86" i="1"/>
  <c r="AH74" i="1"/>
  <c r="Z74" i="1"/>
  <c r="AG72" i="1"/>
  <c r="AF70" i="1"/>
  <c r="Z70" i="1"/>
  <c r="AH69" i="1"/>
  <c r="AA69" i="1"/>
  <c r="AL92" i="1"/>
  <c r="AM72" i="1"/>
  <c r="AI80" i="1"/>
  <c r="AJ71" i="1"/>
  <c r="AK80" i="1"/>
  <c r="AC80" i="1"/>
  <c r="AF73" i="1"/>
  <c r="AL71" i="1"/>
  <c r="AD71" i="1"/>
  <c r="AL70" i="1"/>
  <c r="AM69" i="1"/>
  <c r="AG69" i="1"/>
  <c r="AA92" i="1"/>
  <c r="AE72" i="1"/>
  <c r="AL73" i="1"/>
  <c r="AD70" i="1"/>
  <c r="D84" i="1"/>
  <c r="F84" i="1"/>
  <c r="G84" i="1"/>
  <c r="V84" i="1" s="1"/>
  <c r="H84" i="1"/>
  <c r="W84" i="1" s="1"/>
  <c r="E84" i="1"/>
  <c r="T84" i="1" s="1"/>
  <c r="B84" i="1"/>
  <c r="C84" i="1"/>
  <c r="X84" i="1" s="1"/>
  <c r="E90" i="1"/>
  <c r="T90" i="1" s="1"/>
  <c r="B90" i="1"/>
  <c r="C90" i="1"/>
  <c r="X90" i="1" s="1"/>
  <c r="D90" i="1"/>
  <c r="F90" i="1"/>
  <c r="G90" i="1"/>
  <c r="V90" i="1" s="1"/>
  <c r="H90" i="1"/>
  <c r="W90" i="1" s="1"/>
  <c r="Y90" i="1" a="1"/>
  <c r="J90" i="1" a="1"/>
  <c r="AN90" i="1" a="1"/>
  <c r="AK90" i="1" a="1"/>
  <c r="AG90" i="1" a="1"/>
  <c r="AC90" i="1" a="1"/>
  <c r="AJ90" i="1" a="1"/>
  <c r="AF90" i="1" a="1"/>
  <c r="AB90" i="1" a="1"/>
  <c r="AM90" i="1" a="1"/>
  <c r="AI90" i="1" a="1"/>
  <c r="AE90" i="1" a="1"/>
  <c r="AA90" i="1" a="1"/>
  <c r="AD90" i="1" a="1"/>
  <c r="Z90" i="1" a="1"/>
  <c r="AH90" i="1" a="1"/>
  <c r="AL90" i="1" a="1"/>
  <c r="M84" i="1" a="1"/>
  <c r="L84" i="1" a="1"/>
  <c r="L90" i="1" a="1"/>
  <c r="M90" i="1" a="1"/>
  <c r="I78" i="1" a="1"/>
  <c r="AK78" i="1" a="1"/>
  <c r="AG78" i="1" a="1"/>
  <c r="AC78" i="1" a="1"/>
  <c r="AM78" i="1" a="1"/>
  <c r="AI78" i="1" a="1"/>
  <c r="AE78" i="1" a="1"/>
  <c r="AA78" i="1" a="1"/>
  <c r="AF78" i="1" a="1"/>
  <c r="AH78" i="1" a="1"/>
  <c r="AL78" i="1" a="1"/>
  <c r="AD78" i="1" a="1"/>
  <c r="Z78" i="1" a="1"/>
  <c r="AJ78" i="1" a="1"/>
  <c r="AB78" i="1" a="1"/>
  <c r="Y78" i="1" a="1"/>
  <c r="AN78" i="1" a="1"/>
  <c r="J78" i="1" a="1"/>
  <c r="I84" i="1" a="1"/>
  <c r="Y84" i="1" a="1"/>
  <c r="AN84" i="1" a="1"/>
  <c r="J84" i="1" a="1"/>
  <c r="AM84" i="1" a="1"/>
  <c r="AI84" i="1" a="1"/>
  <c r="AE84" i="1" a="1"/>
  <c r="AA84" i="1" a="1"/>
  <c r="AL84" i="1" a="1"/>
  <c r="AH84" i="1" a="1"/>
  <c r="AK84" i="1" a="1"/>
  <c r="AG84" i="1" a="1"/>
  <c r="AC84" i="1" a="1"/>
  <c r="AF84" i="1" a="1"/>
  <c r="AD84" i="1" a="1"/>
  <c r="AB84" i="1" a="1"/>
  <c r="Z84" i="1" a="1"/>
  <c r="AJ84" i="1" a="1"/>
  <c r="M78" i="1" a="1"/>
  <c r="L78" i="1" a="1"/>
  <c r="I90" i="1" a="1"/>
  <c r="I90" i="1" l="1"/>
  <c r="L78" i="1"/>
  <c r="O78" i="1" s="1"/>
  <c r="M78" i="1"/>
  <c r="AJ84" i="1"/>
  <c r="Z84" i="1"/>
  <c r="AB84" i="1"/>
  <c r="K84" i="1" s="1"/>
  <c r="AD84" i="1"/>
  <c r="AF84" i="1"/>
  <c r="AC84" i="1"/>
  <c r="AG84" i="1"/>
  <c r="AK84" i="1"/>
  <c r="AH84" i="1"/>
  <c r="AL84" i="1"/>
  <c r="AA84" i="1"/>
  <c r="AE84" i="1"/>
  <c r="AI84" i="1"/>
  <c r="AM84" i="1"/>
  <c r="J84" i="1"/>
  <c r="AN84" i="1"/>
  <c r="Y84" i="1"/>
  <c r="I84" i="1"/>
  <c r="J78" i="1"/>
  <c r="AN78" i="1"/>
  <c r="Y78" i="1"/>
  <c r="AB78" i="1"/>
  <c r="K78" i="1" s="1"/>
  <c r="AJ78" i="1"/>
  <c r="Z78" i="1"/>
  <c r="AD78" i="1"/>
  <c r="AL78" i="1"/>
  <c r="AH78" i="1"/>
  <c r="AF78" i="1"/>
  <c r="AA78" i="1"/>
  <c r="AE78" i="1"/>
  <c r="AI78" i="1"/>
  <c r="AM78" i="1"/>
  <c r="AC78" i="1"/>
  <c r="AG78" i="1"/>
  <c r="AK78" i="1"/>
  <c r="I78" i="1"/>
  <c r="M90" i="1"/>
  <c r="L90" i="1"/>
  <c r="O90" i="1" s="1"/>
  <c r="L84" i="1"/>
  <c r="O84" i="1" s="1"/>
  <c r="M84" i="1"/>
  <c r="AL90" i="1"/>
  <c r="AH90" i="1"/>
  <c r="Z90" i="1"/>
  <c r="AD90" i="1"/>
  <c r="AA90" i="1"/>
  <c r="AE90" i="1"/>
  <c r="AI90" i="1"/>
  <c r="AM90" i="1"/>
  <c r="AB90" i="1"/>
  <c r="K90" i="1" s="1"/>
  <c r="AF90" i="1"/>
  <c r="AJ90" i="1"/>
  <c r="AC90" i="1"/>
  <c r="AG90" i="1"/>
  <c r="AK90" i="1"/>
  <c r="AN90" i="1"/>
  <c r="J90" i="1"/>
  <c r="Y90" i="1"/>
  <c r="R90" i="1"/>
  <c r="S78" i="1"/>
  <c r="U84" i="1"/>
  <c r="R84" i="1"/>
  <c r="U78" i="1"/>
  <c r="R78" i="1"/>
  <c r="S90" i="1"/>
  <c r="S84" i="1"/>
  <c r="U90" i="1"/>
  <c r="AO84" i="1" l="1"/>
  <c r="N84" i="1"/>
  <c r="P84" i="1" s="1"/>
  <c r="AP84" i="1" s="1"/>
  <c r="N78" i="1"/>
  <c r="P78" i="1" s="1"/>
  <c r="AP78" i="1" s="1"/>
  <c r="AO78" i="1"/>
  <c r="N90" i="1"/>
  <c r="P90" i="1" s="1"/>
  <c r="AP90" i="1" s="1"/>
  <c r="AO90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<sst xmlns="http://schemas.openxmlformats.org/spreadsheetml/2006/main" count="249" uniqueCount="148">
  <si>
    <t>headline year</t>
  </si>
  <si>
    <t>ME reporting measure</t>
  </si>
  <si>
    <t>Jun YTD</t>
  </si>
  <si>
    <t>Total approp item</t>
  </si>
  <si>
    <t>Total movement</t>
  </si>
  <si>
    <t>Total related entity</t>
  </si>
  <si>
    <t>Total jurisdictions</t>
  </si>
  <si>
    <t>Total SPP</t>
  </si>
  <si>
    <t>D</t>
  </si>
  <si>
    <t>N</t>
  </si>
  <si>
    <t>[Begin Format Range]</t>
  </si>
  <si>
    <t>[End Format Range]</t>
  </si>
  <si>
    <t>Account</t>
  </si>
  <si>
    <t>Related Entity</t>
  </si>
  <si>
    <t>Jurisdiction</t>
  </si>
  <si>
    <t xml:space="preserve"> SPP</t>
  </si>
  <si>
    <t>System Variables</t>
  </si>
  <si>
    <t>Database Name</t>
  </si>
  <si>
    <t>Current User</t>
  </si>
  <si>
    <t>ME Reporting</t>
  </si>
  <si>
    <t>Slice View</t>
  </si>
  <si>
    <t>ME System Variable</t>
  </si>
  <si>
    <t>Cube View</t>
  </si>
  <si>
    <t>ME_headline year</t>
  </si>
  <si>
    <t>ME_period</t>
  </si>
  <si>
    <t>ME year</t>
  </si>
  <si>
    <t>Appropriation Item MDX</t>
  </si>
  <si>
    <t>Movement Account MDX</t>
  </si>
  <si>
    <t>Related Entity MDX</t>
  </si>
  <si>
    <t>Jurisdiction MDX</t>
  </si>
  <si>
    <t>SPP MDX</t>
  </si>
  <si>
    <t>{TM1SORT( {TM1FILTERBYLEVEL( {TM1SUBSETALL( [spp] )}, 0)}, ASC)}</t>
  </si>
  <si>
    <t>{TM1SORT( {TM1FILTERBYLEVEL( {TM1SUBSETALL( [jurisdiction] )}, 0)}, ASC)}</t>
  </si>
  <si>
    <t>{TM1SORT( {TM1FILTERBYLEVEL( {TM1SUBSETALL( [related entity] )}, 0)}, ASC)}</t>
  </si>
  <si>
    <t>{TM1SORT( {TM1FILTERBYLEVEL( {TM1SUBSETALL( [appropriation item] )}, 0)}, ASC)}</t>
  </si>
  <si>
    <t>2000000</t>
  </si>
  <si>
    <t>}ElementAttributes_variables</t>
  </si>
  <si>
    <t>headline scenario</t>
  </si>
  <si>
    <t>Parent</t>
  </si>
  <si>
    <t>N0</t>
  </si>
  <si>
    <t>ID</t>
  </si>
  <si>
    <t>Opening Balance</t>
  </si>
  <si>
    <t>Period</t>
  </si>
  <si>
    <t>0000A</t>
  </si>
  <si>
    <t>00001</t>
  </si>
  <si>
    <t>Data Entry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</si>
  <si>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</si>
  <si>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</si>
  <si>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</si>
  <si>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</si>
  <si>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</si>
  <si>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</si>
  <si>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</si>
  <si>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</si>
  <si>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</si>
  <si>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</si>
  <si>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May</t>
  </si>
  <si>
    <t>Jun</t>
  </si>
  <si>
    <t>P00</t>
  </si>
  <si>
    <t>Annual Estimates</t>
  </si>
  <si>
    <t>Month To Date</t>
  </si>
  <si>
    <t>Year To Date</t>
  </si>
  <si>
    <t>Annual Est</t>
  </si>
  <si>
    <t>Variance</t>
  </si>
  <si>
    <t>SPP</t>
  </si>
  <si>
    <t>1000001</t>
  </si>
  <si>
    <t>Headline Year :</t>
  </si>
  <si>
    <t>Scenario :</t>
  </si>
  <si>
    <t>REPORT PARAMETERS</t>
  </si>
  <si>
    <t>DISPLAY PARAMETERS</t>
  </si>
  <si>
    <t>Display :</t>
  </si>
  <si>
    <t>3000000</t>
  </si>
  <si>
    <t>4000000</t>
  </si>
  <si>
    <t>5000000</t>
  </si>
  <si>
    <t xml:space="preserve">Revenue : </t>
  </si>
  <si>
    <t xml:space="preserve">Expenses : </t>
  </si>
  <si>
    <t xml:space="preserve">Liability : </t>
  </si>
  <si>
    <t xml:space="preserve">Equity : </t>
  </si>
  <si>
    <t xml:space="preserve">Asset : </t>
  </si>
  <si>
    <t>3800001</t>
  </si>
  <si>
    <t xml:space="preserve">Balance Sheet : </t>
  </si>
  <si>
    <t>Account ASSETS MDX</t>
  </si>
  <si>
    <t>Account LIABILITY MDX</t>
  </si>
  <si>
    <t>Active Form View (ASSETS)</t>
  </si>
  <si>
    <t>Active Form View (LIABILITY)</t>
  </si>
  <si>
    <t>Active Form View (EQUITY)</t>
  </si>
  <si>
    <t>{TM1FILTERBYLEVEL( {TM1DRILLDOWNMEMBER( {[account].[5000000]}, ALL, RECURSIVE )}, 0)}</t>
  </si>
  <si>
    <t>{TM1FILTERBYLEVEL( {TM1DRILLDOWNMEMBER( {[account].[3000000]}, ALL, RECURSIVE )}, 0)}</t>
  </si>
  <si>
    <t>{TM1FILTERBYLEVEL( {TM1DRILLDOWNMEMBER( {[account].[4000000]}, ALL, RECURSIVE )}, 0)}</t>
  </si>
  <si>
    <t>{TM1SORT( {FILTER( {TM1FILTERBYLEVEL( {TM1SUBSETALL( [movement account] )}, 0)}, [movement account].[editable] = "")}, ASC)}</t>
  </si>
  <si>
    <t>Movement Account</t>
  </si>
  <si>
    <t>EQUITY</t>
  </si>
  <si>
    <t>LIABILITIES</t>
  </si>
  <si>
    <t>ASSETS</t>
  </si>
  <si>
    <t>sys_application</t>
  </si>
  <si>
    <t>Caption Name</t>
  </si>
  <si>
    <t>Caption</t>
  </si>
  <si>
    <t>Workbook Name</t>
  </si>
  <si>
    <t>Workbook</t>
  </si>
  <si>
    <t>Worksheet Name</t>
  </si>
  <si>
    <t>Worksheet</t>
  </si>
  <si>
    <t>ME - Homepage</t>
  </si>
  <si>
    <t>ME - Data Entry</t>
  </si>
  <si>
    <t>ME - OS Data Entry</t>
  </si>
  <si>
    <t>ME - BS Data Entry</t>
  </si>
  <si>
    <t>ME - CC Mapping</t>
  </si>
  <si>
    <t>ME - GL Mapping</t>
  </si>
  <si>
    <t>ME - Summary</t>
  </si>
  <si>
    <t>Action Button Parameters</t>
  </si>
  <si>
    <t>psUser</t>
  </si>
  <si>
    <t>psHLYear</t>
  </si>
  <si>
    <t>psScenario</t>
  </si>
  <si>
    <t>psProg</t>
  </si>
  <si>
    <t>psID</t>
  </si>
  <si>
    <t>Monthly Estimates - Balance Sheet</t>
  </si>
  <si>
    <t>Jur</t>
  </si>
  <si>
    <t>{TM1SORT( {TM1FILTERBYLEVEL( {TM1SUBSETALL( [movement account] )}, 0)}, ASC)}</t>
  </si>
  <si>
    <t>program MDX</t>
  </si>
  <si>
    <t>program Details</t>
  </si>
  <si>
    <t>Phasing Method</t>
  </si>
  <si>
    <t>P0</t>
  </si>
  <si>
    <t>Program</t>
  </si>
  <si>
    <t>Program :</t>
  </si>
  <si>
    <t>May YTD</t>
  </si>
  <si>
    <t>ME - CF Data Entry</t>
  </si>
  <si>
    <t>ME - Validate</t>
  </si>
  <si>
    <t>Reviewed By :</t>
  </si>
  <si>
    <t>Reviewed Date :</t>
  </si>
  <si>
    <t xml:space="preserve">Note : The 'Set Reviewed' button will apply the review status to ALL sub-programs on the selected Program. </t>
  </si>
  <si>
    <t>WARNING - NO BUDGET</t>
  </si>
  <si>
    <t>}ElementAttributes_period</t>
  </si>
  <si>
    <t>}ElementAttributes_Cube</t>
  </si>
  <si>
    <t>account</t>
  </si>
  <si>
    <t>movement account</t>
  </si>
  <si>
    <t>DECIMALS</t>
  </si>
  <si>
    <t>appropriation type required</t>
  </si>
  <si>
    <t>WARNING - RE</t>
  </si>
  <si>
    <t>WARNING TO USE</t>
  </si>
  <si>
    <t>ME Actuals</t>
  </si>
  <si>
    <t>ME Actuals Period</t>
  </si>
  <si>
    <t>Index</t>
  </si>
  <si>
    <t>ME Index</t>
  </si>
  <si>
    <t>ME Prior Period</t>
  </si>
  <si>
    <t>Appropriation</t>
  </si>
  <si>
    <t>Program Display :</t>
  </si>
  <si>
    <t>Collapse</t>
  </si>
  <si>
    <t>Expand</t>
  </si>
  <si>
    <t>finance_geus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</si>
</sst>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-* #,##0_-;* \(#,##0\)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28"/>
      <color theme="0"/>
      <name val="Calibri"/>
      <family val="2"/>
      <scheme val="minor"/>
    </font>
    <font>
      <i/>
      <sz val="10"/>
      <color rgb="FFFF0000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2C4E7B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1" fillId="0" borderId="0" applyNumberFormat="0" applyFill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0" fillId="0" borderId="1" xfId="0" applyBorder="1"/>
    <xf numFmtId="49" fontId="0" fillId="0" borderId="0" xfId="0" applyNumberFormat="1"/>
    <xf numFmtId="0" fontId="2" fillId="6" borderId="0" xfId="0" applyFont="1" applyFill="1" applyAlignment="1">
      <alignment horizontal="center"/>
    </xf>
    <xf numFmtId="0" fontId="5" fillId="0" borderId="0" xfId="0" applyFont="1"/>
    <xf numFmtId="0" fontId="0" fillId="0" borderId="0" xfId="0" quotePrefix="1"/>
    <xf numFmtId="0" fontId="2" fillId="6" borderId="0" xfId="0" applyFont="1" applyFill="1" applyAlignment="1">
      <alignment horizontal="center" wrapText="1"/>
    </xf>
    <xf numFmtId="0" fontId="3" fillId="0" borderId="1" xfId="0" quotePrefix="1" applyFont="1" applyBorder="1"/>
    <xf numFmtId="0" fontId="0" fillId="0" borderId="1" xfId="0" quotePrefix="1" applyBorder="1"/>
    <xf numFmtId="0" fontId="2" fillId="6" borderId="1" xfId="0" applyFont="1" applyFill="1" applyBorder="1" applyAlignment="1">
      <alignment horizontal="center"/>
    </xf>
    <xf numFmtId="0" fontId="3" fillId="0" borderId="1" xfId="0" applyFont="1" applyBorder="1"/>
    <xf numFmtId="165" fontId="4" fillId="0" borderId="1" xfId="1" applyNumberFormat="1" applyFont="1" applyFill="1" applyBorder="1"/>
    <xf numFmtId="0" fontId="6" fillId="0" borderId="1" xfId="0" applyFont="1" applyBorder="1"/>
    <xf numFmtId="0" fontId="4" fillId="0" borderId="1" xfId="0" applyFont="1" applyBorder="1"/>
    <xf numFmtId="165" fontId="6" fillId="5" borderId="1" xfId="1" applyNumberFormat="1" applyFont="1" applyFill="1" applyBorder="1"/>
    <xf numFmtId="165" fontId="4" fillId="2" borderId="1" xfId="1" applyNumberFormat="1" applyFont="1" applyFill="1" applyBorder="1"/>
    <xf numFmtId="0" fontId="4" fillId="2" borderId="1" xfId="0" applyFont="1" applyFill="1" applyBorder="1"/>
    <xf numFmtId="49" fontId="4" fillId="2" borderId="1" xfId="0" applyNumberFormat="1" applyFont="1" applyFill="1" applyBorder="1"/>
    <xf numFmtId="0" fontId="4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right" indent="1"/>
    </xf>
    <xf numFmtId="0" fontId="7" fillId="6" borderId="0" xfId="0" applyFont="1" applyFill="1" applyAlignment="1">
      <alignment horizontal="right" vertical="center"/>
    </xf>
    <xf numFmtId="0" fontId="0" fillId="0" borderId="2" xfId="0" applyBorder="1"/>
    <xf numFmtId="0" fontId="3" fillId="5" borderId="1" xfId="0" applyFont="1" applyFill="1" applyBorder="1"/>
    <xf numFmtId="0" fontId="8" fillId="6" borderId="0" xfId="0" applyFont="1" applyFill="1" applyAlignment="1">
      <alignment horizontal="right" vertical="center"/>
    </xf>
    <xf numFmtId="165" fontId="4" fillId="2" borderId="1" xfId="1" applyNumberFormat="1" applyFont="1" applyFill="1" applyBorder="1" applyProtection="1">
      <protection locked="0"/>
    </xf>
    <xf numFmtId="165" fontId="4" fillId="0" borderId="1" xfId="1" applyNumberFormat="1" applyFont="1" applyFill="1" applyBorder="1" applyProtection="1">
      <protection locked="0"/>
    </xf>
    <xf numFmtId="0" fontId="0" fillId="0" borderId="1" xfId="0" applyBorder="1" applyAlignment="1" applyProtection="1">
      <alignment horizontal="left" indent="1"/>
      <protection locked="0"/>
    </xf>
    <xf numFmtId="0" fontId="2" fillId="7" borderId="0" xfId="0" applyFont="1" applyFill="1" applyAlignment="1">
      <alignment vertical="center"/>
    </xf>
    <xf numFmtId="0" fontId="7" fillId="6" borderId="0" xfId="0" applyFont="1" applyFill="1" applyAlignment="1">
      <alignment vertical="center"/>
    </xf>
    <xf numFmtId="0" fontId="8" fillId="6" borderId="0" xfId="0" applyFont="1" applyFill="1" applyAlignment="1">
      <alignment vertical="center"/>
    </xf>
    <xf numFmtId="0" fontId="2" fillId="6" borderId="0" xfId="0" applyFont="1" applyFill="1" applyAlignment="1">
      <alignment wrapText="1"/>
    </xf>
    <xf numFmtId="0" fontId="4" fillId="2" borderId="1" xfId="0" applyFont="1" applyFill="1" applyBorder="1" applyProtection="1">
      <protection locked="0"/>
    </xf>
    <xf numFmtId="0" fontId="4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9" fillId="0" borderId="1" xfId="0" applyFont="1" applyBorder="1"/>
    <xf numFmtId="0" fontId="10" fillId="0" borderId="0" xfId="0" applyFont="1"/>
    <xf numFmtId="0" fontId="2" fillId="4" borderId="0" xfId="0" applyFont="1" applyFill="1" applyAlignment="1">
      <alignment horizontal="center" vertical="center"/>
    </xf>
    <xf numFmtId="165" fontId="0" fillId="0" borderId="0" xfId="0" applyNumberFormat="1"/>
    <xf numFmtId="0" fontId="4" fillId="0" borderId="1" xfId="0" applyFont="1" applyBorder="1" applyAlignment="1" applyProtection="1">
      <alignment horizontal="left"/>
      <protection locked="0"/>
    </xf>
    <xf numFmtId="0" fontId="4" fillId="2" borderId="1" xfId="0" applyFont="1" applyFill="1" applyBorder="1" applyAlignment="1" applyProtection="1">
      <alignment horizontal="left"/>
      <protection locked="0"/>
    </xf>
    <xf numFmtId="0" fontId="0" fillId="0" borderId="1" xfId="0" applyBorder="1" applyAlignment="1">
      <alignment horizontal="center"/>
    </xf>
    <xf numFmtId="165" fontId="4" fillId="5" borderId="1" xfId="1" applyNumberFormat="1" applyFont="1" applyFill="1" applyBorder="1"/>
    <xf numFmtId="0" fontId="11" fillId="2" borderId="1" xfId="2" applyNumberFormat="1" applyFill="1" applyBorder="1"/>
    <xf numFmtId="0" fontId="3" fillId="3" borderId="1" xfId="0" applyFont="1" applyFill="1" applyBorder="1" applyAlignment="1">
      <alignment horizontal="center"/>
    </xf>
    <xf numFmtId="0" fontId="0" fillId="0" borderId="1" xfId="0" applyBorder="1" applyAlignment="1" applyProtection="1">
      <alignment horizontal="left" indent="1"/>
      <protection locked="0"/>
    </xf>
    <xf numFmtId="0" fontId="2" fillId="4" borderId="0" xfId="0" applyFont="1" applyFill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3">
    <cellStyle name="Comma" xfId="1" builtinId="3"/>
    <cellStyle name="Hyperlink" xfId="2" builtinId="8"/>
    <cellStyle name="Normal" xfId="0" builtinId="0"/>
  </cellStyles>
  <dxfs count="1">
    <dxf>
      <fill>
        <patternFill>
          <bgColor theme="0" tint="-0.1499679555650502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426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614"/>
  <ax:ocxPr ax:name="_ExtentY" ax:value="476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Cash Flow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CFDataEntryWB"/>
  <ax:ocxPr ax:name="TargetWorksheetName" ax:value="=TM1MECFDataEntryWS"/>
  <ax:ocxPr ax:name="AutoTitles" ax:value="0"/>
  <ax:ocxPr ax:name="ReplaceWindow" ax:value="0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CFDataEntry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66"/>
  <ax:ocxPr ax:name="_ExtentY" ax:value="476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Program Summary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SummaryWB"/>
  <ax:ocxPr ax:name="TargetWorksheetName" ax:value="=TM1MESummary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Summary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44"/>
  <ax:ocxPr ax:name="_ExtentY" ax:value="476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Hom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HomeWB"/>
  <ax:ocxPr ax:name="TargetWorksheetName" ax:value="=TM1ME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HomeCAP"/>
  <ax:ocxPr ax:name="ResizeButtonToCaption" ax:value="0"/>
</ax:ocx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858"/>
  <ax:ocxPr ax:name="_ExtentY" ax:value="476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Operating Statement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=TM1MEOSDataEntryWB"/>
  <ax:ocxPr ax:name="TargetWorksheetName" ax:value="=TM1MEOSDataEntryWS"/>
  <ax:ocxPr ax:name="AutoTitles" ax:value="0"/>
  <ax:ocxPr ax:name="ReplaceWindow" ax:value="0"/>
  <ax:ocxPr ax:name="IsMappingFormula" ax:value="0"/>
  <ax:ocxPr ax:name="TargetTypes" ax:value="0"/>
  <ax:ocxPr ax:name="TargetObjects" ax:value="program"/>
  <ax:ocxPr ax:name="TargetSubsets" ax:value="sys_ME programs"/>
  <ax:ocxPr ax:name="TargetAliases" ax:value="code and description"/>
  <ax:ocxPr ax:name="TargetValues" ax:value=""/>
  <ax:ocxPr ax:name="SourceTypes" ax:value="0"/>
  <ax:ocxPr ax:name="SourceObjects" ax:value="program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OSDataEntryCAP"/>
  <ax:ocxPr ax:name="ResizeButtonToCaption" ax:value="0"/>
</ax:ocx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640"/>
  <ax:ocxPr ax:name="_ExtentY" ax:value="450"/>
  <ax:ocxPr ax:name="_StockProps" ax:value="0"/>
  <ax:ocxPr ax:name="ServerName" ax:value="=db_name"/>
  <ax:ocxPr ax:name="ProcessName" ax:value="-- Get Process info from Worksheet --"/>
  <ax:ocxPr ax:name="Name" ax:value=""/>
  <ax:ocxPr ax:name="Type" ax:value=""/>
  <ax:ocxPr ax:name="Value" ax:value=""/>
  <ax:ocxPr ax:name="Prompt" ax:value=""/>
  <ax:ocxPr ax:name="BackColor" ax:value="5991424"/>
  <ax:ocxPr ax:name="ForeColor" ax:value="16777215"/>
  <ax:ocxPr ax:name="Font">
    <ax:font ax:persistence="persistPropertyBag">
      <ax:ocxPr ax:name="Name" ax:value="Calibri"/>
      <ax:ocxPr ax:name="Size" ax:value="9.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Refresh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-1"/>
  <ax:ocxPr ax:name="ResizeButtonToCaption" ax:value="0"/>
</ax:ocx>
</file>

<file path=xl/activeX/activeX9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3" Type="http://schemas.openxmlformats.org/officeDocument/2006/relationships/image" Target="../media/image8.emf"/><Relationship Id="rId7" Type="http://schemas.openxmlformats.org/officeDocument/2006/relationships/image" Target="../media/image3.emf"/><Relationship Id="rId2" Type="http://schemas.openxmlformats.org/officeDocument/2006/relationships/image" Target="../media/image7.emf"/><Relationship Id="rId1" Type="http://schemas.openxmlformats.org/officeDocument/2006/relationships/image" Target="../media/image6.emf"/><Relationship Id="rId6" Type="http://schemas.openxmlformats.org/officeDocument/2006/relationships/image" Target="../media/image4.emf"/><Relationship Id="rId5" Type="http://schemas.openxmlformats.org/officeDocument/2006/relationships/image" Target="../media/image5.emf"/><Relationship Id="rId4" Type="http://schemas.openxmlformats.org/officeDocument/2006/relationships/image" Target="../media/image9.emf"/><Relationship Id="rId9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19050</xdr:colOff>
          <xdr:row>62</xdr:row>
          <xdr:rowOff>0</xdr:rowOff>
        </xdr:from>
        <xdr:to>
          <xdr:col>17</xdr:col>
          <xdr:colOff>666750</xdr:colOff>
          <xdr:row>62</xdr:row>
          <xdr:rowOff>247650</xdr:rowOff>
        </xdr:to>
        <xdr:sp macro="" textlink="">
          <xdr:nvSpPr>
            <xdr:cNvPr id="1026" name="TI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2057400</xdr:colOff>
          <xdr:row>61</xdr:row>
          <xdr:rowOff>57150</xdr:rowOff>
        </xdr:from>
        <xdr:to>
          <xdr:col>18</xdr:col>
          <xdr:colOff>504825</xdr:colOff>
          <xdr:row>62</xdr:row>
          <xdr:rowOff>247650</xdr:rowOff>
        </xdr:to>
        <xdr:sp macro="" textlink="">
          <xdr:nvSpPr>
            <xdr:cNvPr id="1027" name="TIButton2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695325</xdr:colOff>
          <xdr:row>62</xdr:row>
          <xdr:rowOff>0</xdr:rowOff>
        </xdr:from>
        <xdr:to>
          <xdr:col>23</xdr:col>
          <xdr:colOff>1619250</xdr:colOff>
          <xdr:row>62</xdr:row>
          <xdr:rowOff>247650</xdr:rowOff>
        </xdr:to>
        <xdr:sp macro="" textlink="">
          <xdr:nvSpPr>
            <xdr:cNvPr id="1028" name="TIButton3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17</xdr:col>
      <xdr:colOff>0</xdr:colOff>
      <xdr:row>0</xdr:row>
      <xdr:rowOff>0</xdr:rowOff>
    </xdr:from>
    <xdr:to>
      <xdr:col>17</xdr:col>
      <xdr:colOff>1809750</xdr:colOff>
      <xdr:row>61</xdr:row>
      <xdr:rowOff>19050</xdr:rowOff>
    </xdr:to>
    <xdr:pic>
      <xdr:nvPicPr>
        <xdr:cNvPr id="6" name="Pictur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20</xdr:col>
          <xdr:colOff>866775</xdr:colOff>
          <xdr:row>62</xdr:row>
          <xdr:rowOff>0</xdr:rowOff>
        </xdr:from>
        <xdr:to>
          <xdr:col>23</xdr:col>
          <xdr:colOff>676275</xdr:colOff>
          <xdr:row>62</xdr:row>
          <xdr:rowOff>247650</xdr:rowOff>
        </xdr:to>
        <xdr:sp macro="" textlink="">
          <xdr:nvSpPr>
            <xdr:cNvPr id="1033" name="TIButton5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695325</xdr:colOff>
          <xdr:row>62</xdr:row>
          <xdr:rowOff>0</xdr:rowOff>
        </xdr:from>
        <xdr:to>
          <xdr:col>17</xdr:col>
          <xdr:colOff>2019300</xdr:colOff>
          <xdr:row>62</xdr:row>
          <xdr:rowOff>247650</xdr:rowOff>
        </xdr:to>
        <xdr:sp macro="" textlink="">
          <xdr:nvSpPr>
            <xdr:cNvPr id="1034" name="TIButton6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523875</xdr:colOff>
          <xdr:row>62</xdr:row>
          <xdr:rowOff>0</xdr:rowOff>
        </xdr:from>
        <xdr:to>
          <xdr:col>18</xdr:col>
          <xdr:colOff>1352550</xdr:colOff>
          <xdr:row>62</xdr:row>
          <xdr:rowOff>247650</xdr:rowOff>
        </xdr:to>
        <xdr:sp macro="" textlink="">
          <xdr:nvSpPr>
            <xdr:cNvPr id="1035" name="TIButton7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18</xdr:col>
          <xdr:colOff>1381125</xdr:colOff>
          <xdr:row>62</xdr:row>
          <xdr:rowOff>0</xdr:rowOff>
        </xdr:from>
        <xdr:to>
          <xdr:col>19</xdr:col>
          <xdr:colOff>619125</xdr:colOff>
          <xdr:row>62</xdr:row>
          <xdr:rowOff>247650</xdr:rowOff>
        </xdr:to>
        <xdr:sp macro="" textlink="">
          <xdr:nvSpPr>
            <xdr:cNvPr id="1036" name="TIButton8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647700</xdr:colOff>
          <xdr:row>62</xdr:row>
          <xdr:rowOff>0</xdr:rowOff>
        </xdr:from>
        <xdr:to>
          <xdr:col>19</xdr:col>
          <xdr:colOff>1704975</xdr:colOff>
          <xdr:row>62</xdr:row>
          <xdr:rowOff>247650</xdr:rowOff>
        </xdr:to>
        <xdr:sp macro="" textlink="">
          <xdr:nvSpPr>
            <xdr:cNvPr id="1037" name="TIButton9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19</xdr:col>
          <xdr:colOff>1752600</xdr:colOff>
          <xdr:row>62</xdr:row>
          <xdr:rowOff>0</xdr:rowOff>
        </xdr:from>
        <xdr:to>
          <xdr:col>20</xdr:col>
          <xdr:colOff>838200</xdr:colOff>
          <xdr:row>62</xdr:row>
          <xdr:rowOff>247650</xdr:rowOff>
        </xdr:to>
        <xdr:sp macro="" textlink="">
          <xdr:nvSpPr>
            <xdr:cNvPr id="1038" name="TIButton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13" Type="http://schemas.openxmlformats.org/officeDocument/2006/relationships/control" Target="../activeX/activeX4.xml"/><Relationship Id="rId18" Type="http://schemas.openxmlformats.org/officeDocument/2006/relationships/image" Target="../media/image6.emf"/><Relationship Id="rId3" Type="http://schemas.openxmlformats.org/officeDocument/2006/relationships/hyperlink" Target="mailto:=@TM1RPTROW($C$31,db_name&amp;%22:appropriation%20item%22,%22%22,%22%22,%22code%20and%20description%22,0,$C$34)" TargetMode="External"/><Relationship Id="rId21" Type="http://schemas.openxmlformats.org/officeDocument/2006/relationships/control" Target="../activeX/activeX8.xml"/><Relationship Id="rId7" Type="http://schemas.openxmlformats.org/officeDocument/2006/relationships/control" Target="../activeX/activeX1.xml"/><Relationship Id="rId12" Type="http://schemas.openxmlformats.org/officeDocument/2006/relationships/image" Target="../media/image3.emf"/><Relationship Id="rId17" Type="http://schemas.openxmlformats.org/officeDocument/2006/relationships/control" Target="../activeX/activeX6.xml"/><Relationship Id="rId2" Type="http://schemas.openxmlformats.org/officeDocument/2006/relationships/hyperlink" Target="mailto:=@TM1RPTROW($C$30,db_name&amp;%22:appropriation%20item%22,%22%22,%22%22,%22code%20and%20description%22,0,$C$34)" TargetMode="External"/><Relationship Id="rId16" Type="http://schemas.openxmlformats.org/officeDocument/2006/relationships/image" Target="../media/image5.emf"/><Relationship Id="rId20" Type="http://schemas.openxmlformats.org/officeDocument/2006/relationships/image" Target="../media/image7.emf"/><Relationship Id="rId1" Type="http://schemas.openxmlformats.org/officeDocument/2006/relationships/hyperlink" Target="mailto:=@TM1RPTROW($C$29,db_name&amp;%22:appropriation%20item%22,%22%22,%22%22,%22code%20and%20description%22,0,$C$34)" TargetMode="External"/><Relationship Id="rId6" Type="http://schemas.openxmlformats.org/officeDocument/2006/relationships/vmlDrawing" Target="../drawings/vmlDrawing1.vml"/><Relationship Id="rId11" Type="http://schemas.openxmlformats.org/officeDocument/2006/relationships/control" Target="../activeX/activeX3.xml"/><Relationship Id="rId24" Type="http://schemas.openxmlformats.org/officeDocument/2006/relationships/image" Target="../media/image9.emf"/><Relationship Id="rId5" Type="http://schemas.openxmlformats.org/officeDocument/2006/relationships/drawing" Target="../drawings/drawing1.xml"/><Relationship Id="rId15" Type="http://schemas.openxmlformats.org/officeDocument/2006/relationships/control" Target="../activeX/activeX5.xml"/><Relationship Id="rId23" Type="http://schemas.openxmlformats.org/officeDocument/2006/relationships/control" Target="../activeX/activeX9.xml"/><Relationship Id="rId10" Type="http://schemas.openxmlformats.org/officeDocument/2006/relationships/image" Target="../media/image2.emf"/><Relationship Id="rId19" Type="http://schemas.openxmlformats.org/officeDocument/2006/relationships/control" Target="../activeX/activeX7.xml"/><Relationship Id="rId4" Type="http://schemas.openxmlformats.org/officeDocument/2006/relationships/printerSettings" Target="../printerSettings/printerSettings1.bin"/><Relationship Id="rId9" Type="http://schemas.openxmlformats.org/officeDocument/2006/relationships/control" Target="../activeX/activeX2.xml"/><Relationship Id="rId14" Type="http://schemas.openxmlformats.org/officeDocument/2006/relationships/image" Target="../media/image4.emf"/><Relationship Id="rId22" Type="http://schemas.openxmlformats.org/officeDocument/2006/relationships/image" Target="../media/image8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howOutlineSymbols="0"/>
    <pageSetUpPr fitToPage="1"/>
  </sheetPr>
  <dimension ref="A1:AP92"/>
  <sheetViews>
    <sheetView showGridLines="0" showRowColHeaders="0" tabSelected="1" showOutlineSymbols="0" topLeftCell="A61" workbookViewId="0">
      <pane xSplit="26" ySplit="17" topLeftCell="AA78" activePane="bottomRight" state="frozen"/>
      <selection activeCell="Q61" sqref="Q61"/>
      <selection pane="topRight" activeCell="AA61" sqref="AA61"/>
      <selection pane="bottomLeft" activeCell="Q78" sqref="Q78"/>
      <selection pane="bottomRight"/>
    </sheetView>
  </sheetViews>
  <sheetFormatPr defaultRowHeight="15" outlineLevelRow="1" outlineLevelCol="1" x14ac:dyDescent="0.25"/>
  <cols>
    <col min="1" max="1" width="20.28515625" hidden="1" customWidth="1" outlineLevel="1"/>
    <col min="2" max="2" width="22.7109375" hidden="1" customWidth="1" outlineLevel="1"/>
    <col min="3" max="3" width="40.7109375" hidden="1" customWidth="1" outlineLevel="1"/>
    <col min="4" max="4" width="26.7109375" hidden="1" customWidth="1" outlineLevel="1"/>
    <col min="5" max="11" width="20.7109375" hidden="1" customWidth="1" outlineLevel="1"/>
    <col min="12" max="16" width="20.28515625" hidden="1" customWidth="1" outlineLevel="1"/>
    <col min="17" max="17" width="0.85546875" customWidth="1" collapsed="1"/>
    <col min="18" max="18" width="45.7109375" customWidth="1"/>
    <col min="19" max="19" width="30.7109375" customWidth="1"/>
    <col min="20" max="20" width="28.7109375" customWidth="1"/>
    <col min="21" max="21" width="13.7109375" customWidth="1"/>
    <col min="22" max="22" width="10.7109375" customWidth="1"/>
    <col min="23" max="23" width="8.7109375" customWidth="1"/>
    <col min="24" max="24" width="30.7109375" customWidth="1"/>
    <col min="25" max="25" width="15.7109375" customWidth="1"/>
    <col min="26" max="26" width="11.7109375" customWidth="1"/>
    <col min="27" max="41" width="10.7109375" customWidth="1"/>
    <col min="42" max="42" width="60.7109375" customWidth="1"/>
  </cols>
  <sheetData>
    <row r="1" spans="1:42" hidden="1" outlineLevel="1" x14ac:dyDescent="0.25">
      <c r="A1" t="s">
        <v>10</v>
      </c>
    </row>
    <row r="2" spans="1:42" hidden="1" outlineLevel="1" x14ac:dyDescent="0.25">
      <c r="A2">
        <f>0</f>
        <v>0</v>
      </c>
      <c r="C2" s="13"/>
      <c r="D2" s="14"/>
      <c r="E2" s="14"/>
      <c r="F2" s="14"/>
      <c r="G2" s="14"/>
      <c r="H2" s="19"/>
      <c r="I2" s="19"/>
      <c r="J2" s="35"/>
      <c r="K2" s="35"/>
      <c r="R2" s="13"/>
      <c r="S2" s="14"/>
      <c r="T2" s="14"/>
      <c r="U2" s="14"/>
      <c r="V2" s="19"/>
      <c r="W2" s="19"/>
      <c r="X2" s="14"/>
      <c r="Y2" s="41"/>
      <c r="Z2" s="15"/>
      <c r="AA2" s="44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5"/>
      <c r="AO2" s="15"/>
      <c r="AP2" s="37"/>
    </row>
    <row r="3" spans="1:42" hidden="1" outlineLevel="1" x14ac:dyDescent="0.25">
      <c r="A3">
        <f>1</f>
        <v>1</v>
      </c>
      <c r="C3" s="14"/>
      <c r="D3" s="14"/>
      <c r="E3" s="14"/>
      <c r="F3" s="14"/>
      <c r="G3" s="14"/>
      <c r="H3" s="19"/>
      <c r="I3" s="19"/>
      <c r="J3" s="35"/>
      <c r="K3" s="35"/>
      <c r="R3" s="14"/>
      <c r="S3" s="14"/>
      <c r="T3" s="14"/>
      <c r="U3" s="14"/>
      <c r="V3" s="19"/>
      <c r="W3" s="19"/>
      <c r="X3" s="14"/>
      <c r="Y3" s="41"/>
      <c r="Z3" s="15"/>
      <c r="AA3" s="44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5"/>
      <c r="AO3" s="15"/>
      <c r="AP3" s="37"/>
    </row>
    <row r="4" spans="1:42" hidden="1" outlineLevel="1" x14ac:dyDescent="0.25">
      <c r="A4">
        <f>2</f>
        <v>2</v>
      </c>
      <c r="C4" s="14"/>
      <c r="D4" s="14"/>
      <c r="E4" s="14"/>
      <c r="F4" s="14"/>
      <c r="G4" s="14"/>
      <c r="H4" s="19"/>
      <c r="I4" s="19"/>
      <c r="J4" s="35"/>
      <c r="K4" s="35"/>
      <c r="R4" s="14"/>
      <c r="S4" s="14"/>
      <c r="T4" s="14"/>
      <c r="U4" s="14"/>
      <c r="V4" s="19"/>
      <c r="W4" s="19"/>
      <c r="X4" s="14"/>
      <c r="Y4" s="41"/>
      <c r="Z4" s="15"/>
      <c r="AA4" s="44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5"/>
      <c r="AO4" s="15"/>
      <c r="AP4" s="37"/>
    </row>
    <row r="5" spans="1:42" hidden="1" outlineLevel="1" x14ac:dyDescent="0.25">
      <c r="A5">
        <f>3</f>
        <v>3</v>
      </c>
      <c r="C5" s="14"/>
      <c r="D5" s="14"/>
      <c r="E5" s="14"/>
      <c r="F5" s="14"/>
      <c r="G5" s="14"/>
      <c r="H5" s="19"/>
      <c r="I5" s="19"/>
      <c r="J5" s="35"/>
      <c r="K5" s="35"/>
      <c r="R5" s="14"/>
      <c r="S5" s="14"/>
      <c r="T5" s="14"/>
      <c r="U5" s="14"/>
      <c r="V5" s="19"/>
      <c r="W5" s="19"/>
      <c r="X5" s="14"/>
      <c r="Y5" s="41"/>
      <c r="Z5" s="15"/>
      <c r="AA5" s="44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5"/>
      <c r="AO5" s="15"/>
      <c r="AP5" s="37"/>
    </row>
    <row r="6" spans="1:42" hidden="1" outlineLevel="1" x14ac:dyDescent="0.25">
      <c r="A6" t="s">
        <v>8</v>
      </c>
      <c r="C6" s="14"/>
      <c r="D6" s="14"/>
      <c r="E6" s="14"/>
      <c r="F6" s="14"/>
      <c r="G6" s="14"/>
      <c r="H6" s="19"/>
      <c r="I6" s="19"/>
      <c r="J6" s="35"/>
      <c r="K6" s="35"/>
      <c r="R6" s="14"/>
      <c r="S6" s="14"/>
      <c r="T6" s="14"/>
      <c r="U6" s="14"/>
      <c r="V6" s="19"/>
      <c r="W6" s="19"/>
      <c r="X6" s="14"/>
      <c r="Y6" s="41"/>
      <c r="Z6" s="15"/>
      <c r="AA6" s="44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5"/>
      <c r="AO6" s="15"/>
      <c r="AP6" s="37"/>
    </row>
    <row r="7" spans="1:42" hidden="1" outlineLevel="1" x14ac:dyDescent="0.25">
      <c r="A7" t="s">
        <v>9</v>
      </c>
      <c r="C7" s="17"/>
      <c r="D7" s="17"/>
      <c r="E7" s="17"/>
      <c r="F7" s="17"/>
      <c r="G7" s="17"/>
      <c r="H7" s="20"/>
      <c r="I7" s="20"/>
      <c r="J7" s="36"/>
      <c r="K7" s="36"/>
      <c r="R7" s="17"/>
      <c r="S7" s="17"/>
      <c r="T7" s="17"/>
      <c r="U7" s="17"/>
      <c r="V7" s="20"/>
      <c r="W7" s="20"/>
      <c r="X7" s="17"/>
      <c r="Y7" s="42"/>
      <c r="Z7" s="15"/>
      <c r="AA7" s="44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15"/>
      <c r="AO7" s="15"/>
      <c r="AP7" s="37"/>
    </row>
    <row r="8" spans="1:42" hidden="1" outlineLevel="1" x14ac:dyDescent="0.25">
      <c r="A8" t="s">
        <v>39</v>
      </c>
      <c r="C8" s="14"/>
      <c r="D8" s="14"/>
      <c r="E8" s="14"/>
      <c r="F8" s="14"/>
      <c r="G8" s="14"/>
      <c r="H8" s="19"/>
      <c r="I8" s="19"/>
      <c r="J8" s="35"/>
      <c r="K8" s="35"/>
      <c r="R8" s="14"/>
      <c r="S8" s="14"/>
      <c r="T8" s="14"/>
      <c r="U8" s="14"/>
      <c r="V8" s="19"/>
      <c r="W8" s="19"/>
      <c r="X8" s="14"/>
      <c r="Y8" s="41"/>
      <c r="Z8" s="15"/>
      <c r="AA8" s="44"/>
      <c r="AB8" s="28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15"/>
      <c r="AO8" s="15"/>
      <c r="AP8" s="37"/>
    </row>
    <row r="9" spans="1:42" hidden="1" outlineLevel="1" x14ac:dyDescent="0.25">
      <c r="A9" t="s">
        <v>11</v>
      </c>
    </row>
    <row r="10" spans="1:42" hidden="1" outlineLevel="1" x14ac:dyDescent="0.25"/>
    <row r="11" spans="1:42" hidden="1" outlineLevel="1" x14ac:dyDescent="0.25">
      <c r="B11" s="46" t="s">
        <v>16</v>
      </c>
      <c r="C11" s="46"/>
      <c r="E11" s="46" t="s">
        <v>108</v>
      </c>
      <c r="F11" s="46"/>
    </row>
    <row r="12" spans="1:42" hidden="1" outlineLevel="1" x14ac:dyDescent="0.25">
      <c r="B12" s="2" t="s">
        <v>17</v>
      </c>
      <c r="C12" s="2" t="s">
        <v>147</v>
      </c>
      <c r="E12" s="2" t="s">
        <v>109</v>
      </c>
      <c r="F12" s="2" t="str">
        <f ca="1">psUser</f>
        <v>CAMID("pans:u:kgimena@excelerated.com.au")</v>
      </c>
    </row>
    <row r="13" spans="1:42" hidden="1" outlineLevel="1" x14ac:dyDescent="0.25">
      <c r="B13" s="2" t="s">
        <v>18</v>
      </c>
      <c r="C13" s="2" t="str" cm="1">
        <f t="array" aca="1" ref="C13" ca="1">_xll.TM1USER(db_name)</f>
        <v>CAMID("pans:u:kgimena@excelerated.com.au")</v>
      </c>
      <c r="E13" s="2" t="s">
        <v>110</v>
      </c>
      <c r="F13" s="2" t="str">
        <f ca="1">psHLYear</f>
        <v>HL2025-2026</v>
      </c>
    </row>
    <row r="14" spans="1:42" hidden="1" outlineLevel="1" x14ac:dyDescent="0.25">
      <c r="E14" s="2" t="s">
        <v>111</v>
      </c>
      <c r="F14" s="2" t="str">
        <f ca="1">psScenario</f>
        <v>current</v>
      </c>
    </row>
    <row r="15" spans="1:42" hidden="1" outlineLevel="1" x14ac:dyDescent="0.25">
      <c r="B15" s="46" t="s">
        <v>36</v>
      </c>
      <c r="C15" s="46"/>
      <c r="E15" s="2" t="s">
        <v>112</v>
      </c>
      <c r="F15" s="2" t="str">
        <f ca="1">psProg</f>
        <v>Administered Programmes</v>
      </c>
    </row>
    <row r="16" spans="1:42" hidden="1" outlineLevel="1" x14ac:dyDescent="0.25">
      <c r="B16" s="2" t="s">
        <v>22</v>
      </c>
      <c r="C16" s="2" t="str" cm="1">
        <f t="array" aca="1" ref="C16" ca="1">_xll.VIEW(db_name&amp;":}ElementAttributes_variables","!","!")</f>
        <v>dcceew_geus:}ElementAttributes_variables</v>
      </c>
      <c r="E16" s="2" t="s">
        <v>113</v>
      </c>
      <c r="F16" s="9" t="s">
        <v>44</v>
      </c>
    </row>
    <row r="17" spans="2:6" hidden="1" outlineLevel="1" x14ac:dyDescent="0.25">
      <c r="B17" s="2" t="s">
        <v>0</v>
      </c>
      <c r="C17" s="2" t="str" cm="1">
        <f t="array" aca="1" ref="C17" ca="1">_xll.DBR($C$16,$B17,"value")</f>
        <v>HL2025-2026</v>
      </c>
    </row>
    <row r="18" spans="2:6" hidden="1" outlineLevel="1" x14ac:dyDescent="0.25">
      <c r="B18" s="2" t="s">
        <v>37</v>
      </c>
      <c r="C18" s="2" t="str" cm="1">
        <f t="array" aca="1" ref="C18" ca="1">_xll.DBR($C$16,$B18,"value")</f>
        <v>current</v>
      </c>
      <c r="E18" s="46" t="s">
        <v>130</v>
      </c>
      <c r="F18" s="46"/>
    </row>
    <row r="19" spans="2:6" hidden="1" outlineLevel="1" x14ac:dyDescent="0.25">
      <c r="E19" s="2" t="s">
        <v>22</v>
      </c>
      <c r="F19" s="2" t="str">
        <f t="array" aca="1" ref="F19" ca="1">_xll.VIEW(db_name&amp;":}ElementAttributes_period","!","!")</f>
        <v>dcceew_geus:}ElementAttributes_period</v>
      </c>
    </row>
    <row r="20" spans="2:6" hidden="1" outlineLevel="1" x14ac:dyDescent="0.25">
      <c r="B20" s="46" t="s">
        <v>21</v>
      </c>
      <c r="C20" s="46"/>
    </row>
    <row r="21" spans="2:6" hidden="1" outlineLevel="1" x14ac:dyDescent="0.25">
      <c r="B21" s="2" t="s">
        <v>22</v>
      </c>
      <c r="C21" s="2" t="str" cm="1">
        <f t="array" aca="1" ref="C21" ca="1">_xll.VIEW(db_name&amp;":sys_ME variable","!","!")</f>
        <v>dcceew_geus:sys_ME variable</v>
      </c>
      <c r="E21" s="46" t="s">
        <v>131</v>
      </c>
      <c r="F21" s="46"/>
    </row>
    <row r="22" spans="2:6" hidden="1" outlineLevel="1" x14ac:dyDescent="0.25">
      <c r="B22" s="2" t="s">
        <v>23</v>
      </c>
      <c r="C22" s="2" t="str" cm="1">
        <f t="array" aca="1" ref="C22" ca="1">_xll.DBR($C$21,$B22,"value")</f>
        <v>HL2025-2026</v>
      </c>
      <c r="E22" t="s">
        <v>132</v>
      </c>
      <c r="F22" s="2" t="str" cm="1">
        <f t="array" aca="1" ref="F22" ca="1">_xll.VIEW(db_name&amp;":}ElementAttributes_account","!","!")</f>
        <v>dcceew_geus:}ElementAttributes_account</v>
      </c>
    </row>
    <row r="23" spans="2:6" hidden="1" outlineLevel="1" x14ac:dyDescent="0.25">
      <c r="B23" s="2" t="s">
        <v>25</v>
      </c>
      <c r="C23" s="2" t="str" cm="1">
        <f t="array" aca="1" ref="C23" ca="1">_xll.DBR($C$21,$B23,"value")</f>
        <v>2024-2025</v>
      </c>
      <c r="E23" t="s">
        <v>133</v>
      </c>
      <c r="F23" s="2" t="str" cm="1">
        <f t="array" aca="1" ref="F23" ca="1">_xll.VIEW(db_name&amp;":}ElementAttributes_movement account","!","!")</f>
        <v>dcceew_geus:}ElementAttributes_movement account</v>
      </c>
    </row>
    <row r="24" spans="2:6" hidden="1" outlineLevel="1" x14ac:dyDescent="0.25">
      <c r="B24" s="2" t="s">
        <v>24</v>
      </c>
      <c r="C24" s="2" t="str" cm="1">
        <f t="array" aca="1" ref="C24" ca="1">_xll.DBR($C$21,$B24,"value")</f>
        <v>2024-2025</v>
      </c>
    </row>
    <row r="25" spans="2:6" hidden="1" outlineLevel="1" x14ac:dyDescent="0.25">
      <c r="B25" s="2" t="s">
        <v>139</v>
      </c>
      <c r="C25" s="2" t="str" cm="1">
        <f t="array" aca="1" ref="C25" ca="1">_xll.DBR($C$21,$B25,"value")</f>
        <v/>
      </c>
    </row>
    <row r="26" spans="2:6" hidden="1" outlineLevel="1" x14ac:dyDescent="0.25">
      <c r="B26" s="2" t="s">
        <v>140</v>
      </c>
      <c r="C26" s="2" cm="1">
        <f t="array" aca="1" ref="C26" ca="1">_xll.DIMIX(db_name&amp;":Period",$C$25)</f>
        <v>0</v>
      </c>
    </row>
    <row r="27" spans="2:6" hidden="1" outlineLevel="1" x14ac:dyDescent="0.25"/>
    <row r="28" spans="2:6" hidden="1" outlineLevel="1" x14ac:dyDescent="0.25">
      <c r="B28" s="46" t="s">
        <v>19</v>
      </c>
      <c r="C28" s="46"/>
    </row>
    <row r="29" spans="2:6" ht="16.5" hidden="1" customHeight="1" outlineLevel="1" x14ac:dyDescent="0.25">
      <c r="B29" s="2" t="s">
        <v>83</v>
      </c>
      <c r="C29" s="2" t="str" cm="1">
        <f t="array" aca="1" ref="C29" ca="1">_xll.TM1RPTVIEW(db_name&amp;":ME reporting:2", 1, _xll.TM1RPTTITLE(db_name&amp;":headline year",$S$69), _xll.TM1RPTTITLE(db_name&amp;":scenario",$S$70),_xll.TM1RPTTITLE(db_name&amp;":ME reporting measure",$C$42),TM1RPTFMTRNG,TM1RPTFMTIDCOL)</f>
        <v>dcceew_geus:ME reporting:2</v>
      </c>
    </row>
    <row r="30" spans="2:6" ht="16.5" hidden="1" customHeight="1" outlineLevel="1" x14ac:dyDescent="0.25">
      <c r="B30" s="2" t="s">
        <v>84</v>
      </c>
      <c r="C30" t="str" cm="1">
        <f t="array" aca="1" ref="C30" ca="1">_xll.TM1RPTVIEW(db_name&amp;":ME reporting:ARPT1", 1, _xll.TM1RPTTITLE(db_name&amp;":headline year",$S$69), _xll.TM1RPTTITLE(db_name&amp;":scenario",$S$70),_xll.TM1RPTTITLE(db_name&amp;":ME reporting measure",$C$42),TM1RPTFMTRNG,TM1RPTFMTIDCOL)</f>
        <v>dcceew_geus:ME reporting:ARPT1</v>
      </c>
    </row>
    <row r="31" spans="2:6" ht="16.5" hidden="1" customHeight="1" outlineLevel="1" x14ac:dyDescent="0.25">
      <c r="B31" s="2" t="s">
        <v>85</v>
      </c>
      <c r="C31" t="str" cm="1">
        <f t="array" aca="1" ref="C31" ca="1">_xll.TM1RPTVIEW(db_name&amp;":ME reporting:ARPT2", 1, _xll.TM1RPTTITLE(db_name&amp;":headline year",$S$69), _xll.TM1RPTTITLE(db_name&amp;":scenario",$S$70),_xll.TM1RPTTITLE(db_name&amp;":ME reporting measure",$C$42),TM1RPTFMTRNG,TM1RPTFMTIDCOL)</f>
        <v>dcceew_geus:ME reporting:ARPT2</v>
      </c>
    </row>
    <row r="32" spans="2:6" hidden="1" outlineLevel="1" x14ac:dyDescent="0.25">
      <c r="B32" s="2" t="s">
        <v>20</v>
      </c>
      <c r="C32" s="2" t="str" cm="1">
        <f t="array" aca="1" ref="C32" ca="1">_xll.VIEW(db_name&amp;":ME reporting",$S$69,$S$70,"!","!","!","!","!","!","!","!","!","!")</f>
        <v>dcceew_geus:ME reporting</v>
      </c>
      <c r="D32" t="s">
        <v>145</v>
      </c>
      <c r="E32" t="s">
        <v>146</v>
      </c>
    </row>
    <row r="33" spans="2:40" hidden="1" outlineLevel="1" x14ac:dyDescent="0.25">
      <c r="B33" s="2" t="s">
        <v>117</v>
      </c>
      <c r="C33" s="2" t="str">
        <f ca="1">IF($U$71 = "Collapse",$D$33,$E$33)</f>
        <v>{TM1FILTERBYLEVEL( {TM1DRILLDOWNMEMBER( {[programme].[Administered Programmes]}, ALL, RECURSIVE )}, 0)}</v>
      </c>
      <c r="D33" t="str">
        <f ca="1">"{[programme].[" &amp; psProg &amp; "]}"</f>
        <v>{[programme].[Administered Programmes]}</v>
      </c>
      <c r="E33" t="str">
        <f ca="1">"{TM1FILTERBYLEVEL( {TM1DRILLDOWNMEMBER( {[programme].[" &amp; psProg &amp; "]}, ALL, RECURSIVE )}, 0)}"</f>
        <v>{TM1FILTERBYLEVEL( {TM1DRILLDOWNMEMBER( {[programme].[Administered Programmes]}, ALL, RECURSIVE )}, 0)}</v>
      </c>
    </row>
    <row r="34" spans="2:40" hidden="1" outlineLevel="1" x14ac:dyDescent="0.25">
      <c r="B34" s="2" t="s">
        <v>26</v>
      </c>
      <c r="C34" s="2" t="s">
        <v>34</v>
      </c>
    </row>
    <row r="35" spans="2:40" hidden="1" outlineLevel="1" x14ac:dyDescent="0.25">
      <c r="B35" s="2" t="s">
        <v>81</v>
      </c>
      <c r="C35" s="2" t="s">
        <v>86</v>
      </c>
    </row>
    <row r="36" spans="2:40" hidden="1" outlineLevel="1" x14ac:dyDescent="0.25">
      <c r="B36" s="2" t="s">
        <v>82</v>
      </c>
      <c r="C36" s="2" t="s">
        <v>87</v>
      </c>
    </row>
    <row r="37" spans="2:40" hidden="1" outlineLevel="1" x14ac:dyDescent="0.25">
      <c r="B37" s="2" t="s">
        <v>82</v>
      </c>
      <c r="C37" s="2" t="s">
        <v>88</v>
      </c>
    </row>
    <row r="38" spans="2:40" hidden="1" outlineLevel="1" x14ac:dyDescent="0.25">
      <c r="B38" s="2" t="s">
        <v>27</v>
      </c>
      <c r="C38" s="2" t="s">
        <v>116</v>
      </c>
      <c r="D38" s="2" t="s">
        <v>89</v>
      </c>
    </row>
    <row r="39" spans="2:40" hidden="1" outlineLevel="1" x14ac:dyDescent="0.25">
      <c r="B39" s="2" t="s">
        <v>28</v>
      </c>
      <c r="C39" s="2" t="s">
        <v>33</v>
      </c>
    </row>
    <row r="40" spans="2:40" hidden="1" outlineLevel="1" x14ac:dyDescent="0.25">
      <c r="B40" s="2" t="s">
        <v>29</v>
      </c>
      <c r="C40" s="2" t="s">
        <v>32</v>
      </c>
    </row>
    <row r="41" spans="2:40" hidden="1" outlineLevel="1" x14ac:dyDescent="0.25">
      <c r="B41" s="2" t="s">
        <v>30</v>
      </c>
      <c r="C41" s="2" t="s">
        <v>31</v>
      </c>
    </row>
    <row r="42" spans="2:40" hidden="1" outlineLevel="1" x14ac:dyDescent="0.25">
      <c r="B42" s="11" t="s">
        <v>1</v>
      </c>
      <c r="C42" s="2" t="str" cm="1">
        <f t="array" aca="1" ref="C42" ca="1">_xll.SUBNM(db_name&amp;":ME reporting measure","",$D$42)</f>
        <v>Value</v>
      </c>
      <c r="D42" s="2" t="str">
        <f ca="1">IF($U$71 = "Collapse","sys_value","Value")</f>
        <v>Value</v>
      </c>
      <c r="R42" s="1"/>
    </row>
    <row r="43" spans="2:40" hidden="1" outlineLevel="1" x14ac:dyDescent="0.25">
      <c r="R43" s="1"/>
    </row>
    <row r="44" spans="2:40" hidden="1" outlineLevel="1" x14ac:dyDescent="0.25">
      <c r="B44" s="46" t="s">
        <v>118</v>
      </c>
      <c r="C44" s="46"/>
      <c r="R44" s="1"/>
      <c r="Z44" s="11" t="s">
        <v>62</v>
      </c>
      <c r="AA44" s="49" t="s">
        <v>45</v>
      </c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</row>
    <row r="45" spans="2:40" hidden="1" outlineLevel="1" x14ac:dyDescent="0.25">
      <c r="B45" s="2" t="s">
        <v>22</v>
      </c>
      <c r="C45" s="2" t="str" cm="1">
        <f t="array" aca="1" ref="C45" ca="1">_xll.VIEW(db_name&amp;":programme details",$C$17,$C$18,"!","!")</f>
        <v>dcceew_geus:programme details</v>
      </c>
      <c r="R45" s="1"/>
      <c r="W45" s="11" t="s">
        <v>40</v>
      </c>
      <c r="X45" s="11"/>
      <c r="Y45" s="11" t="s">
        <v>119</v>
      </c>
      <c r="Z45" s="8" t="s">
        <v>43</v>
      </c>
      <c r="AA45" s="9" t="s">
        <v>44</v>
      </c>
      <c r="AB45" s="9" t="s">
        <v>44</v>
      </c>
      <c r="AC45" s="9" t="s">
        <v>44</v>
      </c>
      <c r="AD45" s="9" t="s">
        <v>44</v>
      </c>
      <c r="AE45" s="9" t="s">
        <v>44</v>
      </c>
      <c r="AF45" s="9" t="s">
        <v>44</v>
      </c>
      <c r="AG45" s="9" t="s">
        <v>44</v>
      </c>
      <c r="AH45" s="9" t="s">
        <v>44</v>
      </c>
      <c r="AI45" s="9" t="s">
        <v>44</v>
      </c>
      <c r="AJ45" s="9" t="s">
        <v>44</v>
      </c>
      <c r="AK45" s="9" t="s">
        <v>44</v>
      </c>
      <c r="AL45" s="9" t="s">
        <v>44</v>
      </c>
      <c r="AM45" s="9" t="s">
        <v>44</v>
      </c>
      <c r="AN45" s="9" t="s">
        <v>44</v>
      </c>
    </row>
    <row r="46" spans="2:40" hidden="1" outlineLevel="1" x14ac:dyDescent="0.25">
      <c r="R46" s="1"/>
      <c r="W46" s="11" t="s">
        <v>42</v>
      </c>
      <c r="X46" s="1"/>
      <c r="Y46" s="30" t="s">
        <v>120</v>
      </c>
      <c r="Z46" s="10" t="s">
        <v>2</v>
      </c>
      <c r="AA46" s="2" t="s">
        <v>58</v>
      </c>
      <c r="AB46" s="2" t="str">
        <f t="shared" ref="AB46:AM46" ca="1" si="0">VLOOKUP($U$69,$W$48:$AM$49,AB$47,FALSE)</f>
        <v>Jul</v>
      </c>
      <c r="AC46" s="2" t="str">
        <f t="shared" ca="1" si="0"/>
        <v>Aug</v>
      </c>
      <c r="AD46" s="2" t="str">
        <f t="shared" ca="1" si="0"/>
        <v>Sep</v>
      </c>
      <c r="AE46" s="2" t="str">
        <f t="shared" ca="1" si="0"/>
        <v>Oct</v>
      </c>
      <c r="AF46" s="2" t="str">
        <f t="shared" ca="1" si="0"/>
        <v>Nov</v>
      </c>
      <c r="AG46" s="2" t="str">
        <f t="shared" ca="1" si="0"/>
        <v>Dec</v>
      </c>
      <c r="AH46" s="2" t="str">
        <f t="shared" ca="1" si="0"/>
        <v>Jan</v>
      </c>
      <c r="AI46" s="2" t="str">
        <f t="shared" ca="1" si="0"/>
        <v>Feb</v>
      </c>
      <c r="AJ46" s="2" t="str">
        <f t="shared" ca="1" si="0"/>
        <v>Mar</v>
      </c>
      <c r="AK46" s="2" t="str">
        <f t="shared" ca="1" si="0"/>
        <v>Apr</v>
      </c>
      <c r="AL46" s="2" t="str">
        <f t="shared" ca="1" si="0"/>
        <v>May</v>
      </c>
      <c r="AM46" s="2" t="str">
        <f t="shared" ca="1" si="0"/>
        <v>Jun</v>
      </c>
      <c r="AN46" s="2" t="s">
        <v>2</v>
      </c>
    </row>
    <row r="47" spans="2:40" hidden="1" outlineLevel="1" x14ac:dyDescent="0.25">
      <c r="B47" s="46" t="s">
        <v>94</v>
      </c>
      <c r="C47" s="46"/>
      <c r="R47" s="1"/>
      <c r="W47" s="11"/>
      <c r="X47" s="11"/>
      <c r="Y47" s="11"/>
      <c r="Z47" s="2"/>
      <c r="AA47" s="2">
        <v>5</v>
      </c>
      <c r="AB47" s="2">
        <v>6</v>
      </c>
      <c r="AC47" s="2">
        <v>7</v>
      </c>
      <c r="AD47" s="2">
        <v>8</v>
      </c>
      <c r="AE47" s="2">
        <v>9</v>
      </c>
      <c r="AF47" s="2">
        <v>10</v>
      </c>
      <c r="AG47" s="2">
        <v>11</v>
      </c>
      <c r="AH47" s="2">
        <v>12</v>
      </c>
      <c r="AI47" s="2">
        <v>13</v>
      </c>
      <c r="AJ47" s="2">
        <v>14</v>
      </c>
      <c r="AK47" s="2">
        <v>15</v>
      </c>
      <c r="AL47" s="2">
        <v>16</v>
      </c>
      <c r="AM47" s="2">
        <v>17</v>
      </c>
      <c r="AN47" s="2"/>
    </row>
    <row r="48" spans="2:40" hidden="1" outlineLevel="1" x14ac:dyDescent="0.25">
      <c r="B48" s="24" t="s">
        <v>22</v>
      </c>
      <c r="C48" s="24" t="str" cm="1">
        <f t="array" aca="1" ref="C48" ca="1">_xll.VIEW(db_name&amp;":sys_application","!","!")</f>
        <v>dcceew_geus:sys_application</v>
      </c>
      <c r="R48" s="1"/>
      <c r="W48" s="11" t="s">
        <v>60</v>
      </c>
      <c r="X48" s="11"/>
      <c r="Y48" s="11"/>
      <c r="Z48" s="2"/>
      <c r="AA48" s="2"/>
      <c r="AB48" s="2" t="s">
        <v>46</v>
      </c>
      <c r="AC48" s="2" t="s">
        <v>47</v>
      </c>
      <c r="AD48" s="2" t="s">
        <v>48</v>
      </c>
      <c r="AE48" s="2" t="s">
        <v>49</v>
      </c>
      <c r="AF48" s="2" t="s">
        <v>50</v>
      </c>
      <c r="AG48" s="2" t="s">
        <v>51</v>
      </c>
      <c r="AH48" s="2" t="s">
        <v>52</v>
      </c>
      <c r="AI48" s="2" t="s">
        <v>53</v>
      </c>
      <c r="AJ48" s="2" t="s">
        <v>54</v>
      </c>
      <c r="AK48" s="2" t="s">
        <v>55</v>
      </c>
      <c r="AL48" s="2" t="s">
        <v>56</v>
      </c>
      <c r="AM48" s="2" t="s">
        <v>57</v>
      </c>
      <c r="AN48" s="2"/>
    </row>
    <row r="49" spans="2:41" hidden="1" outlineLevel="1" x14ac:dyDescent="0.25">
      <c r="B49" s="2"/>
      <c r="C49" s="25" t="s">
        <v>95</v>
      </c>
      <c r="D49" s="25" t="s">
        <v>96</v>
      </c>
      <c r="E49" s="25" t="s">
        <v>97</v>
      </c>
      <c r="F49" s="25" t="s">
        <v>98</v>
      </c>
      <c r="G49" s="25" t="s">
        <v>99</v>
      </c>
      <c r="H49" s="25" t="s">
        <v>100</v>
      </c>
      <c r="R49" s="1"/>
      <c r="W49" s="11" t="s">
        <v>61</v>
      </c>
      <c r="X49" s="11"/>
      <c r="Y49" s="11"/>
      <c r="Z49" s="2"/>
      <c r="AA49" s="2"/>
      <c r="AB49" s="2" t="str">
        <f>AB48&amp; " YTD"</f>
        <v>Jul YTD</v>
      </c>
      <c r="AC49" s="2" t="str">
        <f>AC48&amp; " YTD"</f>
        <v>Aug YTD</v>
      </c>
      <c r="AD49" s="2" t="str">
        <f t="shared" ref="AD49:AM49" si="1">AD48&amp; " YTD"</f>
        <v>Sep YTD</v>
      </c>
      <c r="AE49" s="2" t="str">
        <f t="shared" si="1"/>
        <v>Oct YTD</v>
      </c>
      <c r="AF49" s="2" t="str">
        <f t="shared" si="1"/>
        <v>Nov YTD</v>
      </c>
      <c r="AG49" s="2" t="str">
        <f t="shared" si="1"/>
        <v>Dec YTD</v>
      </c>
      <c r="AH49" s="2" t="str">
        <f t="shared" si="1"/>
        <v>Jan YTD</v>
      </c>
      <c r="AI49" s="2" t="str">
        <f t="shared" si="1"/>
        <v>Feb YTD</v>
      </c>
      <c r="AJ49" s="2" t="str">
        <f t="shared" si="1"/>
        <v>Mar YTD</v>
      </c>
      <c r="AK49" s="2" t="str">
        <f t="shared" si="1"/>
        <v>Apr YTD</v>
      </c>
      <c r="AL49" s="2" t="str">
        <f t="shared" si="1"/>
        <v>May YTD</v>
      </c>
      <c r="AM49" s="2" t="str">
        <f t="shared" si="1"/>
        <v>Jun YTD</v>
      </c>
      <c r="AN49" s="2"/>
    </row>
    <row r="50" spans="2:41" hidden="1" outlineLevel="1" x14ac:dyDescent="0.25">
      <c r="B50" s="2" t="s">
        <v>101</v>
      </c>
      <c r="C50" s="2" t="str" cm="1">
        <f t="array" aca="1" ref="C50" ca="1">_xll.DBR($C$48,$B50,C$49)</f>
        <v>TM1MEHomeCAP</v>
      </c>
      <c r="D50" s="2" t="str" cm="1">
        <f t="array" aca="1" ref="D50" ca="1">_xll.DBR($C$48,$B50,D$49)</f>
        <v>Home</v>
      </c>
      <c r="E50" s="2" t="str" cm="1">
        <f t="array" aca="1" ref="E50" ca="1">_xll.DBR($C$48,$B50,E$49)</f>
        <v>TM1MEHomeWB</v>
      </c>
      <c r="F50" s="2" t="str" cm="1">
        <f t="array" aca="1" ref="F50" ca="1">_xll.DBR($C$48,$B50,F$49)</f>
        <v>PRIMUS\GEUS WEB\Monthly Estimates\Monthly Estimates - Homepage.xlsx</v>
      </c>
      <c r="G50" s="2" t="str" cm="1">
        <f t="array" aca="1" ref="G50" ca="1">_xll.DBR($C$48,$B50,G$49)</f>
        <v>TM1MEHomeWS</v>
      </c>
      <c r="H50" s="2" t="str" cm="1">
        <f t="array" aca="1" ref="H50" ca="1">_xll.DBR($C$48,$B50,H$49)</f>
        <v>Homepage</v>
      </c>
      <c r="R50" s="1"/>
      <c r="W50" s="11" t="s">
        <v>138</v>
      </c>
      <c r="X50" s="11"/>
      <c r="Y50" s="11"/>
      <c r="Z50" s="2"/>
      <c r="AA50" s="2"/>
      <c r="AB50" s="43" t="str" cm="1">
        <f t="array" aca="1" ref="AB50" ca="1">_xll.DBR($F$19,AB$48,$W50)</f>
        <v/>
      </c>
      <c r="AC50" s="43" t="str" cm="1">
        <f t="array" aca="1" ref="AC50" ca="1">_xll.DBR($F$19,AC$48,$W50)</f>
        <v/>
      </c>
      <c r="AD50" s="43" t="str" cm="1">
        <f t="array" aca="1" ref="AD50" ca="1">_xll.DBR($F$19,AD$48,$W50)</f>
        <v/>
      </c>
      <c r="AE50" s="43" t="str" cm="1">
        <f t="array" aca="1" ref="AE50" ca="1">_xll.DBR($F$19,AE$48,$W50)</f>
        <v/>
      </c>
      <c r="AF50" s="43" t="str" cm="1">
        <f t="array" aca="1" ref="AF50" ca="1">_xll.DBR($F$19,AF$48,$W50)</f>
        <v/>
      </c>
      <c r="AG50" s="43" t="str" cm="1">
        <f t="array" aca="1" ref="AG50" ca="1">_xll.DBR($F$19,AG$48,$W50)</f>
        <v/>
      </c>
      <c r="AH50" s="43" t="str" cm="1">
        <f t="array" aca="1" ref="AH50" ca="1">_xll.DBR($F$19,AH$48,$W50)</f>
        <v/>
      </c>
      <c r="AI50" s="43" t="str" cm="1">
        <f t="array" aca="1" ref="AI50" ca="1">_xll.DBR($F$19,AI$48,$W50)</f>
        <v/>
      </c>
      <c r="AJ50" s="43" t="str" cm="1">
        <f t="array" aca="1" ref="AJ50" ca="1">_xll.DBR($F$19,AJ$48,$W50)</f>
        <v/>
      </c>
      <c r="AK50" s="43" t="str" cm="1">
        <f t="array" aca="1" ref="AK50" ca="1">_xll.DBR($F$19,AK$48,$W50)</f>
        <v/>
      </c>
      <c r="AL50" s="43" t="str" cm="1">
        <f t="array" aca="1" ref="AL50" ca="1">_xll.DBR($F$19,AL$48,$W50)</f>
        <v/>
      </c>
      <c r="AM50" s="43" t="str" cm="1">
        <f t="array" aca="1" ref="AM50" ca="1">_xll.DBR($F$19,AM$48,$W50)</f>
        <v/>
      </c>
    </row>
    <row r="51" spans="2:41" hidden="1" outlineLevel="1" x14ac:dyDescent="0.25">
      <c r="B51" s="2" t="s">
        <v>102</v>
      </c>
      <c r="C51" s="2" t="str" cm="1">
        <f t="array" aca="1" ref="C51" ca="1">_xll.DBR($C$48,$B51,C$49)</f>
        <v>TM1MEDataEntryCAP</v>
      </c>
      <c r="D51" s="2" t="str" cm="1">
        <f t="array" aca="1" ref="D51" ca="1">_xll.DBR($C$48,$B51,D$49)</f>
        <v/>
      </c>
      <c r="E51" s="2" t="str" cm="1">
        <f t="array" aca="1" ref="E51" ca="1">_xll.DBR($C$48,$B51,E$49)</f>
        <v>TM1MEDataEntryWB</v>
      </c>
      <c r="F51" s="2" t="str" cm="1">
        <f t="array" aca="1" ref="F51" ca="1">_xll.DBR($C$48,$B51,F$49)</f>
        <v>PRIMUS\GEUS WEB\Monthly Estimates\</v>
      </c>
      <c r="G51" s="2" t="str" cm="1">
        <f t="array" aca="1" ref="G51" ca="1">_xll.DBR($C$48,$B51,G$49)</f>
        <v>TM1MEDataEntryWS</v>
      </c>
      <c r="H51" s="2" t="str" cm="1">
        <f t="array" aca="1" ref="H51" ca="1">_xll.DBR($C$48,$B51,H$49)</f>
        <v/>
      </c>
      <c r="R51" s="1"/>
      <c r="W51" s="11" t="s">
        <v>141</v>
      </c>
      <c r="X51" s="11"/>
      <c r="Y51" s="11"/>
      <c r="Z51" s="2"/>
      <c r="AA51" s="2"/>
      <c r="AB51" s="2" cm="1">
        <f t="array" aca="1" ref="AB51" ca="1">_xll.DIMIX(db_name&amp;":period",AB$48)</f>
        <v>45</v>
      </c>
      <c r="AC51" s="2" cm="1">
        <f t="array" aca="1" ref="AC51" ca="1">_xll.DIMIX(db_name&amp;":period",AC$48)</f>
        <v>46</v>
      </c>
      <c r="AD51" s="2" cm="1">
        <f t="array" aca="1" ref="AD51" ca="1">_xll.DIMIX(db_name&amp;":period",AD$48)</f>
        <v>47</v>
      </c>
      <c r="AE51" s="2" cm="1">
        <f t="array" aca="1" ref="AE51" ca="1">_xll.DIMIX(db_name&amp;":period",AE$48)</f>
        <v>48</v>
      </c>
      <c r="AF51" s="2" cm="1">
        <f t="array" aca="1" ref="AF51" ca="1">_xll.DIMIX(db_name&amp;":period",AF$48)</f>
        <v>49</v>
      </c>
      <c r="AG51" s="2" cm="1">
        <f t="array" aca="1" ref="AG51" ca="1">_xll.DIMIX(db_name&amp;":period",AG$48)</f>
        <v>50</v>
      </c>
      <c r="AH51" s="2" cm="1">
        <f t="array" aca="1" ref="AH51" ca="1">_xll.DIMIX(db_name&amp;":period",AH$48)</f>
        <v>51</v>
      </c>
      <c r="AI51" s="2" cm="1">
        <f t="array" aca="1" ref="AI51" ca="1">_xll.DIMIX(db_name&amp;":period",AI$48)</f>
        <v>52</v>
      </c>
      <c r="AJ51" s="2" cm="1">
        <f t="array" aca="1" ref="AJ51" ca="1">_xll.DIMIX(db_name&amp;":period",AJ$48)</f>
        <v>53</v>
      </c>
      <c r="AK51" s="2" cm="1">
        <f t="array" aca="1" ref="AK51" ca="1">_xll.DIMIX(db_name&amp;":period",AK$48)</f>
        <v>54</v>
      </c>
      <c r="AL51" s="2" cm="1">
        <f t="array" aca="1" ref="AL51" ca="1">_xll.DIMIX(db_name&amp;":period",AL$48)</f>
        <v>55</v>
      </c>
      <c r="AM51" s="2" cm="1">
        <f t="array" aca="1" ref="AM51" ca="1">_xll.DIMIX(db_name&amp;":period",AM$48)</f>
        <v>56</v>
      </c>
      <c r="AN51" s="2"/>
    </row>
    <row r="52" spans="2:41" hidden="1" outlineLevel="1" x14ac:dyDescent="0.25">
      <c r="B52" s="2" t="s">
        <v>103</v>
      </c>
      <c r="C52" s="2" t="str" cm="1">
        <f t="array" aca="1" ref="C52" ca="1">_xll.DBR($C$48,$B52,C$49)</f>
        <v>TM1MEOSDataEntryCAP</v>
      </c>
      <c r="D52" s="2" t="str" cm="1">
        <f t="array" aca="1" ref="D52" ca="1">_xll.DBR($C$48,$B52,D$49)</f>
        <v>Operating Statement</v>
      </c>
      <c r="E52" s="2" t="str" cm="1">
        <f t="array" aca="1" ref="E52" ca="1">_xll.DBR($C$48,$B52,E$49)</f>
        <v>TM1MEOSDataEntryWB</v>
      </c>
      <c r="F52" s="2" t="str" cm="1">
        <f t="array" aca="1" ref="F52" ca="1">_xll.DBR($C$48,$B52,F$49)</f>
        <v>PRIMUS\GEUS WEB\Monthly Estimates\Monthly Estimates - Operating Statement Data Entry.xlsx</v>
      </c>
      <c r="G52" s="2" t="str" cm="1">
        <f t="array" aca="1" ref="G52" ca="1">_xll.DBR($C$48,$B52,G$49)</f>
        <v>TM1MEOSDataEntryWS</v>
      </c>
      <c r="H52" s="2" t="str" cm="1">
        <f t="array" aca="1" ref="H52" ca="1">_xll.DBR($C$48,$B52,H$49)</f>
        <v>operating</v>
      </c>
      <c r="R52" s="1"/>
      <c r="W52" s="11" t="s">
        <v>142</v>
      </c>
      <c r="X52" s="11"/>
      <c r="Y52" s="11"/>
      <c r="Z52" s="2"/>
      <c r="AA52" s="2"/>
      <c r="AB52" s="2" t="str">
        <f ca="1">IF(AB$51&lt;=$C$26,"Y","")</f>
        <v/>
      </c>
      <c r="AC52" s="2" t="str">
        <f t="shared" ref="AC52:AM52" ca="1" si="2">IF(AC$51&lt;=$C$26,"Y","")</f>
        <v/>
      </c>
      <c r="AD52" s="2" t="str">
        <f t="shared" ca="1" si="2"/>
        <v/>
      </c>
      <c r="AE52" s="2" t="str">
        <f t="shared" ca="1" si="2"/>
        <v/>
      </c>
      <c r="AF52" s="2" t="str">
        <f t="shared" ca="1" si="2"/>
        <v/>
      </c>
      <c r="AG52" s="2" t="str">
        <f t="shared" ca="1" si="2"/>
        <v/>
      </c>
      <c r="AH52" s="2" t="str">
        <f t="shared" ca="1" si="2"/>
        <v/>
      </c>
      <c r="AI52" s="2" t="str">
        <f t="shared" ca="1" si="2"/>
        <v/>
      </c>
      <c r="AJ52" s="2" t="str">
        <f t="shared" ca="1" si="2"/>
        <v/>
      </c>
      <c r="AK52" s="2" t="str">
        <f t="shared" ca="1" si="2"/>
        <v/>
      </c>
      <c r="AL52" s="2" t="str">
        <f t="shared" ca="1" si="2"/>
        <v/>
      </c>
      <c r="AM52" s="2" t="str">
        <f t="shared" ca="1" si="2"/>
        <v/>
      </c>
      <c r="AN52" s="2"/>
    </row>
    <row r="53" spans="2:41" hidden="1" outlineLevel="1" x14ac:dyDescent="0.25">
      <c r="B53" s="2" t="s">
        <v>104</v>
      </c>
      <c r="C53" s="2" t="str" cm="1">
        <f t="array" aca="1" ref="C53" ca="1">_xll.DBR($C$48,$B53,C$49)</f>
        <v>TM1MEBSDataEntryCAP</v>
      </c>
      <c r="D53" s="2" t="str" cm="1">
        <f t="array" aca="1" ref="D53" ca="1">_xll.DBR($C$48,$B53,D$49)</f>
        <v>Balance Sheet</v>
      </c>
      <c r="E53" s="2" t="str" cm="1">
        <f t="array" aca="1" ref="E53" ca="1">_xll.DBR($C$48,$B53,E$49)</f>
        <v>TM1MEBSDataEntryWB</v>
      </c>
      <c r="F53" s="2" t="str" cm="1">
        <f t="array" aca="1" ref="F53" ca="1">_xll.DBR($C$48,$B53,F$49)</f>
        <v>PRIMUS\GEUS WEB\Monthly Estimates\Monthly Estimates - Balance Sheet Data Entry.xlsx</v>
      </c>
      <c r="G53" s="2" t="str" cm="1">
        <f t="array" aca="1" ref="G53" ca="1">_xll.DBR($C$48,$B53,G$49)</f>
        <v>TM1MEBSDataEntryWS</v>
      </c>
      <c r="H53" s="2" t="str" cm="1">
        <f t="array" aca="1" ref="H53" ca="1">_xll.DBR($C$48,$B53,H$49)</f>
        <v>balance sheet</v>
      </c>
      <c r="R53" s="1"/>
    </row>
    <row r="54" spans="2:41" hidden="1" outlineLevel="1" x14ac:dyDescent="0.25">
      <c r="B54" s="2" t="s">
        <v>105</v>
      </c>
      <c r="C54" s="2" t="str" cm="1">
        <f t="array" aca="1" ref="C54" ca="1">_xll.DBR($C$48,$B54,C$49)</f>
        <v>TM1MECCMapCAP</v>
      </c>
      <c r="D54" s="2" t="str" cm="1">
        <f t="array" aca="1" ref="D54" ca="1">_xll.DBR($C$48,$B54,D$49)</f>
        <v>Cost Centre Mapping</v>
      </c>
      <c r="E54" s="2" t="str" cm="1">
        <f t="array" aca="1" ref="E54" ca="1">_xll.DBR($C$48,$B54,E$49)</f>
        <v>TM1MECCMapWB</v>
      </c>
      <c r="F54" s="2" t="str" cm="1">
        <f t="array" aca="1" ref="F54" ca="1">_xll.DBR($C$48,$B54,F$49)</f>
        <v>PRIMUS\GEUS WEB\Monthly Estimates\Monthly Estimates - Cost Centre Mapping.xlsx</v>
      </c>
      <c r="G54" s="2" t="str" cm="1">
        <f t="array" aca="1" ref="G54" ca="1">_xll.DBR($C$48,$B54,G$49)</f>
        <v>TM1MECCMapWS</v>
      </c>
      <c r="H54" s="2" t="str" cm="1">
        <f t="array" aca="1" ref="H54" ca="1">_xll.DBR($C$48,$B54,H$49)</f>
        <v>mapping</v>
      </c>
      <c r="R54" s="1"/>
    </row>
    <row r="55" spans="2:41" hidden="1" outlineLevel="1" x14ac:dyDescent="0.25">
      <c r="B55" s="2" t="s">
        <v>106</v>
      </c>
      <c r="C55" s="2" t="str" cm="1">
        <f t="array" aca="1" ref="C55" ca="1">_xll.DBR($C$48,$B55,C$49)</f>
        <v>TM1MEGLMapCAP</v>
      </c>
      <c r="D55" s="2" t="str" cm="1">
        <f t="array" aca="1" ref="D55" ca="1">_xll.DBR($C$48,$B55,D$49)</f>
        <v>GL Code Mapping</v>
      </c>
      <c r="E55" s="2" t="str" cm="1">
        <f t="array" aca="1" ref="E55" ca="1">_xll.DBR($C$48,$B55,E$49)</f>
        <v>TM1MEGLMapWB</v>
      </c>
      <c r="F55" s="2" t="str" cm="1">
        <f t="array" aca="1" ref="F55" ca="1">_xll.DBR($C$48,$B55,F$49)</f>
        <v>PRIMUS\GEUS WEB\Monthly Estimates\Monthly Estimates - GL Mapping.xlsx</v>
      </c>
      <c r="G55" s="2" t="str" cm="1">
        <f t="array" aca="1" ref="G55" ca="1">_xll.DBR($C$48,$B55,G$49)</f>
        <v>TM1MEGLMapWS</v>
      </c>
      <c r="H55" s="2" t="str" cm="1">
        <f t="array" aca="1" ref="H55" ca="1">_xll.DBR($C$48,$B55,H$49)</f>
        <v>mapping</v>
      </c>
      <c r="R55" s="1"/>
    </row>
    <row r="56" spans="2:41" hidden="1" outlineLevel="1" x14ac:dyDescent="0.25">
      <c r="B56" s="2" t="s">
        <v>107</v>
      </c>
      <c r="C56" s="2" t="str" cm="1">
        <f t="array" aca="1" ref="C56" ca="1">_xll.DBR($C$48,$B56,C$49)</f>
        <v>TM1MESummaryCAP</v>
      </c>
      <c r="D56" s="2" t="str" cm="1">
        <f t="array" aca="1" ref="D56" ca="1">_xll.DBR($C$48,$B56,D$49)</f>
        <v>Program Summary</v>
      </c>
      <c r="E56" s="2" t="str" cm="1">
        <f t="array" aca="1" ref="E56" ca="1">_xll.DBR($C$48,$B56,E$49)</f>
        <v>TM1MESummaryWB</v>
      </c>
      <c r="F56" s="2" t="str" cm="1">
        <f t="array" aca="1" ref="F56" ca="1">_xll.DBR($C$48,$B56,F$49)</f>
        <v>PRIMUS\GEUS WEB\Monthly Estimates\Monthly Estimates - Program Summary.xlsx</v>
      </c>
      <c r="G56" s="2" t="str" cm="1">
        <f t="array" aca="1" ref="G56" ca="1">_xll.DBR($C$48,$B56,G$49)</f>
        <v>TM1MESummaryWS</v>
      </c>
      <c r="H56" s="2" t="str" cm="1">
        <f t="array" aca="1" ref="H56" ca="1">_xll.DBR($C$48,$B56,H$49)</f>
        <v>summary</v>
      </c>
      <c r="R56" s="1"/>
    </row>
    <row r="57" spans="2:41" hidden="1" outlineLevel="1" x14ac:dyDescent="0.25">
      <c r="B57" s="2" t="s">
        <v>124</v>
      </c>
      <c r="C57" s="2" t="str" cm="1">
        <f t="array" aca="1" ref="C57" ca="1">_xll.DBR($C$48,$B57,C$49)</f>
        <v>TM1MECFDataEntryCAP</v>
      </c>
      <c r="D57" s="2" t="str" cm="1">
        <f t="array" aca="1" ref="D57" ca="1">_xll.DBR($C$48,$B57,D$49)</f>
        <v>Cash Flow</v>
      </c>
      <c r="E57" s="2" t="str" cm="1">
        <f t="array" aca="1" ref="E57" ca="1">_xll.DBR($C$48,$B57,E$49)</f>
        <v>TM1MECFDataEntryWB</v>
      </c>
      <c r="F57" s="2" t="str" cm="1">
        <f t="array" aca="1" ref="F57" ca="1">_xll.DBR($C$48,$B57,F$49)</f>
        <v>PRIMUS\GEUS WEB\Monthly Estimates\Monthly Estimates - Cash Flow Data Entry.xlsx</v>
      </c>
      <c r="G57" s="2" t="str" cm="1">
        <f t="array" aca="1" ref="G57" ca="1">_xll.DBR($C$48,$B57,G$49)</f>
        <v>TM1MECFDataEntryWS</v>
      </c>
      <c r="H57" s="2" t="str" cm="1">
        <f t="array" aca="1" ref="H57" ca="1">_xll.DBR($C$48,$B57,H$49)</f>
        <v>cash flow</v>
      </c>
      <c r="R57" s="1"/>
    </row>
    <row r="58" spans="2:41" hidden="1" outlineLevel="1" x14ac:dyDescent="0.25">
      <c r="B58" s="2" t="s">
        <v>125</v>
      </c>
      <c r="C58" s="2" t="str" cm="1">
        <f t="array" aca="1" ref="C58" ca="1">_xll.DBR($C$48,$B58,C$49)</f>
        <v>TM1MEValidateCAP</v>
      </c>
      <c r="D58" s="2" t="str" cm="1">
        <f t="array" aca="1" ref="D58" ca="1">_xll.DBR($C$48,$B58,D$49)</f>
        <v>Validate ME Profiles</v>
      </c>
      <c r="E58" s="2" t="str" cm="1">
        <f t="array" aca="1" ref="E58" ca="1">_xll.DBR($C$48,$B58,E$49)</f>
        <v>TM1MEValidateWB</v>
      </c>
      <c r="F58" s="2" t="str" cm="1">
        <f t="array" aca="1" ref="F58" ca="1">_xll.DBR($C$48,$B58,F$49)</f>
        <v>PRIMUS\GEUS WEB\Monthly Estimates\Monthly Estimates - Validate.xlsx</v>
      </c>
      <c r="G58" s="2" t="str" cm="1">
        <f t="array" aca="1" ref="G58" ca="1">_xll.DBR($C$48,$B58,G$49)</f>
        <v>TM1MEValidateWS</v>
      </c>
      <c r="H58" s="2" t="str" cm="1">
        <f t="array" aca="1" ref="H58" ca="1">_xll.DBR($C$48,$B58,H$49)</f>
        <v>validate</v>
      </c>
      <c r="R58" s="1"/>
    </row>
    <row r="59" spans="2:41" hidden="1" outlineLevel="1" x14ac:dyDescent="0.25">
      <c r="R59" s="1"/>
    </row>
    <row r="60" spans="2:41" hidden="1" outlineLevel="1" x14ac:dyDescent="0.25">
      <c r="R60" s="1"/>
    </row>
    <row r="61" spans="2:41" ht="34.5" customHeight="1" collapsed="1" x14ac:dyDescent="0.25">
      <c r="Q61" s="4"/>
      <c r="R61" s="4"/>
      <c r="S61" s="4"/>
      <c r="T61" s="4"/>
      <c r="U61" s="4"/>
      <c r="V61" s="4"/>
      <c r="W61" s="23" t="s">
        <v>114</v>
      </c>
      <c r="X61" s="23"/>
      <c r="Y61" s="31"/>
      <c r="Z61" s="23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</row>
    <row r="62" spans="2:41" ht="5.0999999999999996" customHeight="1" x14ac:dyDescent="0.25">
      <c r="R62" s="1"/>
    </row>
    <row r="63" spans="2:41" ht="24.75" customHeight="1" x14ac:dyDescent="0.25">
      <c r="R63" s="1"/>
    </row>
    <row r="64" spans="2:41" ht="1.5" customHeight="1" x14ac:dyDescent="0.25">
      <c r="Q64" s="26"/>
      <c r="R64" s="26"/>
      <c r="S64" s="26"/>
      <c r="T64" s="26"/>
      <c r="U64" s="26"/>
      <c r="V64" s="26"/>
      <c r="W64" s="26"/>
      <c r="X64" s="26"/>
      <c r="Y64" s="32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</row>
    <row r="65" spans="1:42" ht="5.0999999999999996" customHeight="1" x14ac:dyDescent="0.25">
      <c r="R65" s="1"/>
    </row>
    <row r="66" spans="1:42" x14ac:dyDescent="0.25">
      <c r="R66" s="38" t="s">
        <v>128</v>
      </c>
    </row>
    <row r="67" spans="1:42" ht="4.5" customHeight="1" x14ac:dyDescent="0.25">
      <c r="R67" s="1"/>
    </row>
    <row r="68" spans="1:42" ht="30" x14ac:dyDescent="0.25">
      <c r="R68" s="1"/>
      <c r="S68" s="39" t="s">
        <v>68</v>
      </c>
      <c r="U68" s="48" t="s">
        <v>69</v>
      </c>
      <c r="V68" s="48"/>
      <c r="Z68" s="7" t="s">
        <v>59</v>
      </c>
      <c r="AA68" s="7" t="s">
        <v>41</v>
      </c>
      <c r="AB68" s="7" t="str">
        <f t="shared" ref="AB68:AM68" ca="1" si="3">AB$46</f>
        <v>Jul</v>
      </c>
      <c r="AC68" s="7" t="str">
        <f t="shared" ca="1" si="3"/>
        <v>Aug</v>
      </c>
      <c r="AD68" s="7" t="str">
        <f t="shared" ca="1" si="3"/>
        <v>Sep</v>
      </c>
      <c r="AE68" s="7" t="str">
        <f t="shared" ca="1" si="3"/>
        <v>Oct</v>
      </c>
      <c r="AF68" s="7" t="str">
        <f t="shared" ca="1" si="3"/>
        <v>Nov</v>
      </c>
      <c r="AG68" s="7" t="str">
        <f t="shared" ca="1" si="3"/>
        <v>Dec</v>
      </c>
      <c r="AH68" s="7" t="str">
        <f t="shared" ca="1" si="3"/>
        <v>Jan</v>
      </c>
      <c r="AI68" s="7" t="str">
        <f t="shared" ca="1" si="3"/>
        <v>Feb</v>
      </c>
      <c r="AJ68" s="7" t="str">
        <f t="shared" ca="1" si="3"/>
        <v>Mar</v>
      </c>
      <c r="AK68" s="7" t="str">
        <f t="shared" ca="1" si="3"/>
        <v>Apr</v>
      </c>
      <c r="AL68" s="7" t="str">
        <f t="shared" ca="1" si="3"/>
        <v>May</v>
      </c>
      <c r="AM68" s="7" t="str">
        <f t="shared" ca="1" si="3"/>
        <v>Jun</v>
      </c>
    </row>
    <row r="69" spans="1:42" x14ac:dyDescent="0.25">
      <c r="B69" t="str">
        <f t="shared" ref="B69:B74" ca="1" si="4">$S$71</f>
        <v>Administered Programmes</v>
      </c>
      <c r="C69" t="s">
        <v>3</v>
      </c>
      <c r="D69" s="6" t="s">
        <v>65</v>
      </c>
      <c r="E69" t="s">
        <v>4</v>
      </c>
      <c r="F69" t="s">
        <v>5</v>
      </c>
      <c r="G69" t="s">
        <v>6</v>
      </c>
      <c r="H69" t="s">
        <v>7</v>
      </c>
      <c r="R69" s="22" t="s">
        <v>66</v>
      </c>
      <c r="S69" s="29" t="str" cm="1">
        <f t="array" aca="1" ref="S69" ca="1">_xll.SUBNM(db_name&amp;":headline year","",$C$22)</f>
        <v>HL2025-2026</v>
      </c>
      <c r="T69" s="22" t="s">
        <v>70</v>
      </c>
      <c r="U69" s="47" t="str" cm="1">
        <f t="array" aca="1" ref="U69" ca="1">_xll.SUBNM(db_name&amp;":sys_ME display","","Month To Date")</f>
        <v>Month To Date</v>
      </c>
      <c r="V69" s="47"/>
      <c r="Y69" s="22" t="s">
        <v>74</v>
      </c>
      <c r="Z69" s="15" cm="1">
        <f t="array" aca="1" ref="Z69" ca="1">_xll.DBRW($C$32,$S$69,$S$70,$F69,$H69,$E69,$B69,$C69,$D69,Z$45,$G69,Z$46,$C$42)</f>
        <v>461233</v>
      </c>
      <c r="AA69" s="15" cm="1">
        <f t="array" aca="1" ref="AA69" ca="1">_xll.DBRW($C$32,$S$69,$S$70,$F69,$H69,$E69,$B69,$C69,$D69,AA$45,$G69,AA$46,$C$42)</f>
        <v>0</v>
      </c>
      <c r="AB69" s="15" cm="1">
        <f t="array" aca="1" ref="AB69" ca="1">_xll.DBRW($C$32,$S$69,$S$70,$F69,$H69,$E69,$B69,$C69,$D69,AB$45,$G69,AB$46,$C$42)</f>
        <v>0</v>
      </c>
      <c r="AC69" s="15" cm="1">
        <f t="array" aca="1" ref="AC69" ca="1">_xll.DBRW($C$32,$S$69,$S$70,$F69,$H69,$E69,$B69,$C69,$D69,AC$45,$G69,AC$46,$C$42)</f>
        <v>0</v>
      </c>
      <c r="AD69" s="15" cm="1">
        <f t="array" aca="1" ref="AD69" ca="1">_xll.DBRW($C$32,$S$69,$S$70,$F69,$H69,$E69,$B69,$C69,$D69,AD$45,$G69,AD$46,$C$42)</f>
        <v>0</v>
      </c>
      <c r="AE69" s="15" cm="1">
        <f t="array" aca="1" ref="AE69" ca="1">_xll.DBRW($C$32,$S$69,$S$70,$F69,$H69,$E69,$B69,$C69,$D69,AE$45,$G69,AE$46,$C$42)</f>
        <v>0</v>
      </c>
      <c r="AF69" s="15" cm="1">
        <f t="array" aca="1" ref="AF69" ca="1">_xll.DBRW($C$32,$S$69,$S$70,$F69,$H69,$E69,$B69,$C69,$D69,AF$45,$G69,AF$46,$C$42)</f>
        <v>0</v>
      </c>
      <c r="AG69" s="15" cm="1">
        <f t="array" aca="1" ref="AG69" ca="1">_xll.DBRW($C$32,$S$69,$S$70,$F69,$H69,$E69,$B69,$C69,$D69,AG$45,$G69,AG$46,$C$42)</f>
        <v>0</v>
      </c>
      <c r="AH69" s="15" cm="1">
        <f t="array" aca="1" ref="AH69" ca="1">_xll.DBRW($C$32,$S$69,$S$70,$F69,$H69,$E69,$B69,$C69,$D69,AH$45,$G69,AH$46,$C$42)</f>
        <v>0</v>
      </c>
      <c r="AI69" s="15" cm="1">
        <f t="array" aca="1" ref="AI69" ca="1">_xll.DBRW($C$32,$S$69,$S$70,$F69,$H69,$E69,$B69,$C69,$D69,AI$45,$G69,AI$46,$C$42)</f>
        <v>0</v>
      </c>
      <c r="AJ69" s="15" cm="1">
        <f t="array" aca="1" ref="AJ69" ca="1">_xll.DBRW($C$32,$S$69,$S$70,$F69,$H69,$E69,$B69,$C69,$D69,AJ$45,$G69,AJ$46,$C$42)</f>
        <v>0</v>
      </c>
      <c r="AK69" s="15" cm="1">
        <f t="array" aca="1" ref="AK69" ca="1">_xll.DBRW($C$32,$S$69,$S$70,$F69,$H69,$E69,$B69,$C69,$D69,AK$45,$G69,AK$46,$C$42)</f>
        <v>0</v>
      </c>
      <c r="AL69" s="15" cm="1">
        <f t="array" aca="1" ref="AL69" ca="1">_xll.DBRW($C$32,$S$69,$S$70,$F69,$H69,$E69,$B69,$C69,$D69,AL$45,$G69,AL$46,$C$42)</f>
        <v>0</v>
      </c>
      <c r="AM69" s="15" cm="1">
        <f t="array" aca="1" ref="AM69" ca="1">_xll.DBRW($C$32,$S$69,$S$70,$F69,$H69,$E69,$B69,$C69,$D69,AM$45,$G69,AM$46,$C$42)</f>
        <v>461233</v>
      </c>
    </row>
    <row r="70" spans="1:42" x14ac:dyDescent="0.25">
      <c r="B70" t="str">
        <f t="shared" ca="1" si="4"/>
        <v>Administered Programmes</v>
      </c>
      <c r="C70" t="s">
        <v>3</v>
      </c>
      <c r="D70" s="6" t="s">
        <v>35</v>
      </c>
      <c r="E70" t="s">
        <v>4</v>
      </c>
      <c r="F70" t="s">
        <v>5</v>
      </c>
      <c r="G70" t="s">
        <v>6</v>
      </c>
      <c r="H70" t="s">
        <v>7</v>
      </c>
      <c r="R70" s="22" t="s">
        <v>67</v>
      </c>
      <c r="S70" s="29" t="str" cm="1">
        <f t="array" aca="1" ref="S70" ca="1">_xll.SUBNM(db_name&amp;":scenario","","current")</f>
        <v>current</v>
      </c>
      <c r="Y70" s="22" t="s">
        <v>75</v>
      </c>
      <c r="Z70" s="15" cm="1">
        <f t="array" aca="1" ref="Z70" ca="1">_xll.DBRW($C$32,$S$69,$S$70,$F70,$H70,$E70,$B70,$C70,$D70,Z$45,$G70,Z$46,$C$42)</f>
        <v>2738663</v>
      </c>
      <c r="AA70" s="15" cm="1">
        <f t="array" aca="1" ref="AA70" ca="1">_xll.DBRW($C$32,$S$69,$S$70,$F70,$H70,$E70,$B70,$C70,$D70,AA$45,$G70,AA$46,$C$42)</f>
        <v>0</v>
      </c>
      <c r="AB70" s="15" cm="1">
        <f t="array" aca="1" ref="AB70" ca="1">_xll.DBRW($C$32,$S$69,$S$70,$F70,$H70,$E70,$B70,$C70,$D70,AB$45,$G70,AB$46,$C$42)</f>
        <v>0</v>
      </c>
      <c r="AC70" s="15" cm="1">
        <f t="array" aca="1" ref="AC70" ca="1">_xll.DBRW($C$32,$S$69,$S$70,$F70,$H70,$E70,$B70,$C70,$D70,AC$45,$G70,AC$46,$C$42)</f>
        <v>0</v>
      </c>
      <c r="AD70" s="15" cm="1">
        <f t="array" aca="1" ref="AD70" ca="1">_xll.DBRW($C$32,$S$69,$S$70,$F70,$H70,$E70,$B70,$C70,$D70,AD$45,$G70,AD$46,$C$42)</f>
        <v>0</v>
      </c>
      <c r="AE70" s="15" cm="1">
        <f t="array" aca="1" ref="AE70" ca="1">_xll.DBRW($C$32,$S$69,$S$70,$F70,$H70,$E70,$B70,$C70,$D70,AE$45,$G70,AE$46,$C$42)</f>
        <v>0</v>
      </c>
      <c r="AF70" s="15" cm="1">
        <f t="array" aca="1" ref="AF70" ca="1">_xll.DBRW($C$32,$S$69,$S$70,$F70,$H70,$E70,$B70,$C70,$D70,AF$45,$G70,AF$46,$C$42)</f>
        <v>0</v>
      </c>
      <c r="AG70" s="15" cm="1">
        <f t="array" aca="1" ref="AG70" ca="1">_xll.DBRW($C$32,$S$69,$S$70,$F70,$H70,$E70,$B70,$C70,$D70,AG$45,$G70,AG$46,$C$42)</f>
        <v>0</v>
      </c>
      <c r="AH70" s="15" cm="1">
        <f t="array" aca="1" ref="AH70" ca="1">_xll.DBRW($C$32,$S$69,$S$70,$F70,$H70,$E70,$B70,$C70,$D70,AH$45,$G70,AH$46,$C$42)</f>
        <v>0</v>
      </c>
      <c r="AI70" s="15" cm="1">
        <f t="array" aca="1" ref="AI70" ca="1">_xll.DBRW($C$32,$S$69,$S$70,$F70,$H70,$E70,$B70,$C70,$D70,AI$45,$G70,AI$46,$C$42)</f>
        <v>0</v>
      </c>
      <c r="AJ70" s="15" cm="1">
        <f t="array" aca="1" ref="AJ70" ca="1">_xll.DBRW($C$32,$S$69,$S$70,$F70,$H70,$E70,$B70,$C70,$D70,AJ$45,$G70,AJ$46,$C$42)</f>
        <v>0</v>
      </c>
      <c r="AK70" s="15" cm="1">
        <f t="array" aca="1" ref="AK70" ca="1">_xll.DBRW($C$32,$S$69,$S$70,$F70,$H70,$E70,$B70,$C70,$D70,AK$45,$G70,AK$46,$C$42)</f>
        <v>0</v>
      </c>
      <c r="AL70" s="15" cm="1">
        <f t="array" aca="1" ref="AL70" ca="1">_xll.DBRW($C$32,$S$69,$S$70,$F70,$H70,$E70,$B70,$C70,$D70,AL$45,$G70,AL$46,$C$42)</f>
        <v>0</v>
      </c>
      <c r="AM70" s="15" cm="1">
        <f t="array" aca="1" ref="AM70" ca="1">_xll.DBRW($C$32,$S$69,$S$70,$F70,$H70,$E70,$B70,$C70,$D70,AM$45,$G70,AM$46,$C$42)</f>
        <v>2738663</v>
      </c>
    </row>
    <row r="71" spans="1:42" x14ac:dyDescent="0.25">
      <c r="B71" t="str">
        <f t="shared" ca="1" si="4"/>
        <v>Administered Programmes</v>
      </c>
      <c r="C71" t="s">
        <v>3</v>
      </c>
      <c r="D71" s="6" t="s">
        <v>73</v>
      </c>
      <c r="E71" t="s">
        <v>4</v>
      </c>
      <c r="F71" t="s">
        <v>5</v>
      </c>
      <c r="G71" t="s">
        <v>6</v>
      </c>
      <c r="H71" t="s">
        <v>7</v>
      </c>
      <c r="R71" s="22" t="s">
        <v>122</v>
      </c>
      <c r="S71" s="29" t="str" cm="1">
        <f t="array" aca="1" ref="S71" ca="1">_xll.SUBNM(db_name&amp;":programme","","Administered Programmes","code and description")</f>
        <v>Administered Programmes</v>
      </c>
      <c r="T71" s="22" t="s">
        <v>144</v>
      </c>
      <c r="U71" s="47" t="str">
        <f ca="1">_xll.SUBNM(db_name&amp;":sys_report display","","Expand")</f>
        <v>Expand</v>
      </c>
      <c r="V71" s="47"/>
      <c r="Y71" s="22" t="s">
        <v>78</v>
      </c>
      <c r="Z71" s="15" cm="1">
        <f t="array" aca="1" ref="Z71" ca="1">_xll.DBRW($C$32,$S$69,$S$70,$F71,$H71,$E71,$B71,$C71,$D71,Z$45,$G71,Z$46,$C$42)</f>
        <v>56461765</v>
      </c>
      <c r="AA71" s="15" cm="1">
        <f t="array" aca="1" ref="AA71" ca="1">_xll.DBRW($C$32,$S$69,$S$70,$F71,$H71,$E71,$B71,$C71,$D71,AA$45,$G71,AA$46,$C$42)</f>
        <v>50237118</v>
      </c>
      <c r="AB71" s="15" cm="1">
        <f t="array" aca="1" ref="AB71" ca="1">_xll.DBRW($C$32,$S$69,$S$70,$F71,$H71,$E71,$B71,$C71,$D71,AB$45,$G71,AB$46,$C$42)</f>
        <v>0</v>
      </c>
      <c r="AC71" s="15" cm="1">
        <f t="array" aca="1" ref="AC71" ca="1">_xll.DBRW($C$32,$S$69,$S$70,$F71,$H71,$E71,$B71,$C71,$D71,AC$45,$G71,AC$46,$C$42)</f>
        <v>0</v>
      </c>
      <c r="AD71" s="15" cm="1">
        <f t="array" aca="1" ref="AD71" ca="1">_xll.DBRW($C$32,$S$69,$S$70,$F71,$H71,$E71,$B71,$C71,$D71,AD$45,$G71,AD$46,$C$42)</f>
        <v>0</v>
      </c>
      <c r="AE71" s="15" cm="1">
        <f t="array" aca="1" ref="AE71" ca="1">_xll.DBRW($C$32,$S$69,$S$70,$F71,$H71,$E71,$B71,$C71,$D71,AE$45,$G71,AE$46,$C$42)</f>
        <v>0</v>
      </c>
      <c r="AF71" s="15" cm="1">
        <f t="array" aca="1" ref="AF71" ca="1">_xll.DBRW($C$32,$S$69,$S$70,$F71,$H71,$E71,$B71,$C71,$D71,AF$45,$G71,AF$46,$C$42)</f>
        <v>0</v>
      </c>
      <c r="AG71" s="15" cm="1">
        <f t="array" aca="1" ref="AG71" ca="1">_xll.DBRW($C$32,$S$69,$S$70,$F71,$H71,$E71,$B71,$C71,$D71,AG$45,$G71,AG$46,$C$42)</f>
        <v>0</v>
      </c>
      <c r="AH71" s="15" cm="1">
        <f t="array" aca="1" ref="AH71" ca="1">_xll.DBRW($C$32,$S$69,$S$70,$F71,$H71,$E71,$B71,$C71,$D71,AH$45,$G71,AH$46,$C$42)</f>
        <v>0</v>
      </c>
      <c r="AI71" s="15" cm="1">
        <f t="array" aca="1" ref="AI71" ca="1">_xll.DBRW($C$32,$S$69,$S$70,$F71,$H71,$E71,$B71,$C71,$D71,AI$45,$G71,AI$46,$C$42)</f>
        <v>0</v>
      </c>
      <c r="AJ71" s="15" cm="1">
        <f t="array" aca="1" ref="AJ71" ca="1">_xll.DBRW($C$32,$S$69,$S$70,$F71,$H71,$E71,$B71,$C71,$D71,AJ$45,$G71,AJ$46,$C$42)</f>
        <v>0</v>
      </c>
      <c r="AK71" s="15" cm="1">
        <f t="array" aca="1" ref="AK71" ca="1">_xll.DBRW($C$32,$S$69,$S$70,$F71,$H71,$E71,$B71,$C71,$D71,AK$45,$G71,AK$46,$C$42)</f>
        <v>0</v>
      </c>
      <c r="AL71" s="15" cm="1">
        <f t="array" aca="1" ref="AL71" ca="1">_xll.DBRW($C$32,$S$69,$S$70,$F71,$H71,$E71,$B71,$C71,$D71,AL$45,$G71,AL$46,$C$42)</f>
        <v>0</v>
      </c>
      <c r="AM71" s="15" cm="1">
        <f t="array" aca="1" ref="AM71" ca="1">_xll.DBRW($C$32,$S$69,$S$70,$F71,$H71,$E71,$B71,$C71,$D71,AM$45,$G71,AM$46,$C$42)</f>
        <v>6224647</v>
      </c>
    </row>
    <row r="72" spans="1:42" x14ac:dyDescent="0.25">
      <c r="B72" t="str">
        <f t="shared" ca="1" si="4"/>
        <v>Administered Programmes</v>
      </c>
      <c r="C72" t="s">
        <v>3</v>
      </c>
      <c r="D72" s="6" t="s">
        <v>71</v>
      </c>
      <c r="E72" t="s">
        <v>4</v>
      </c>
      <c r="F72" t="s">
        <v>5</v>
      </c>
      <c r="G72" t="s">
        <v>6</v>
      </c>
      <c r="H72" t="s">
        <v>7</v>
      </c>
      <c r="Y72" s="22" t="s">
        <v>76</v>
      </c>
      <c r="Z72" s="15" cm="1">
        <f t="array" aca="1" ref="Z72" ca="1">_xll.DBRW($C$32,$S$69,$S$70,$F72,$H72,$E72,$B72,$C72,$D72,Z$45,$G72,Z$46,$C$42)</f>
        <v>212475</v>
      </c>
      <c r="AA72" s="15" cm="1">
        <f t="array" aca="1" ref="AA72" ca="1">_xll.DBRW($C$32,$S$69,$S$70,$F72,$H72,$E72,$B72,$C72,$D72,AA$45,$G72,AA$46,$C$42)</f>
        <v>288741</v>
      </c>
      <c r="AB72" s="15" cm="1">
        <f t="array" aca="1" ref="AB72" ca="1">_xll.DBRW($C$32,$S$69,$S$70,$F72,$H72,$E72,$B72,$C72,$D72,AB$45,$G72,AB$46,$C$42)</f>
        <v>0</v>
      </c>
      <c r="AC72" s="15" cm="1">
        <f t="array" aca="1" ref="AC72" ca="1">_xll.DBRW($C$32,$S$69,$S$70,$F72,$H72,$E72,$B72,$C72,$D72,AC$45,$G72,AC$46,$C$42)</f>
        <v>0</v>
      </c>
      <c r="AD72" s="15" cm="1">
        <f t="array" aca="1" ref="AD72" ca="1">_xll.DBRW($C$32,$S$69,$S$70,$F72,$H72,$E72,$B72,$C72,$D72,AD$45,$G72,AD$46,$C$42)</f>
        <v>0</v>
      </c>
      <c r="AE72" s="15" cm="1">
        <f t="array" aca="1" ref="AE72" ca="1">_xll.DBRW($C$32,$S$69,$S$70,$F72,$H72,$E72,$B72,$C72,$D72,AE$45,$G72,AE$46,$C$42)</f>
        <v>0</v>
      </c>
      <c r="AF72" s="15" cm="1">
        <f t="array" aca="1" ref="AF72" ca="1">_xll.DBRW($C$32,$S$69,$S$70,$F72,$H72,$E72,$B72,$C72,$D72,AF$45,$G72,AF$46,$C$42)</f>
        <v>0</v>
      </c>
      <c r="AG72" s="15" cm="1">
        <f t="array" aca="1" ref="AG72" ca="1">_xll.DBRW($C$32,$S$69,$S$70,$F72,$H72,$E72,$B72,$C72,$D72,AG$45,$G72,AG$46,$C$42)</f>
        <v>0</v>
      </c>
      <c r="AH72" s="15" cm="1">
        <f t="array" aca="1" ref="AH72" ca="1">_xll.DBRW($C$32,$S$69,$S$70,$F72,$H72,$E72,$B72,$C72,$D72,AH$45,$G72,AH$46,$C$42)</f>
        <v>0</v>
      </c>
      <c r="AI72" s="15" cm="1">
        <f t="array" aca="1" ref="AI72" ca="1">_xll.DBRW($C$32,$S$69,$S$70,$F72,$H72,$E72,$B72,$C72,$D72,AI$45,$G72,AI$46,$C$42)</f>
        <v>0</v>
      </c>
      <c r="AJ72" s="15" cm="1">
        <f t="array" aca="1" ref="AJ72" ca="1">_xll.DBRW($C$32,$S$69,$S$70,$F72,$H72,$E72,$B72,$C72,$D72,AJ$45,$G72,AJ$46,$C$42)</f>
        <v>0</v>
      </c>
      <c r="AK72" s="15" cm="1">
        <f t="array" aca="1" ref="AK72" ca="1">_xll.DBRW($C$32,$S$69,$S$70,$F72,$H72,$E72,$B72,$C72,$D72,AK$45,$G72,AK$46,$C$42)</f>
        <v>0</v>
      </c>
      <c r="AL72" s="15" cm="1">
        <f t="array" aca="1" ref="AL72" ca="1">_xll.DBRW($C$32,$S$69,$S$70,$F72,$H72,$E72,$B72,$C72,$D72,AL$45,$G72,AL$46,$C$42)</f>
        <v>0</v>
      </c>
      <c r="AM72" s="15" cm="1">
        <f t="array" aca="1" ref="AM72" ca="1">_xll.DBRW($C$32,$S$69,$S$70,$F72,$H72,$E72,$B72,$C72,$D72,AM$45,$G72,AM$46,$C$42)</f>
        <v>-76266</v>
      </c>
    </row>
    <row r="73" spans="1:42" x14ac:dyDescent="0.25">
      <c r="B73" t="str">
        <f t="shared" ca="1" si="4"/>
        <v>Administered Programmes</v>
      </c>
      <c r="C73" t="s">
        <v>3</v>
      </c>
      <c r="D73" s="6" t="s">
        <v>72</v>
      </c>
      <c r="E73" t="s">
        <v>4</v>
      </c>
      <c r="F73" t="s">
        <v>5</v>
      </c>
      <c r="G73" t="s">
        <v>6</v>
      </c>
      <c r="H73" t="s">
        <v>7</v>
      </c>
      <c r="R73" s="22" t="s">
        <v>126</v>
      </c>
      <c r="S73" s="29" t="str" cm="1">
        <f t="array" aca="1" ref="S73" ca="1">_xll.DBRW($C$32,$S$69,$S$70,"-","-","-",$S$71,"-","account template","00001","-","P0","reviewed by")</f>
        <v/>
      </c>
      <c r="T73" s="6"/>
      <c r="Y73" s="22" t="s">
        <v>77</v>
      </c>
      <c r="Z73" s="15" cm="1">
        <f t="array" aca="1" ref="Z73" ca="1">_xll.DBRW($C$32,$S$69,$S$70,$F73,$H73,$E73,$B73,$C73,$D73,Z$45,$G73,Z$46,$C$42)</f>
        <v>56249290</v>
      </c>
      <c r="AA73" s="15" cm="1">
        <f t="array" aca="1" ref="AA73" ca="1">_xll.DBRW($C$32,$S$69,$S$70,$F73,$H73,$E73,$B73,$C73,$D73,AA$45,$G73,AA$46,$C$42)</f>
        <v>49948377</v>
      </c>
      <c r="AB73" s="15" cm="1">
        <f t="array" aca="1" ref="AB73" ca="1">_xll.DBRW($C$32,$S$69,$S$70,$F73,$H73,$E73,$B73,$C73,$D73,AB$45,$G73,AB$46,$C$42)</f>
        <v>0</v>
      </c>
      <c r="AC73" s="15" cm="1">
        <f t="array" aca="1" ref="AC73" ca="1">_xll.DBRW($C$32,$S$69,$S$70,$F73,$H73,$E73,$B73,$C73,$D73,AC$45,$G73,AC$46,$C$42)</f>
        <v>0</v>
      </c>
      <c r="AD73" s="15" cm="1">
        <f t="array" aca="1" ref="AD73" ca="1">_xll.DBRW($C$32,$S$69,$S$70,$F73,$H73,$E73,$B73,$C73,$D73,AD$45,$G73,AD$46,$C$42)</f>
        <v>0</v>
      </c>
      <c r="AE73" s="15" cm="1">
        <f t="array" aca="1" ref="AE73" ca="1">_xll.DBRW($C$32,$S$69,$S$70,$F73,$H73,$E73,$B73,$C73,$D73,AE$45,$G73,AE$46,$C$42)</f>
        <v>0</v>
      </c>
      <c r="AF73" s="15" cm="1">
        <f t="array" aca="1" ref="AF73" ca="1">_xll.DBRW($C$32,$S$69,$S$70,$F73,$H73,$E73,$B73,$C73,$D73,AF$45,$G73,AF$46,$C$42)</f>
        <v>0</v>
      </c>
      <c r="AG73" s="15" cm="1">
        <f t="array" aca="1" ref="AG73" ca="1">_xll.DBRW($C$32,$S$69,$S$70,$F73,$H73,$E73,$B73,$C73,$D73,AG$45,$G73,AG$46,$C$42)</f>
        <v>0</v>
      </c>
      <c r="AH73" s="15" cm="1">
        <f t="array" aca="1" ref="AH73" ca="1">_xll.DBRW($C$32,$S$69,$S$70,$F73,$H73,$E73,$B73,$C73,$D73,AH$45,$G73,AH$46,$C$42)</f>
        <v>0</v>
      </c>
      <c r="AI73" s="15" cm="1">
        <f t="array" aca="1" ref="AI73" ca="1">_xll.DBRW($C$32,$S$69,$S$70,$F73,$H73,$E73,$B73,$C73,$D73,AI$45,$G73,AI$46,$C$42)</f>
        <v>0</v>
      </c>
      <c r="AJ73" s="15" cm="1">
        <f t="array" aca="1" ref="AJ73" ca="1">_xll.DBRW($C$32,$S$69,$S$70,$F73,$H73,$E73,$B73,$C73,$D73,AJ$45,$G73,AJ$46,$C$42)</f>
        <v>0</v>
      </c>
      <c r="AK73" s="15" cm="1">
        <f t="array" aca="1" ref="AK73" ca="1">_xll.DBRW($C$32,$S$69,$S$70,$F73,$H73,$E73,$B73,$C73,$D73,AK$45,$G73,AK$46,$C$42)</f>
        <v>0</v>
      </c>
      <c r="AL73" s="15" cm="1">
        <f t="array" aca="1" ref="AL73" ca="1">_xll.DBRW($C$32,$S$69,$S$70,$F73,$H73,$E73,$B73,$C73,$D73,AL$45,$G73,AL$46,$C$42)</f>
        <v>0</v>
      </c>
      <c r="AM73" s="15" cm="1">
        <f t="array" aca="1" ref="AM73" ca="1">_xll.DBRW($C$32,$S$69,$S$70,$F73,$H73,$E73,$B73,$C73,$D73,AM$45,$G73,AM$46,$C$42)</f>
        <v>6300913</v>
      </c>
    </row>
    <row r="74" spans="1:42" x14ac:dyDescent="0.25">
      <c r="B74" t="str">
        <f t="shared" ca="1" si="4"/>
        <v>Administered Programmes</v>
      </c>
      <c r="C74" t="s">
        <v>3</v>
      </c>
      <c r="D74" s="6" t="s">
        <v>79</v>
      </c>
      <c r="E74" t="s">
        <v>4</v>
      </c>
      <c r="F74" t="s">
        <v>5</v>
      </c>
      <c r="G74" t="s">
        <v>6</v>
      </c>
      <c r="H74" t="s">
        <v>7</v>
      </c>
      <c r="R74" s="22" t="s">
        <v>127</v>
      </c>
      <c r="S74" s="29" t="str" cm="1">
        <f t="array" aca="1" ref="S74" ca="1">_xll.DBRW($C$32,$S$69,$S$70,"-","-","-",$S$71,"-","account template","00001","-","P0","reviewed date")</f>
        <v/>
      </c>
      <c r="T74" s="6"/>
      <c r="Y74" s="22" t="s">
        <v>80</v>
      </c>
      <c r="Z74" s="15" cm="1">
        <f t="array" aca="1" ref="Z74" ca="1">_xll.DBRW($C$32,$S$69,$S$70,$F74,$H74,$E74,$B74,$C74,$D74,Z$45,$G74,Z$46,$C$42)</f>
        <v>0</v>
      </c>
      <c r="AA74" s="15" cm="1">
        <f t="array" aca="1" ref="AA74" ca="1">_xll.DBRW($C$32,$S$69,$S$70,$F74,$H74,$E74,$B74,$C74,$D74,AA$45,$G74,AA$46,$C$42)</f>
        <v>0</v>
      </c>
      <c r="AB74" s="15" cm="1">
        <f t="array" aca="1" ref="AB74" ca="1">_xll.DBRW($C$32,$S$69,$S$70,$F74,$H74,$E74,$B74,$C74,$D74,AB$45,$G74,AB$46,$C$42)</f>
        <v>0</v>
      </c>
      <c r="AC74" s="15" cm="1">
        <f t="array" aca="1" ref="AC74" ca="1">_xll.DBRW($C$32,$S$69,$S$70,$F74,$H74,$E74,$B74,$C74,$D74,AC$45,$G74,AC$46,$C$42)</f>
        <v>0</v>
      </c>
      <c r="AD74" s="15" cm="1">
        <f t="array" aca="1" ref="AD74" ca="1">_xll.DBRW($C$32,$S$69,$S$70,$F74,$H74,$E74,$B74,$C74,$D74,AD$45,$G74,AD$46,$C$42)</f>
        <v>0</v>
      </c>
      <c r="AE74" s="15" cm="1">
        <f t="array" aca="1" ref="AE74" ca="1">_xll.DBRW($C$32,$S$69,$S$70,$F74,$H74,$E74,$B74,$C74,$D74,AE$45,$G74,AE$46,$C$42)</f>
        <v>0</v>
      </c>
      <c r="AF74" s="15" cm="1">
        <f t="array" aca="1" ref="AF74" ca="1">_xll.DBRW($C$32,$S$69,$S$70,$F74,$H74,$E74,$B74,$C74,$D74,AF$45,$G74,AF$46,$C$42)</f>
        <v>0</v>
      </c>
      <c r="AG74" s="15" cm="1">
        <f t="array" aca="1" ref="AG74" ca="1">_xll.DBRW($C$32,$S$69,$S$70,$F74,$H74,$E74,$B74,$C74,$D74,AG$45,$G74,AG$46,$C$42)</f>
        <v>0</v>
      </c>
      <c r="AH74" s="15" cm="1">
        <f t="array" aca="1" ref="AH74" ca="1">_xll.DBRW($C$32,$S$69,$S$70,$F74,$H74,$E74,$B74,$C74,$D74,AH$45,$G74,AH$46,$C$42)</f>
        <v>0</v>
      </c>
      <c r="AI74" s="15" cm="1">
        <f t="array" aca="1" ref="AI74" ca="1">_xll.DBRW($C$32,$S$69,$S$70,$F74,$H74,$E74,$B74,$C74,$D74,AI$45,$G74,AI$46,$C$42)</f>
        <v>0</v>
      </c>
      <c r="AJ74" s="15" cm="1">
        <f t="array" aca="1" ref="AJ74" ca="1">_xll.DBRW($C$32,$S$69,$S$70,$F74,$H74,$E74,$B74,$C74,$D74,AJ$45,$G74,AJ$46,$C$42)</f>
        <v>0</v>
      </c>
      <c r="AK74" s="15" cm="1">
        <f t="array" aca="1" ref="AK74" ca="1">_xll.DBRW($C$32,$S$69,$S$70,$F74,$H74,$E74,$B74,$C74,$D74,AK$45,$G74,AK$46,$C$42)</f>
        <v>0</v>
      </c>
      <c r="AL74" s="15" cm="1">
        <f t="array" aca="1" ref="AL74" ca="1">_xll.DBRW($C$32,$S$69,$S$70,$F74,$H74,$E74,$B74,$C74,$D74,AL$45,$G74,AL$46,$C$42)</f>
        <v>0</v>
      </c>
      <c r="AM74" s="15" cm="1">
        <f t="array" aca="1" ref="AM74" ca="1">_xll.DBRW($C$32,$S$69,$S$70,$F74,$H74,$E74,$B74,$C74,$D74,AM$45,$G74,AM$46,$C$42)</f>
        <v>0</v>
      </c>
    </row>
    <row r="75" spans="1:42" ht="5.0999999999999996" customHeight="1" x14ac:dyDescent="0.25"/>
    <row r="76" spans="1:42" ht="15.75" x14ac:dyDescent="0.25">
      <c r="R76" s="5" t="s">
        <v>93</v>
      </c>
    </row>
    <row r="77" spans="1:42" ht="30" x14ac:dyDescent="0.25">
      <c r="I77" t="s">
        <v>38</v>
      </c>
      <c r="J77" t="s">
        <v>123</v>
      </c>
      <c r="K77" t="s">
        <v>134</v>
      </c>
      <c r="L77" t="s">
        <v>13</v>
      </c>
      <c r="M77" t="s">
        <v>135</v>
      </c>
      <c r="N77" t="s">
        <v>129</v>
      </c>
      <c r="O77" t="s">
        <v>136</v>
      </c>
      <c r="P77" t="s">
        <v>137</v>
      </c>
      <c r="R77" s="4" t="s">
        <v>121</v>
      </c>
      <c r="S77" s="4" t="s">
        <v>12</v>
      </c>
      <c r="T77" s="4" t="s">
        <v>90</v>
      </c>
      <c r="U77" s="4" t="s">
        <v>13</v>
      </c>
      <c r="V77" s="4" t="s">
        <v>115</v>
      </c>
      <c r="W77" s="4" t="s">
        <v>64</v>
      </c>
      <c r="X77" s="4" t="s">
        <v>143</v>
      </c>
      <c r="Y77" s="33" t="s">
        <v>119</v>
      </c>
      <c r="Z77" s="7" t="s">
        <v>59</v>
      </c>
      <c r="AA77" s="7" t="s">
        <v>41</v>
      </c>
      <c r="AB77" s="7" t="str">
        <f ca="1">AB$46</f>
        <v>Jul</v>
      </c>
      <c r="AC77" s="7" t="str">
        <f t="shared" ref="AC77:AN77" ca="1" si="5">AC$46</f>
        <v>Aug</v>
      </c>
      <c r="AD77" s="7" t="str">
        <f t="shared" ca="1" si="5"/>
        <v>Sep</v>
      </c>
      <c r="AE77" s="7" t="str">
        <f t="shared" ca="1" si="5"/>
        <v>Oct</v>
      </c>
      <c r="AF77" s="7" t="str">
        <f t="shared" ca="1" si="5"/>
        <v>Nov</v>
      </c>
      <c r="AG77" s="7" t="str">
        <f t="shared" ca="1" si="5"/>
        <v>Dec</v>
      </c>
      <c r="AH77" s="7" t="str">
        <f t="shared" ca="1" si="5"/>
        <v>Jan</v>
      </c>
      <c r="AI77" s="7" t="str">
        <f t="shared" ca="1" si="5"/>
        <v>Feb</v>
      </c>
      <c r="AJ77" s="7" t="str">
        <f t="shared" ca="1" si="5"/>
        <v>Mar</v>
      </c>
      <c r="AK77" s="7" t="str">
        <f t="shared" ca="1" si="5"/>
        <v>Apr</v>
      </c>
      <c r="AL77" s="7" t="str">
        <f t="shared" ca="1" si="5"/>
        <v>May</v>
      </c>
      <c r="AM77" s="7" t="str">
        <f t="shared" ca="1" si="5"/>
        <v>Jun</v>
      </c>
      <c r="AN77" s="7" t="str">
        <f t="shared" si="5"/>
        <v>Jun YTD</v>
      </c>
      <c r="AO77" s="7" t="s">
        <v>63</v>
      </c>
    </row>
    <row r="78" spans="1:42" x14ac:dyDescent="0.25">
      <c r="A78" t="e" cm="1">
        <f t="array" aca="1" ref="A78" ca="1">IF(_xll.TM1RPTELISCONSOLIDATED($H$78,$H78),IF(_xll.TM1RPTELLEV($H$78,$H78)&lt;=3,_xll.TM1RPTELLEV($H$78,$H78),"D"),IF($I78=$I77,"N0","N"))</f>
        <v>#VALUE!</v>
      </c>
      <c r="B78" s="3" t="str" cm="1">
        <f t="array" aca="1" ref="B78" ca="1">_xll.TM1RPTROW($C$29,db_name&amp;":programme","","","code and description",0,$C$33)</f>
        <v>pending__Monthly Estimates - Balance Sheet Data Entry.xlsx:balance sheet:TM1RPTDATARNG:2</v>
      </c>
      <c r="C78" s="45" t="str" cm="1">
        <f t="array" aca="1" ref="C78" ca="1">_xll.TM1RPTROW($C$29,db_name&amp;":appropriation item","","","code and description",0,$C$34)</f>
        <v>pending__Monthly Estimates - Balance Sheet Data Entry.xlsx:balance sheet:TM1RPTDATARNG:2</v>
      </c>
      <c r="D78" s="18" t="str" cm="1">
        <f t="array" aca="1" ref="D78" ca="1">_xll.TM1RPTROW($C$29,db_name&amp;":account","","","code and description",0,$C$35)</f>
        <v>pending__Monthly Estimates - Balance Sheet Data Entry.xlsx:balance sheet:TM1RPTDATARNG:2</v>
      </c>
      <c r="E78" s="18" t="str" cm="1">
        <f t="array" aca="1" ref="E78" ca="1">_xll.TM1RPTROW($C$29,db_name&amp;":movement account","","","code and description",0,$C$38)</f>
        <v>pending__Monthly Estimates - Balance Sheet Data Entry.xlsx:balance sheet:TM1RPTDATARNG:2</v>
      </c>
      <c r="F78" s="18" t="str" cm="1">
        <f t="array" aca="1" ref="F78" ca="1">_xll.TM1RPTROW($C$29,db_name&amp;":related entity","","","code and description",0,$C$39)</f>
        <v>pending__Monthly Estimates - Balance Sheet Data Entry.xlsx:balance sheet:TM1RPTDATARNG:2</v>
      </c>
      <c r="G78" s="18" t="str" cm="1">
        <f t="array" aca="1" ref="G78" ca="1">_xll.TM1RPTROW($C$29,db_name&amp;":jurisdiction","","","",0,$C$40)</f>
        <v>pending__Monthly Estimates - Balance Sheet Data Entry.xlsx:balance sheet:TM1RPTDATARNG:2</v>
      </c>
      <c r="H78" s="21" t="str" cm="1">
        <f t="array" aca="1" ref="H78" ca="1">_xll.TM1RPTROW($C$29,db_name&amp;":spp","","","",0,$C$41)</f>
        <v>pending__Monthly Estimates - Balance Sheet Data Entry.xlsx:balance sheet:TM1RPTDATARNG:2</v>
      </c>
      <c r="I78" s="20" t="e" cm="1">
        <f t="array" aca="1" ref="I78" ca="1">_xll.ELPAR(db_name&amp;":programme",$B78,1)</f>
        <v>#VALUE!</v>
      </c>
      <c r="J78" s="36" t="e" cm="1">
        <f t="array" aca="1" ref="J78" ca="1">_xll.DBRW($C$32,$S$69,$S$70,$F78,$H78,$E78,$B78,$C78,$D78,AN$45,$G78,J$77,$C$42)</f>
        <v>#VALUE!</v>
      </c>
      <c r="K78" s="40" t="e">
        <f ca="1">MOD(SUM(AB78:AM78),1)</f>
        <v>#VALUE!</v>
      </c>
      <c r="L78" s="40" t="e" cm="1">
        <f t="array" aca="1" ref="L78" ca="1">_xll.DBR($F$22,$D78,"assumed related entity")</f>
        <v>#VALUE!</v>
      </c>
      <c r="M78" s="40" t="e" cm="1">
        <f t="array" aca="1" ref="M78" ca="1">_xll.DBR($F$22,$D78,"appropriation type required")</f>
        <v>#VALUE!</v>
      </c>
      <c r="N78" s="36" t="e">
        <f ca="1">IF(AND($Z78=0,$J78&lt;&gt;0),"WARNING - Profiles entered with NO Annual Budget","")</f>
        <v>#VALUE!</v>
      </c>
      <c r="O78" t="e">
        <f t="shared" ref="O78" ca="1" si="6">IF($L78&lt;&gt;"",IF(LEFT($F78,5)=$L78,"","WARNING - Assumed Related Entity Does Not Match"),"")</f>
        <v>#VALUE!</v>
      </c>
      <c r="P78" t="e">
        <f t="shared" ref="P78" ca="1" si="7">IF(AND($N78&lt;&gt;"",$O78=""),$N78,IF(AND($N78="",$O78&lt;&gt;""),$O78,IF(AND($N78&lt;&gt;"",$O78&lt;&gt;""),"WARNING - Profiles entered with NO Annual Budget and Assumed Related Entity is incorrect","")))</f>
        <v>#VALUE!</v>
      </c>
      <c r="R78" s="17" t="str">
        <f ca="1">$B78</f>
        <v>pending__Monthly Estimates - Balance Sheet Data Entry.xlsx:balance sheet:TM1RPTDATARNG:2</v>
      </c>
      <c r="S78" s="17" t="str">
        <f ca="1">$D78</f>
        <v>pending__Monthly Estimates - Balance Sheet Data Entry.xlsx:balance sheet:TM1RPTDATARNG:2</v>
      </c>
      <c r="T78" s="17" t="str">
        <f ca="1">$E78</f>
        <v>pending__Monthly Estimates - Balance Sheet Data Entry.xlsx:balance sheet:TM1RPTDATARNG:2</v>
      </c>
      <c r="U78" s="17" t="str">
        <f ca="1">$F78</f>
        <v>pending__Monthly Estimates - Balance Sheet Data Entry.xlsx:balance sheet:TM1RPTDATARNG:2</v>
      </c>
      <c r="V78" s="20" t="str">
        <f ca="1">$G78</f>
        <v>pending__Monthly Estimates - Balance Sheet Data Entry.xlsx:balance sheet:TM1RPTDATARNG:2</v>
      </c>
      <c r="W78" s="20" t="str">
        <f ca="1">$H78</f>
        <v>pending__Monthly Estimates - Balance Sheet Data Entry.xlsx:balance sheet:TM1RPTDATARNG:2</v>
      </c>
      <c r="X78" s="20" t="str">
        <f ca="1">$C78</f>
        <v>pending__Monthly Estimates - Balance Sheet Data Entry.xlsx:balance sheet:TM1RPTDATARNG:2</v>
      </c>
      <c r="Y78" s="34" t="e" cm="1">
        <f t="array" aca="1" ref="Y78" ca="1">_xll.DBRW($C$32,$S$69,$S$70,$F78,$H78,$E78,$B78,$C78,$D78,AN$45,$G78,Y$46,$Y$45)</f>
        <v>#VALUE!</v>
      </c>
      <c r="Z78" s="15" t="e" cm="1">
        <f t="array" aca="1" ref="Z78" ca="1">_xll.DBRW($C$29,$S$69,$S$70,$F78,$H78,$E78,$B78,$C78,$D78,Z$45,$G78,Z$46,$C$42)</f>
        <v>#VALUE!</v>
      </c>
      <c r="AA78" s="16" t="e" cm="1">
        <f t="array" aca="1" ref="AA78" ca="1">_xll.DBRW($C$29,$S$69,$S$70,$F78,$H78,$E78,$B78,$C78,$D78,AA$45,$G78,AA$46,$C$42)</f>
        <v>#VALUE!</v>
      </c>
      <c r="AB78" s="27" t="e" cm="1">
        <f t="array" aca="1" ref="AB78" ca="1">_xll.DBRW($C$29,$S$69,$S$70,$F78,$H78,$E78,$B78,$C78,$D78,AB$45,$G78,AB$46,$C$42)</f>
        <v>#VALUE!</v>
      </c>
      <c r="AC78" s="27" t="e" cm="1">
        <f t="array" aca="1" ref="AC78" ca="1">_xll.DBRW($C$29,$S$69,$S$70,$F78,$H78,$E78,$B78,$C78,$D78,AC$45,$G78,AC$46,$C$42)</f>
        <v>#VALUE!</v>
      </c>
      <c r="AD78" s="27" t="e" cm="1">
        <f t="array" aca="1" ref="AD78" ca="1">_xll.DBRW($C$29,$S$69,$S$70,$F78,$H78,$E78,$B78,$C78,$D78,AD$45,$G78,AD$46,$C$42)</f>
        <v>#VALUE!</v>
      </c>
      <c r="AE78" s="27" t="e" cm="1">
        <f t="array" aca="1" ref="AE78" ca="1">_xll.DBRW($C$29,$S$69,$S$70,$F78,$H78,$E78,$B78,$C78,$D78,AE$45,$G78,AE$46,$C$42)</f>
        <v>#VALUE!</v>
      </c>
      <c r="AF78" s="27" t="e" cm="1">
        <f t="array" aca="1" ref="AF78" ca="1">_xll.DBRW($C$29,$S$69,$S$70,$F78,$H78,$E78,$B78,$C78,$D78,AF$45,$G78,AF$46,$C$42)</f>
        <v>#VALUE!</v>
      </c>
      <c r="AG78" s="27" t="e" cm="1">
        <f t="array" aca="1" ref="AG78" ca="1">_xll.DBRW($C$29,$S$69,$S$70,$F78,$H78,$E78,$B78,$C78,$D78,AG$45,$G78,AG$46,$C$42)</f>
        <v>#VALUE!</v>
      </c>
      <c r="AH78" s="27" t="e" cm="1">
        <f t="array" aca="1" ref="AH78" ca="1">_xll.DBRW($C$29,$S$69,$S$70,$F78,$H78,$E78,$B78,$C78,$D78,AH$45,$G78,AH$46,$C$42)</f>
        <v>#VALUE!</v>
      </c>
      <c r="AI78" s="27" t="e" cm="1">
        <f t="array" aca="1" ref="AI78" ca="1">_xll.DBRW($C$29,$S$69,$S$70,$F78,$H78,$E78,$B78,$C78,$D78,AI$45,$G78,AI$46,$C$42)</f>
        <v>#VALUE!</v>
      </c>
      <c r="AJ78" s="27" t="e" cm="1">
        <f t="array" aca="1" ref="AJ78" ca="1">_xll.DBRW($C$29,$S$69,$S$70,$F78,$H78,$E78,$B78,$C78,$D78,AJ$45,$G78,AJ$46,$C$42)</f>
        <v>#VALUE!</v>
      </c>
      <c r="AK78" s="27" t="e" cm="1">
        <f t="array" aca="1" ref="AK78" ca="1">_xll.DBRW($C$29,$S$69,$S$70,$F78,$H78,$E78,$B78,$C78,$D78,AK$45,$G78,AK$46,$C$42)</f>
        <v>#VALUE!</v>
      </c>
      <c r="AL78" s="27" t="e" cm="1">
        <f t="array" aca="1" ref="AL78" ca="1">_xll.DBRW($C$29,$S$69,$S$70,$F78,$H78,$E78,$B78,$C78,$D78,AL$45,$G78,AL$46,$C$42)</f>
        <v>#VALUE!</v>
      </c>
      <c r="AM78" s="27" t="e" cm="1">
        <f t="array" aca="1" ref="AM78" ca="1">_xll.DBRW($C$29,$S$69,$S$70,$F78,$H78,$E78,$B78,$C78,$D78,AM$45,$G78,AM$46,$C$42)</f>
        <v>#VALUE!</v>
      </c>
      <c r="AN78" s="15" t="e" cm="1">
        <f t="array" aca="1" ref="AN78" ca="1">_xll.DBRW($C$32,$S$69,$S$70,$F78,$H78,$E78,$B78,$C78,$D78,AN$45,$G78,AN$46,$C$42)</f>
        <v>#VALUE!</v>
      </c>
      <c r="AO78" s="15" t="e">
        <f ca="1">Z78-AN78</f>
        <v>#VALUE!</v>
      </c>
      <c r="AP78" s="37" t="e">
        <f ca="1">$P78</f>
        <v>#VALUE!</v>
      </c>
    </row>
    <row r="79" spans="1:42" ht="5.0999999999999996" customHeight="1" x14ac:dyDescent="0.25"/>
    <row r="80" spans="1:42" x14ac:dyDescent="0.25">
      <c r="B80" t="str">
        <f ca="1">$S$71</f>
        <v>Administered Programmes</v>
      </c>
      <c r="C80" t="s">
        <v>3</v>
      </c>
      <c r="D80" s="6" t="s">
        <v>73</v>
      </c>
      <c r="E80" t="s">
        <v>4</v>
      </c>
      <c r="F80" t="s">
        <v>5</v>
      </c>
      <c r="G80" t="s">
        <v>6</v>
      </c>
      <c r="H80" t="s">
        <v>7</v>
      </c>
      <c r="Y80" s="22" t="str">
        <f ca="1">"Total " &amp; $S$71 &amp; " Assets :"</f>
        <v>Total Administered Programmes Assets :</v>
      </c>
      <c r="Z80" s="15" cm="1">
        <f t="array" aca="1" ref="Z80" ca="1">_xll.DBRW($C$32,$S$69,$S$70,$F80,$H80,$E80,$B80,$C80,$D80,Z$45,$G80,Z$46,$C$42)</f>
        <v>56461765</v>
      </c>
      <c r="AA80" s="15" cm="1">
        <f t="array" aca="1" ref="AA80" ca="1">_xll.DBRW($C$32,$S$69,$S$70,$F80,$H80,$E80,$B80,$C80,$D80,AA$45,$G80,AA$46,$C$42)</f>
        <v>50237118</v>
      </c>
      <c r="AB80" s="15" cm="1">
        <f t="array" aca="1" ref="AB80" ca="1">_xll.DBRW($C$32,$S$69,$S$70,$F80,$H80,$E80,$B80,$C80,$D80,AB$45,$G80,AB$46,$C$42)</f>
        <v>0</v>
      </c>
      <c r="AC80" s="15" cm="1">
        <f t="array" aca="1" ref="AC80" ca="1">_xll.DBRW($C$32,$S$69,$S$70,$F80,$H80,$E80,$B80,$C80,$D80,AC$45,$G80,AC$46,$C$42)</f>
        <v>0</v>
      </c>
      <c r="AD80" s="15" cm="1">
        <f t="array" aca="1" ref="AD80" ca="1">_xll.DBRW($C$32,$S$69,$S$70,$F80,$H80,$E80,$B80,$C80,$D80,AD$45,$G80,AD$46,$C$42)</f>
        <v>0</v>
      </c>
      <c r="AE80" s="15" cm="1">
        <f t="array" aca="1" ref="AE80" ca="1">_xll.DBRW($C$32,$S$69,$S$70,$F80,$H80,$E80,$B80,$C80,$D80,AE$45,$G80,AE$46,$C$42)</f>
        <v>0</v>
      </c>
      <c r="AF80" s="15" cm="1">
        <f t="array" aca="1" ref="AF80" ca="1">_xll.DBRW($C$32,$S$69,$S$70,$F80,$H80,$E80,$B80,$C80,$D80,AF$45,$G80,AF$46,$C$42)</f>
        <v>0</v>
      </c>
      <c r="AG80" s="15" cm="1">
        <f t="array" aca="1" ref="AG80" ca="1">_xll.DBRW($C$32,$S$69,$S$70,$F80,$H80,$E80,$B80,$C80,$D80,AG$45,$G80,AG$46,$C$42)</f>
        <v>0</v>
      </c>
      <c r="AH80" s="15" cm="1">
        <f t="array" aca="1" ref="AH80" ca="1">_xll.DBRW($C$32,$S$69,$S$70,$F80,$H80,$E80,$B80,$C80,$D80,AH$45,$G80,AH$46,$C$42)</f>
        <v>0</v>
      </c>
      <c r="AI80" s="15" cm="1">
        <f t="array" aca="1" ref="AI80" ca="1">_xll.DBRW($C$32,$S$69,$S$70,$F80,$H80,$E80,$B80,$C80,$D80,AI$45,$G80,AI$46,$C$42)</f>
        <v>0</v>
      </c>
      <c r="AJ80" s="15" cm="1">
        <f t="array" aca="1" ref="AJ80" ca="1">_xll.DBRW($C$32,$S$69,$S$70,$F80,$H80,$E80,$B80,$C80,$D80,AJ$45,$G80,AJ$46,$C$42)</f>
        <v>0</v>
      </c>
      <c r="AK80" s="15" cm="1">
        <f t="array" aca="1" ref="AK80" ca="1">_xll.DBRW($C$32,$S$69,$S$70,$F80,$H80,$E80,$B80,$C80,$D80,AK$45,$G80,AK$46,$C$42)</f>
        <v>0</v>
      </c>
      <c r="AL80" s="15" cm="1">
        <f t="array" aca="1" ref="AL80" ca="1">_xll.DBRW($C$32,$S$69,$S$70,$F80,$H80,$E80,$B80,$C80,$D80,AL$45,$G80,AL$46,$C$42)</f>
        <v>0</v>
      </c>
      <c r="AM80" s="15" cm="1">
        <f t="array" aca="1" ref="AM80" ca="1">_xll.DBRW($C$32,$S$69,$S$70,$F80,$H80,$E80,$B80,$C80,$D80,AM$45,$G80,AM$46,$C$42)</f>
        <v>6224647</v>
      </c>
      <c r="AN80" s="15" cm="1">
        <f t="array" aca="1" ref="AN80" ca="1">_xll.DBRW($C$32,$S$69,$S$70,$F80,$H80,$E80,$B80,$C80,$D80,AN$45,$G80,AN$46,$C$42)</f>
        <v>56461765</v>
      </c>
      <c r="AO80" s="15" t="e" cm="1">
        <f t="array" aca="1" ref="AO80" ca="1">_xll.DBRW($C$32,$S$69,$S$70,$F80,$H80,$E80,$B80,$C80,$D80,AO$45,$G80,AO$46,$C$42)</f>
        <v>#VALUE!</v>
      </c>
    </row>
    <row r="81" spans="1:42" ht="5.0999999999999996" customHeight="1" x14ac:dyDescent="0.25"/>
    <row r="82" spans="1:42" ht="15.75" x14ac:dyDescent="0.25">
      <c r="R82" s="5" t="s">
        <v>92</v>
      </c>
    </row>
    <row r="83" spans="1:42" ht="30" x14ac:dyDescent="0.25">
      <c r="I83" t="s">
        <v>38</v>
      </c>
      <c r="J83" t="s">
        <v>123</v>
      </c>
      <c r="K83" t="s">
        <v>134</v>
      </c>
      <c r="L83" t="s">
        <v>13</v>
      </c>
      <c r="M83" t="s">
        <v>135</v>
      </c>
      <c r="N83" t="s">
        <v>129</v>
      </c>
      <c r="O83" t="s">
        <v>136</v>
      </c>
      <c r="P83" t="s">
        <v>137</v>
      </c>
      <c r="R83" s="4" t="s">
        <v>121</v>
      </c>
      <c r="S83" s="4" t="s">
        <v>12</v>
      </c>
      <c r="T83" s="4"/>
      <c r="U83" s="4" t="s">
        <v>13</v>
      </c>
      <c r="V83" s="4" t="s">
        <v>14</v>
      </c>
      <c r="W83" s="4" t="s">
        <v>15</v>
      </c>
      <c r="X83" s="4" t="s">
        <v>143</v>
      </c>
      <c r="Y83" s="33" t="s">
        <v>119</v>
      </c>
      <c r="Z83" s="7" t="s">
        <v>59</v>
      </c>
      <c r="AA83" s="7" t="s">
        <v>41</v>
      </c>
      <c r="AB83" s="7" t="str">
        <f ca="1">AB$46</f>
        <v>Jul</v>
      </c>
      <c r="AC83" s="7" t="str">
        <f t="shared" ref="AC83:AN83" ca="1" si="8">AC$46</f>
        <v>Aug</v>
      </c>
      <c r="AD83" s="7" t="str">
        <f t="shared" ca="1" si="8"/>
        <v>Sep</v>
      </c>
      <c r="AE83" s="7" t="str">
        <f t="shared" ca="1" si="8"/>
        <v>Oct</v>
      </c>
      <c r="AF83" s="7" t="str">
        <f t="shared" ca="1" si="8"/>
        <v>Nov</v>
      </c>
      <c r="AG83" s="7" t="str">
        <f t="shared" ca="1" si="8"/>
        <v>Dec</v>
      </c>
      <c r="AH83" s="7" t="str">
        <f t="shared" ca="1" si="8"/>
        <v>Jan</v>
      </c>
      <c r="AI83" s="7" t="str">
        <f t="shared" ca="1" si="8"/>
        <v>Feb</v>
      </c>
      <c r="AJ83" s="7" t="str">
        <f t="shared" ca="1" si="8"/>
        <v>Mar</v>
      </c>
      <c r="AK83" s="7" t="str">
        <f t="shared" ca="1" si="8"/>
        <v>Apr</v>
      </c>
      <c r="AL83" s="7" t="str">
        <f t="shared" ca="1" si="8"/>
        <v>May</v>
      </c>
      <c r="AM83" s="7" t="str">
        <f t="shared" ca="1" si="8"/>
        <v>Jun</v>
      </c>
      <c r="AN83" s="7" t="str">
        <f t="shared" si="8"/>
        <v>Jun YTD</v>
      </c>
      <c r="AO83" s="7" t="s">
        <v>63</v>
      </c>
    </row>
    <row r="84" spans="1:42" x14ac:dyDescent="0.25">
      <c r="A84" t="e" cm="1">
        <f t="array" aca="1" ref="A84" ca="1">IF(_xll.TM1RPTELISCONSOLIDATED($H$84,$H84),IF(_xll.TM1RPTELLEV($H$84,$H84)&lt;=3,_xll.TM1RPTELLEV($H$84,$H84),"D"),IF($I84=$I83,"N0","N"))</f>
        <v>#VALUE!</v>
      </c>
      <c r="B84" s="3" t="str" cm="1">
        <f t="array" aca="1" ref="B84" ca="1">_xll.TM1RPTROW($C$30,db_name&amp;":programme","","","code and description",0,$C$33)</f>
        <v>pending__Monthly Estimates - Balance Sheet Data Entry.xlsx:balance sheet:TM1RPTDATARNG:ARPT1</v>
      </c>
      <c r="C84" s="45" t="str" cm="1">
        <f t="array" aca="1" ref="C84" ca="1">_xll.TM1RPTROW($C$30,db_name&amp;":appropriation item","","","code and description",0,$C$34)</f>
        <v>pending__Monthly Estimates - Balance Sheet Data Entry.xlsx:balance sheet:TM1RPTDATARNG:ARPT1</v>
      </c>
      <c r="D84" s="18" t="str" cm="1">
        <f t="array" aca="1" ref="D84" ca="1">_xll.TM1RPTROW($C$30,db_name&amp;":account","","","code and description",0,$C$36)</f>
        <v>pending__Monthly Estimates - Balance Sheet Data Entry.xlsx:balance sheet:TM1RPTDATARNG:ARPT1</v>
      </c>
      <c r="E84" s="18" t="str" cm="1">
        <f t="array" aca="1" ref="E84" ca="1">_xll.TM1RPTROW($C$30,db_name&amp;":movement account","","","code and description",0,$C$38)</f>
        <v>pending__Monthly Estimates - Balance Sheet Data Entry.xlsx:balance sheet:TM1RPTDATARNG:ARPT1</v>
      </c>
      <c r="F84" s="18" t="str" cm="1">
        <f t="array" aca="1" ref="F84" ca="1">_xll.TM1RPTROW($C$30,db_name&amp;":related entity","","","code and description",0,$C$39)</f>
        <v>pending__Monthly Estimates - Balance Sheet Data Entry.xlsx:balance sheet:TM1RPTDATARNG:ARPT1</v>
      </c>
      <c r="G84" s="18" t="str" cm="1">
        <f t="array" aca="1" ref="G84" ca="1">_xll.TM1RPTROW($C$30,db_name&amp;":jurisdiction","","","",0,$C$40)</f>
        <v>pending__Monthly Estimates - Balance Sheet Data Entry.xlsx:balance sheet:TM1RPTDATARNG:ARPT1</v>
      </c>
      <c r="H84" s="21" t="str" cm="1">
        <f t="array" aca="1" ref="H84" ca="1">_xll.TM1RPTROW($C$30,db_name&amp;":spp","","","",0,$C$41)</f>
        <v>pending__Monthly Estimates - Balance Sheet Data Entry.xlsx:balance sheet:TM1RPTDATARNG:ARPT1</v>
      </c>
      <c r="I84" s="20" t="e" cm="1">
        <f t="array" aca="1" ref="I84" ca="1">_xll.ELPAR(db_name&amp;":programme",$B84,1)</f>
        <v>#VALUE!</v>
      </c>
      <c r="J84" s="36" t="e" cm="1">
        <f t="array" aca="1" ref="J84" ca="1">_xll.DBRW($C$32,$S$69,$S$70,$F84,$H84,$E84,$B84,$C84,$D84,AN$45,$G84,J$77,$C$42)</f>
        <v>#VALUE!</v>
      </c>
      <c r="K84" s="40" t="e">
        <f ca="1">MOD(SUM(AB84:AM84),1)</f>
        <v>#VALUE!</v>
      </c>
      <c r="L84" s="40" t="e" cm="1">
        <f t="array" aca="1" ref="L84" ca="1">_xll.DBR($F$22,$D84,"assumed related entity")</f>
        <v>#VALUE!</v>
      </c>
      <c r="M84" s="40" t="e" cm="1">
        <f t="array" aca="1" ref="M84" ca="1">_xll.DBR($F$22,$D84,"appropriation type required")</f>
        <v>#VALUE!</v>
      </c>
      <c r="N84" s="36" t="e">
        <f ca="1">IF(AND($Z84=0,$J84&lt;&gt;0),"WARNING - Profiles entered with NO Annual Budget","")</f>
        <v>#VALUE!</v>
      </c>
      <c r="O84" t="e">
        <f t="shared" ref="O84" ca="1" si="9">IF($L84&lt;&gt;"",IF(LEFT($F84,5)=$L84,"","WARNING - Assumed Related Entity Does Not Match"),"")</f>
        <v>#VALUE!</v>
      </c>
      <c r="P84" t="e">
        <f t="shared" ref="P84" ca="1" si="10">IF(AND($N84&lt;&gt;"",$O84=""),$N84,IF(AND($N84="",$O84&lt;&gt;""),$O84,IF(AND($N84&lt;&gt;"",$O84&lt;&gt;""),"WARNING - Profiles entered with NO Annual Budget and Assumed Related Entity is incorrect","")))</f>
        <v>#VALUE!</v>
      </c>
      <c r="R84" s="17" t="str">
        <f ca="1">$B84</f>
        <v>pending__Monthly Estimates - Balance Sheet Data Entry.xlsx:balance sheet:TM1RPTDATARNG:ARPT1</v>
      </c>
      <c r="S84" s="17" t="str">
        <f ca="1">$D84</f>
        <v>pending__Monthly Estimates - Balance Sheet Data Entry.xlsx:balance sheet:TM1RPTDATARNG:ARPT1</v>
      </c>
      <c r="T84" s="17" t="str">
        <f t="shared" ref="T84" ca="1" si="11">$E84</f>
        <v>pending__Monthly Estimates - Balance Sheet Data Entry.xlsx:balance sheet:TM1RPTDATARNG:ARPT1</v>
      </c>
      <c r="U84" s="17" t="str">
        <f ca="1">$F84</f>
        <v>pending__Monthly Estimates - Balance Sheet Data Entry.xlsx:balance sheet:TM1RPTDATARNG:ARPT1</v>
      </c>
      <c r="V84" s="20" t="str">
        <f ca="1">$G84</f>
        <v>pending__Monthly Estimates - Balance Sheet Data Entry.xlsx:balance sheet:TM1RPTDATARNG:ARPT1</v>
      </c>
      <c r="W84" s="20" t="str">
        <f ca="1">$H84</f>
        <v>pending__Monthly Estimates - Balance Sheet Data Entry.xlsx:balance sheet:TM1RPTDATARNG:ARPT1</v>
      </c>
      <c r="X84" s="20" t="str">
        <f ca="1">$C84</f>
        <v>pending__Monthly Estimates - Balance Sheet Data Entry.xlsx:balance sheet:TM1RPTDATARNG:ARPT1</v>
      </c>
      <c r="Y84" s="34" t="e" cm="1">
        <f t="array" aca="1" ref="Y84" ca="1">_xll.DBRW($C$32,$S$69,$S$70,$F84,$H84,$E84,$B84,$C84,$D84,AN$45,$G84,Y$46,$Y$45)</f>
        <v>#VALUE!</v>
      </c>
      <c r="Z84" s="15" t="e" cm="1">
        <f t="array" aca="1" ref="Z84" ca="1">_xll.DBRW($C$30,$S$69,$S$70,$F84,$H84,$E84,$B84,$C84,$D84,Z$45,$G84,Z$46,$C$42)</f>
        <v>#VALUE!</v>
      </c>
      <c r="AA84" s="16" t="e" cm="1">
        <f t="array" aca="1" ref="AA84" ca="1">_xll.DBRW($C$30,$S$69,$S$70,$F84,$H84,$E84,$B84,$C84,$D84,AA$45,$G84,AA$46,$C$42)</f>
        <v>#VALUE!</v>
      </c>
      <c r="AB84" s="27" t="e" cm="1">
        <f t="array" aca="1" ref="AB84" ca="1">_xll.DBRW($C$30,$S$69,$S$70,$F84,$H84,$E84,$B84,$C84,$D84,AB$45,$G84,AB$46,$C$42)</f>
        <v>#VALUE!</v>
      </c>
      <c r="AC84" s="27" t="e" cm="1">
        <f t="array" aca="1" ref="AC84" ca="1">_xll.DBRW($C$30,$S$69,$S$70,$F84,$H84,$E84,$B84,$C84,$D84,AC$45,$G84,AC$46,$C$42)</f>
        <v>#VALUE!</v>
      </c>
      <c r="AD84" s="27" t="e" cm="1">
        <f t="array" aca="1" ref="AD84" ca="1">_xll.DBRW($C$30,$S$69,$S$70,$F84,$H84,$E84,$B84,$C84,$D84,AD$45,$G84,AD$46,$C$42)</f>
        <v>#VALUE!</v>
      </c>
      <c r="AE84" s="27" t="e" cm="1">
        <f t="array" aca="1" ref="AE84" ca="1">_xll.DBRW($C$30,$S$69,$S$70,$F84,$H84,$E84,$B84,$C84,$D84,AE$45,$G84,AE$46,$C$42)</f>
        <v>#VALUE!</v>
      </c>
      <c r="AF84" s="27" t="e" cm="1">
        <f t="array" aca="1" ref="AF84" ca="1">_xll.DBRW($C$30,$S$69,$S$70,$F84,$H84,$E84,$B84,$C84,$D84,AF$45,$G84,AF$46,$C$42)</f>
        <v>#VALUE!</v>
      </c>
      <c r="AG84" s="27" t="e" cm="1">
        <f t="array" aca="1" ref="AG84" ca="1">_xll.DBRW($C$30,$S$69,$S$70,$F84,$H84,$E84,$B84,$C84,$D84,AG$45,$G84,AG$46,$C$42)</f>
        <v>#VALUE!</v>
      </c>
      <c r="AH84" s="27" t="e" cm="1">
        <f t="array" aca="1" ref="AH84" ca="1">_xll.DBRW($C$30,$S$69,$S$70,$F84,$H84,$E84,$B84,$C84,$D84,AH$45,$G84,AH$46,$C$42)</f>
        <v>#VALUE!</v>
      </c>
      <c r="AI84" s="27" t="e" cm="1">
        <f t="array" aca="1" ref="AI84" ca="1">_xll.DBRW($C$30,$S$69,$S$70,$F84,$H84,$E84,$B84,$C84,$D84,AI$45,$G84,AI$46,$C$42)</f>
        <v>#VALUE!</v>
      </c>
      <c r="AJ84" s="27" t="e" cm="1">
        <f t="array" aca="1" ref="AJ84" ca="1">_xll.DBRW($C$30,$S$69,$S$70,$F84,$H84,$E84,$B84,$C84,$D84,AJ$45,$G84,AJ$46,$C$42)</f>
        <v>#VALUE!</v>
      </c>
      <c r="AK84" s="27" t="e" cm="1">
        <f t="array" aca="1" ref="AK84" ca="1">_xll.DBRW($C$30,$S$69,$S$70,$F84,$H84,$E84,$B84,$C84,$D84,AK$45,$G84,AK$46,$C$42)</f>
        <v>#VALUE!</v>
      </c>
      <c r="AL84" s="27" t="e" cm="1">
        <f t="array" aca="1" ref="AL84" ca="1">_xll.DBRW($C$30,$S$69,$S$70,$F84,$H84,$E84,$B84,$C84,$D84,AL$45,$G84,AL$46,$C$42)</f>
        <v>#VALUE!</v>
      </c>
      <c r="AM84" s="27" t="e" cm="1">
        <f t="array" aca="1" ref="AM84" ca="1">_xll.DBRW($C$30,$S$69,$S$70,$F84,$H84,$E84,$B84,$C84,$D84,AM$45,$G84,AM$46,$C$42)</f>
        <v>#VALUE!</v>
      </c>
      <c r="AN84" s="15" t="e" cm="1">
        <f t="array" aca="1" ref="AN84" ca="1">_xll.DBRW($C$32,$S$69,$S$70,$F84,$H84,$E84,$B84,$C84,$D84,AN$45,$G84,AN$46,$C$42)</f>
        <v>#VALUE!</v>
      </c>
      <c r="AO84" s="15" t="e">
        <f ca="1">Z84-AN84</f>
        <v>#VALUE!</v>
      </c>
      <c r="AP84" s="37" t="e">
        <f ca="1">$P84</f>
        <v>#VALUE!</v>
      </c>
    </row>
    <row r="85" spans="1:42" ht="5.0999999999999996" customHeight="1" x14ac:dyDescent="0.25"/>
    <row r="86" spans="1:42" x14ac:dyDescent="0.25">
      <c r="B86" t="str">
        <f ca="1">$S$71</f>
        <v>Administered Programmes</v>
      </c>
      <c r="C86" t="s">
        <v>3</v>
      </c>
      <c r="D86" s="6" t="s">
        <v>71</v>
      </c>
      <c r="E86" t="s">
        <v>4</v>
      </c>
      <c r="F86" t="s">
        <v>5</v>
      </c>
      <c r="G86" t="s">
        <v>6</v>
      </c>
      <c r="H86" t="s">
        <v>7</v>
      </c>
      <c r="Y86" s="22" t="str">
        <f ca="1">"Total " &amp; $S$71 &amp; " Liabilities :"</f>
        <v>Total Administered Programmes Liabilities :</v>
      </c>
      <c r="Z86" s="15" cm="1">
        <f t="array" aca="1" ref="Z86" ca="1">_xll.DBRW($C$32,$S$69,$S$70,$F86,$H86,$E86,$B86,$C86,$D86,Z$45,$G86,Z$46,$C$42)</f>
        <v>212475</v>
      </c>
      <c r="AA86" s="15" cm="1">
        <f t="array" aca="1" ref="AA86" ca="1">_xll.DBRW($C$32,$S$69,$S$70,$F86,$H86,$E86,$B86,$C86,$D86,AA$45,$G86,AA$46,$C$42)</f>
        <v>288741</v>
      </c>
      <c r="AB86" s="15" cm="1">
        <f t="array" aca="1" ref="AB86" ca="1">_xll.DBRW($C$32,$S$69,$S$70,$F86,$H86,$E86,$B86,$C86,$D86,AB$45,$G86,AB$46,$C$42)</f>
        <v>0</v>
      </c>
      <c r="AC86" s="15" cm="1">
        <f t="array" aca="1" ref="AC86" ca="1">_xll.DBRW($C$32,$S$69,$S$70,$F86,$H86,$E86,$B86,$C86,$D86,AC$45,$G86,AC$46,$C$42)</f>
        <v>0</v>
      </c>
      <c r="AD86" s="15" cm="1">
        <f t="array" aca="1" ref="AD86" ca="1">_xll.DBRW($C$32,$S$69,$S$70,$F86,$H86,$E86,$B86,$C86,$D86,AD$45,$G86,AD$46,$C$42)</f>
        <v>0</v>
      </c>
      <c r="AE86" s="15" cm="1">
        <f t="array" aca="1" ref="AE86" ca="1">_xll.DBRW($C$32,$S$69,$S$70,$F86,$H86,$E86,$B86,$C86,$D86,AE$45,$G86,AE$46,$C$42)</f>
        <v>0</v>
      </c>
      <c r="AF86" s="15" cm="1">
        <f t="array" aca="1" ref="AF86" ca="1">_xll.DBRW($C$32,$S$69,$S$70,$F86,$H86,$E86,$B86,$C86,$D86,AF$45,$G86,AF$46,$C$42)</f>
        <v>0</v>
      </c>
      <c r="AG86" s="15" cm="1">
        <f t="array" aca="1" ref="AG86" ca="1">_xll.DBRW($C$32,$S$69,$S$70,$F86,$H86,$E86,$B86,$C86,$D86,AG$45,$G86,AG$46,$C$42)</f>
        <v>0</v>
      </c>
      <c r="AH86" s="15" cm="1">
        <f t="array" aca="1" ref="AH86" ca="1">_xll.DBRW($C$32,$S$69,$S$70,$F86,$H86,$E86,$B86,$C86,$D86,AH$45,$G86,AH$46,$C$42)</f>
        <v>0</v>
      </c>
      <c r="AI86" s="15" cm="1">
        <f t="array" aca="1" ref="AI86" ca="1">_xll.DBRW($C$32,$S$69,$S$70,$F86,$H86,$E86,$B86,$C86,$D86,AI$45,$G86,AI$46,$C$42)</f>
        <v>0</v>
      </c>
      <c r="AJ86" s="15" cm="1">
        <f t="array" aca="1" ref="AJ86" ca="1">_xll.DBRW($C$32,$S$69,$S$70,$F86,$H86,$E86,$B86,$C86,$D86,AJ$45,$G86,AJ$46,$C$42)</f>
        <v>0</v>
      </c>
      <c r="AK86" s="15" cm="1">
        <f t="array" aca="1" ref="AK86" ca="1">_xll.DBRW($C$32,$S$69,$S$70,$F86,$H86,$E86,$B86,$C86,$D86,AK$45,$G86,AK$46,$C$42)</f>
        <v>0</v>
      </c>
      <c r="AL86" s="15" cm="1">
        <f t="array" aca="1" ref="AL86" ca="1">_xll.DBRW($C$32,$S$69,$S$70,$F86,$H86,$E86,$B86,$C86,$D86,AL$45,$G86,AL$46,$C$42)</f>
        <v>0</v>
      </c>
      <c r="AM86" s="15" cm="1">
        <f t="array" aca="1" ref="AM86" ca="1">_xll.DBRW($C$32,$S$69,$S$70,$F86,$H86,$E86,$B86,$C86,$D86,AM$45,$G86,AM$46,$C$42)</f>
        <v>-76266</v>
      </c>
      <c r="AN86" s="15" cm="1">
        <f t="array" aca="1" ref="AN86" ca="1">_xll.DBRW($C$32,$S$69,$S$70,$F86,$H86,$E86,$B86,$C86,$D86,AN$45,$G86,AN$46,$C$42)</f>
        <v>212475</v>
      </c>
      <c r="AO86" s="15" t="e" cm="1">
        <f t="array" aca="1" ref="AO86" ca="1">_xll.DBRW($C$32,$S$69,$S$70,$F86,$H86,$E86,$B86,$C86,$D86,AO$45,$G86,AO$46,$C$42)</f>
        <v>#VALUE!</v>
      </c>
    </row>
    <row r="87" spans="1:42" ht="5.0999999999999996" customHeight="1" x14ac:dyDescent="0.25"/>
    <row r="88" spans="1:42" ht="15.75" x14ac:dyDescent="0.25">
      <c r="R88" s="5" t="s">
        <v>91</v>
      </c>
    </row>
    <row r="89" spans="1:42" ht="30" x14ac:dyDescent="0.25">
      <c r="I89" t="s">
        <v>38</v>
      </c>
      <c r="J89" t="s">
        <v>123</v>
      </c>
      <c r="K89" t="s">
        <v>134</v>
      </c>
      <c r="L89" t="s">
        <v>13</v>
      </c>
      <c r="M89" t="s">
        <v>135</v>
      </c>
      <c r="N89" t="s">
        <v>129</v>
      </c>
      <c r="O89" t="s">
        <v>136</v>
      </c>
      <c r="P89" t="s">
        <v>137</v>
      </c>
      <c r="R89" s="4" t="s">
        <v>121</v>
      </c>
      <c r="S89" s="4" t="s">
        <v>12</v>
      </c>
      <c r="T89" s="4"/>
      <c r="U89" s="4" t="s">
        <v>13</v>
      </c>
      <c r="V89" s="4" t="s">
        <v>14</v>
      </c>
      <c r="W89" s="4" t="s">
        <v>15</v>
      </c>
      <c r="X89" s="4" t="s">
        <v>143</v>
      </c>
      <c r="Y89" s="33" t="s">
        <v>119</v>
      </c>
      <c r="Z89" s="7" t="s">
        <v>59</v>
      </c>
      <c r="AA89" s="7" t="s">
        <v>41</v>
      </c>
      <c r="AB89" s="7" t="str">
        <f ca="1">AB$46</f>
        <v>Jul</v>
      </c>
      <c r="AC89" s="7" t="str">
        <f t="shared" ref="AC89:AN89" ca="1" si="12">AC$46</f>
        <v>Aug</v>
      </c>
      <c r="AD89" s="7" t="str">
        <f t="shared" ca="1" si="12"/>
        <v>Sep</v>
      </c>
      <c r="AE89" s="7" t="str">
        <f t="shared" ca="1" si="12"/>
        <v>Oct</v>
      </c>
      <c r="AF89" s="7" t="str">
        <f t="shared" ca="1" si="12"/>
        <v>Nov</v>
      </c>
      <c r="AG89" s="7" t="str">
        <f t="shared" ca="1" si="12"/>
        <v>Dec</v>
      </c>
      <c r="AH89" s="7" t="str">
        <f t="shared" ca="1" si="12"/>
        <v>Jan</v>
      </c>
      <c r="AI89" s="7" t="str">
        <f t="shared" ca="1" si="12"/>
        <v>Feb</v>
      </c>
      <c r="AJ89" s="7" t="str">
        <f t="shared" ca="1" si="12"/>
        <v>Mar</v>
      </c>
      <c r="AK89" s="7" t="str">
        <f t="shared" ca="1" si="12"/>
        <v>Apr</v>
      </c>
      <c r="AL89" s="7" t="str">
        <f t="shared" ca="1" si="12"/>
        <v>May</v>
      </c>
      <c r="AM89" s="7" t="str">
        <f t="shared" ca="1" si="12"/>
        <v>Jun</v>
      </c>
      <c r="AN89" s="7" t="str">
        <f t="shared" si="12"/>
        <v>Jun YTD</v>
      </c>
      <c r="AO89" s="7" t="s">
        <v>63</v>
      </c>
    </row>
    <row r="90" spans="1:42" x14ac:dyDescent="0.25">
      <c r="A90" t="e" cm="1">
        <f t="array" aca="1" ref="A90" ca="1">IF(_xll.TM1RPTELISCONSOLIDATED($H$90,$H90),IF(_xll.TM1RPTELLEV($H$90,$H90)&lt;=3,_xll.TM1RPTELLEV($H$90,$H90),"D"),IF($I90=$I89,"N0","N"))</f>
        <v>#VALUE!</v>
      </c>
      <c r="B90" s="3" t="str" cm="1">
        <f t="array" aca="1" ref="B90" ca="1">_xll.TM1RPTROW($C$31,db_name&amp;":programme","","","code and description",0,$C$33)</f>
        <v>pending__Monthly Estimates - Balance Sheet Data Entry.xlsx:balance sheet:TM1RPTDATARNG:ARPT2</v>
      </c>
      <c r="C90" s="45" t="str" cm="1">
        <f t="array" aca="1" ref="C90" ca="1">_xll.TM1RPTROW($C$31,db_name&amp;":appropriation item","","","code and description",0,$C$34)</f>
        <v>pending__Monthly Estimates - Balance Sheet Data Entry.xlsx:balance sheet:TM1RPTDATARNG:ARPT2</v>
      </c>
      <c r="D90" s="18" t="str" cm="1">
        <f t="array" aca="1" ref="D90" ca="1">_xll.TM1RPTROW($C$31,db_name&amp;":account","","","code and description",0,$C$37)</f>
        <v>pending__Monthly Estimates - Balance Sheet Data Entry.xlsx:balance sheet:TM1RPTDATARNG:ARPT2</v>
      </c>
      <c r="E90" s="18" t="str" cm="1">
        <f t="array" aca="1" ref="E90" ca="1">_xll.TM1RPTROW($C$31,db_name&amp;":movement account","","","code and description",0,$C$38)</f>
        <v>pending__Monthly Estimates - Balance Sheet Data Entry.xlsx:balance sheet:TM1RPTDATARNG:ARPT2</v>
      </c>
      <c r="F90" s="18" t="str" cm="1">
        <f t="array" aca="1" ref="F90" ca="1">_xll.TM1RPTROW($C$31,db_name&amp;":related entity","","","code and description",0,$C$39)</f>
        <v>pending__Monthly Estimates - Balance Sheet Data Entry.xlsx:balance sheet:TM1RPTDATARNG:ARPT2</v>
      </c>
      <c r="G90" s="18" t="str" cm="1">
        <f t="array" aca="1" ref="G90" ca="1">_xll.TM1RPTROW($C$31,db_name&amp;":jurisdiction","","","",0,$C$40)</f>
        <v>pending__Monthly Estimates - Balance Sheet Data Entry.xlsx:balance sheet:TM1RPTDATARNG:ARPT2</v>
      </c>
      <c r="H90" s="21" t="str" cm="1">
        <f t="array" aca="1" ref="H90" ca="1">_xll.TM1RPTROW($C$31,db_name&amp;":spp","","","",0,$C$41)</f>
        <v>pending__Monthly Estimates - Balance Sheet Data Entry.xlsx:balance sheet:TM1RPTDATARNG:ARPT2</v>
      </c>
      <c r="I90" s="20" t="e" cm="1">
        <f t="array" aca="1" ref="I90" ca="1">_xll.ELPAR(db_name&amp;":programme",$B90,1)</f>
        <v>#VALUE!</v>
      </c>
      <c r="J90" s="36" t="e" cm="1">
        <f t="array" aca="1" ref="J90" ca="1">_xll.DBRW($C$32,$S$69,$S$70,$F90,$H90,$E90,$B90,$C90,$D90,AN$45,$G90,J$77,$C$42)</f>
        <v>#VALUE!</v>
      </c>
      <c r="K90" s="40" t="e">
        <f ca="1">MOD(SUM(AB90:AM90),1)</f>
        <v>#VALUE!</v>
      </c>
      <c r="L90" s="40" t="e" cm="1">
        <f t="array" aca="1" ref="L90" ca="1">_xll.DBR($F$22,$D90,"assumed related entity")</f>
        <v>#VALUE!</v>
      </c>
      <c r="M90" s="40" t="e" cm="1">
        <f t="array" aca="1" ref="M90" ca="1">_xll.DBR($F$22,$D90,"appropriation type required")</f>
        <v>#VALUE!</v>
      </c>
      <c r="N90" s="36" t="e">
        <f ca="1">IF(AND($Z90=0,$J90&lt;&gt;0),"WARNING - Profiles entered with NO Annual Budget","")</f>
        <v>#VALUE!</v>
      </c>
      <c r="O90" t="e">
        <f t="shared" ref="O90" ca="1" si="13">IF($L90&lt;&gt;"",IF(LEFT($F90,5)=$L90,"","WARNING - Assumed Related Entity Does Not Match"),"")</f>
        <v>#VALUE!</v>
      </c>
      <c r="P90" t="e">
        <f t="shared" ref="P90" ca="1" si="14">IF(AND($N90&lt;&gt;"",$O90=""),$N90,IF(AND($N90="",$O90&lt;&gt;""),$O90,IF(AND($N90&lt;&gt;"",$O90&lt;&gt;""),"WARNING - Profiles entered with NO Annual Budget and Assumed Related Entity is incorrect","")))</f>
        <v>#VALUE!</v>
      </c>
      <c r="R90" s="17" t="str">
        <f ca="1">$B90</f>
        <v>pending__Monthly Estimates - Balance Sheet Data Entry.xlsx:balance sheet:TM1RPTDATARNG:ARPT2</v>
      </c>
      <c r="S90" s="17" t="str">
        <f ca="1">$D90</f>
        <v>pending__Monthly Estimates - Balance Sheet Data Entry.xlsx:balance sheet:TM1RPTDATARNG:ARPT2</v>
      </c>
      <c r="T90" s="17" t="str">
        <f t="shared" ref="T90" ca="1" si="15">$E90</f>
        <v>pending__Monthly Estimates - Balance Sheet Data Entry.xlsx:balance sheet:TM1RPTDATARNG:ARPT2</v>
      </c>
      <c r="U90" s="17" t="str">
        <f ca="1">$F90</f>
        <v>pending__Monthly Estimates - Balance Sheet Data Entry.xlsx:balance sheet:TM1RPTDATARNG:ARPT2</v>
      </c>
      <c r="V90" s="20" t="str">
        <f ca="1">$G90</f>
        <v>pending__Monthly Estimates - Balance Sheet Data Entry.xlsx:balance sheet:TM1RPTDATARNG:ARPT2</v>
      </c>
      <c r="W90" s="20" t="str">
        <f ca="1">$H90</f>
        <v>pending__Monthly Estimates - Balance Sheet Data Entry.xlsx:balance sheet:TM1RPTDATARNG:ARPT2</v>
      </c>
      <c r="X90" s="20" t="str">
        <f ca="1">$C90</f>
        <v>pending__Monthly Estimates - Balance Sheet Data Entry.xlsx:balance sheet:TM1RPTDATARNG:ARPT2</v>
      </c>
      <c r="Y90" s="34" t="e" cm="1">
        <f t="array" aca="1" ref="Y90" ca="1">_xll.DBRW($C$32,$S$69,$S$70,$F90,$H90,$E90,$B90,$C90,$D90,AN$45,$G90,Y$46,$Y$45)</f>
        <v>#VALUE!</v>
      </c>
      <c r="Z90" s="15" t="e" cm="1">
        <f t="array" aca="1" ref="Z90" ca="1">_xll.DBRW($C$31,$S$69,$S$70,$F90,$H90,$E90,$B90,$C90,$D90,Z$45,$G90,Z$46,$C$42)</f>
        <v>#VALUE!</v>
      </c>
      <c r="AA90" s="16" t="e" cm="1">
        <f t="array" aca="1" ref="AA90" ca="1">_xll.DBRW($C$31,$S$69,$S$70,$F90,$H90,$E90,$B90,$C90,$D90,AA$45,$G90,AA$46,$C$42)</f>
        <v>#VALUE!</v>
      </c>
      <c r="AB90" s="27" t="e" cm="1">
        <f t="array" aca="1" ref="AB90" ca="1">_xll.DBRW($C$31,$S$69,$S$70,$F90,$H90,$E90,$B90,$C90,$D90,AB$45,$G90,AB$46,$C$42)</f>
        <v>#VALUE!</v>
      </c>
      <c r="AC90" s="27" t="e" cm="1">
        <f t="array" aca="1" ref="AC90" ca="1">_xll.DBRW($C$31,$S$69,$S$70,$F90,$H90,$E90,$B90,$C90,$D90,AC$45,$G90,AC$46,$C$42)</f>
        <v>#VALUE!</v>
      </c>
      <c r="AD90" s="27" t="e" cm="1">
        <f t="array" aca="1" ref="AD90" ca="1">_xll.DBRW($C$31,$S$69,$S$70,$F90,$H90,$E90,$B90,$C90,$D90,AD$45,$G90,AD$46,$C$42)</f>
        <v>#VALUE!</v>
      </c>
      <c r="AE90" s="27" t="e" cm="1">
        <f t="array" aca="1" ref="AE90" ca="1">_xll.DBRW($C$31,$S$69,$S$70,$F90,$H90,$E90,$B90,$C90,$D90,AE$45,$G90,AE$46,$C$42)</f>
        <v>#VALUE!</v>
      </c>
      <c r="AF90" s="27" t="e" cm="1">
        <f t="array" aca="1" ref="AF90" ca="1">_xll.DBRW($C$31,$S$69,$S$70,$F90,$H90,$E90,$B90,$C90,$D90,AF$45,$G90,AF$46,$C$42)</f>
        <v>#VALUE!</v>
      </c>
      <c r="AG90" s="27" t="e" cm="1">
        <f t="array" aca="1" ref="AG90" ca="1">_xll.DBRW($C$31,$S$69,$S$70,$F90,$H90,$E90,$B90,$C90,$D90,AG$45,$G90,AG$46,$C$42)</f>
        <v>#VALUE!</v>
      </c>
      <c r="AH90" s="27" t="e" cm="1">
        <f t="array" aca="1" ref="AH90" ca="1">_xll.DBRW($C$31,$S$69,$S$70,$F90,$H90,$E90,$B90,$C90,$D90,AH$45,$G90,AH$46,$C$42)</f>
        <v>#VALUE!</v>
      </c>
      <c r="AI90" s="27" t="e" cm="1">
        <f t="array" aca="1" ref="AI90" ca="1">_xll.DBRW($C$31,$S$69,$S$70,$F90,$H90,$E90,$B90,$C90,$D90,AI$45,$G90,AI$46,$C$42)</f>
        <v>#VALUE!</v>
      </c>
      <c r="AJ90" s="27" t="e" cm="1">
        <f t="array" aca="1" ref="AJ90" ca="1">_xll.DBRW($C$31,$S$69,$S$70,$F90,$H90,$E90,$B90,$C90,$D90,AJ$45,$G90,AJ$46,$C$42)</f>
        <v>#VALUE!</v>
      </c>
      <c r="AK90" s="27" t="e" cm="1">
        <f t="array" aca="1" ref="AK90" ca="1">_xll.DBRW($C$31,$S$69,$S$70,$F90,$H90,$E90,$B90,$C90,$D90,AK$45,$G90,AK$46,$C$42)</f>
        <v>#VALUE!</v>
      </c>
      <c r="AL90" s="27" t="e" cm="1">
        <f t="array" aca="1" ref="AL90" ca="1">_xll.DBRW($C$31,$S$69,$S$70,$F90,$H90,$E90,$B90,$C90,$D90,AL$45,$G90,AL$46,$C$42)</f>
        <v>#VALUE!</v>
      </c>
      <c r="AM90" s="27" t="e" cm="1">
        <f t="array" aca="1" ref="AM90" ca="1">_xll.DBRW($C$31,$S$69,$S$70,$F90,$H90,$E90,$B90,$C90,$D90,AM$45,$G90,AM$46,$C$42)</f>
        <v>#VALUE!</v>
      </c>
      <c r="AN90" s="15" t="e" cm="1">
        <f t="array" aca="1" ref="AN90" ca="1">_xll.DBRW($C$32,$S$69,$S$70,$F90,$H90,$E90,$B90,$C90,$D90,AN$45,$G90,AN$46,$C$42)</f>
        <v>#VALUE!</v>
      </c>
      <c r="AO90" s="15" t="e">
        <f ca="1">Z90-AN90</f>
        <v>#VALUE!</v>
      </c>
      <c r="AP90" s="37" t="e">
        <f ca="1">$P90</f>
        <v>#VALUE!</v>
      </c>
    </row>
    <row r="91" spans="1:42" ht="5.0999999999999996" customHeight="1" x14ac:dyDescent="0.25"/>
    <row r="92" spans="1:42" x14ac:dyDescent="0.25">
      <c r="B92" t="str">
        <f ca="1">$S$71</f>
        <v>Administered Programmes</v>
      </c>
      <c r="C92" t="s">
        <v>3</v>
      </c>
      <c r="D92" s="6" t="s">
        <v>72</v>
      </c>
      <c r="E92" t="s">
        <v>4</v>
      </c>
      <c r="F92" t="s">
        <v>5</v>
      </c>
      <c r="G92" t="s">
        <v>6</v>
      </c>
      <c r="H92" t="s">
        <v>7</v>
      </c>
      <c r="Y92" s="22" t="str">
        <f ca="1">"Total " &amp; $S$71 &amp; " Equity :"</f>
        <v>Total Administered Programmes Equity :</v>
      </c>
      <c r="Z92" s="15" cm="1">
        <f t="array" aca="1" ref="Z92" ca="1">_xll.DBRW($C$32,$S$69,$S$70,$F92,$H92,$E92,$B92,$C92,$D92,Z$45,$G92,Z$46,$C$42)</f>
        <v>56249290</v>
      </c>
      <c r="AA92" s="15" cm="1">
        <f t="array" aca="1" ref="AA92" ca="1">_xll.DBRW($C$32,$S$69,$S$70,$F92,$H92,$E92,$B92,$C92,$D92,AA$45,$G92,AA$46,$C$42)</f>
        <v>49948377</v>
      </c>
      <c r="AB92" s="15" cm="1">
        <f t="array" aca="1" ref="AB92" ca="1">_xll.DBRW($C$32,$S$69,$S$70,$F92,$H92,$E92,$B92,$C92,$D92,AB$45,$G92,AB$46,$C$42)</f>
        <v>0</v>
      </c>
      <c r="AC92" s="15" cm="1">
        <f t="array" aca="1" ref="AC92" ca="1">_xll.DBRW($C$32,$S$69,$S$70,$F92,$H92,$E92,$B92,$C92,$D92,AC$45,$G92,AC$46,$C$42)</f>
        <v>0</v>
      </c>
      <c r="AD92" s="15" cm="1">
        <f t="array" aca="1" ref="AD92" ca="1">_xll.DBRW($C$32,$S$69,$S$70,$F92,$H92,$E92,$B92,$C92,$D92,AD$45,$G92,AD$46,$C$42)</f>
        <v>0</v>
      </c>
      <c r="AE92" s="15" cm="1">
        <f t="array" aca="1" ref="AE92" ca="1">_xll.DBRW($C$32,$S$69,$S$70,$F92,$H92,$E92,$B92,$C92,$D92,AE$45,$G92,AE$46,$C$42)</f>
        <v>0</v>
      </c>
      <c r="AF92" s="15" cm="1">
        <f t="array" aca="1" ref="AF92" ca="1">_xll.DBRW($C$32,$S$69,$S$70,$F92,$H92,$E92,$B92,$C92,$D92,AF$45,$G92,AF$46,$C$42)</f>
        <v>0</v>
      </c>
      <c r="AG92" s="15" cm="1">
        <f t="array" aca="1" ref="AG92" ca="1">_xll.DBRW($C$32,$S$69,$S$70,$F92,$H92,$E92,$B92,$C92,$D92,AG$45,$G92,AG$46,$C$42)</f>
        <v>0</v>
      </c>
      <c r="AH92" s="15" cm="1">
        <f t="array" aca="1" ref="AH92" ca="1">_xll.DBRW($C$32,$S$69,$S$70,$F92,$H92,$E92,$B92,$C92,$D92,AH$45,$G92,AH$46,$C$42)</f>
        <v>0</v>
      </c>
      <c r="AI92" s="15" cm="1">
        <f t="array" aca="1" ref="AI92" ca="1">_xll.DBRW($C$32,$S$69,$S$70,$F92,$H92,$E92,$B92,$C92,$D92,AI$45,$G92,AI$46,$C$42)</f>
        <v>0</v>
      </c>
      <c r="AJ92" s="15" cm="1">
        <f t="array" aca="1" ref="AJ92" ca="1">_xll.DBRW($C$32,$S$69,$S$70,$F92,$H92,$E92,$B92,$C92,$D92,AJ$45,$G92,AJ$46,$C$42)</f>
        <v>0</v>
      </c>
      <c r="AK92" s="15" cm="1">
        <f t="array" aca="1" ref="AK92" ca="1">_xll.DBRW($C$32,$S$69,$S$70,$F92,$H92,$E92,$B92,$C92,$D92,AK$45,$G92,AK$46,$C$42)</f>
        <v>0</v>
      </c>
      <c r="AL92" s="15" cm="1">
        <f t="array" aca="1" ref="AL92" ca="1">_xll.DBRW($C$32,$S$69,$S$70,$F92,$H92,$E92,$B92,$C92,$D92,AL$45,$G92,AL$46,$C$42)</f>
        <v>0</v>
      </c>
      <c r="AM92" s="15" cm="1">
        <f t="array" aca="1" ref="AM92" ca="1">_xll.DBRW($C$32,$S$69,$S$70,$F92,$H92,$E92,$B92,$C92,$D92,AM$45,$G92,AM$46,$C$42)</f>
        <v>6300913</v>
      </c>
      <c r="AN92" s="15" cm="1">
        <f t="array" aca="1" ref="AN92" ca="1">_xll.DBRW($C$32,$S$69,$S$70,$F92,$H92,$E92,$B92,$C92,$D92,AN$45,$G92,AN$46,$C$42)</f>
        <v>56249290</v>
      </c>
      <c r="AO92" s="15" t="e" cm="1">
        <f t="array" aca="1" ref="AO92" ca="1">_xll.DBRW($C$32,$S$69,$S$70,$F92,$H92,$E92,$B92,$C92,$D92,AO$45,$G92,AO$46,$C$42)</f>
        <v>#VALUE!</v>
      </c>
    </row>
  </sheetData>
  <sheetProtection sheet="1" objects="1" scenarios="1"/>
  <mergeCells count="13">
    <mergeCell ref="U71:V71"/>
    <mergeCell ref="U69:V69"/>
    <mergeCell ref="U68:V68"/>
    <mergeCell ref="AA44:AN44"/>
    <mergeCell ref="B47:C47"/>
    <mergeCell ref="E11:F11"/>
    <mergeCell ref="B11:C11"/>
    <mergeCell ref="B28:C28"/>
    <mergeCell ref="B20:C20"/>
    <mergeCell ref="B44:C44"/>
    <mergeCell ref="B15:C15"/>
    <mergeCell ref="E18:F18"/>
    <mergeCell ref="E21:F21"/>
  </mergeCells>
  <conditionalFormatting sqref="AB2:AM8">
    <cfRule type="expression" dxfId="0" priority="1">
      <formula>AB$52="Y"</formula>
    </cfRule>
  </conditionalFormatting>
  <hyperlinks>
    <hyperlink ref="C78" r:id="rId1" display="=@TM1RPTROW($C$29,db_name&amp;&quot;:appropriation item&quot;,&quot;&quot;,&quot;&quot;,&quot;code and description&quot;,0,$C$34)" xr:uid="{00000000-0004-0000-0000-000000000000}"/>
    <hyperlink ref="C84" r:id="rId2" display="=@TM1RPTROW($C$30,db_name&amp;&quot;:appropriation item&quot;,&quot;&quot;,&quot;&quot;,&quot;code and description&quot;,0,$C$34)" xr:uid="{00000000-0004-0000-0000-000001000000}"/>
    <hyperlink ref="C90" r:id="rId3" display="=@TM1RPTROW($C$31,db_name&amp;&quot;:appropriation item&quot;,&quot;&quot;,&quot;&quot;,&quot;code and description&quot;,0,$C$34)" xr:uid="{00000000-0004-0000-0000-000002000000}"/>
  </hyperlinks>
  <pageMargins left="0.70866141732283472" right="0.70866141732283472" top="0.74803149606299213" bottom="0.74803149606299213" header="0.31496062992125984" footer="0.31496062992125984"/>
  <pageSetup paperSize="9" scale="26" fitToHeight="0" orientation="portrait" r:id="rId4"/>
  <drawing r:id="rId5"/>
  <legacyDrawing r:id="rId6"/>
  <controls>
    <mc:AlternateContent xmlns:mc="http://schemas.openxmlformats.org/markup-compatibility/2006">
      <mc:Choice Requires="x14">
        <control shapeId="1038" r:id="rId7" name="TIButton4">
          <controlPr defaultSize="0" print="0" autoLine="0" r:id="rId8">
            <anchor moveWithCells="1" sizeWithCells="1">
              <from>
                <xdr:col>19</xdr:col>
                <xdr:colOff>1752600</xdr:colOff>
                <xdr:row>62</xdr:row>
                <xdr:rowOff>0</xdr:rowOff>
              </from>
              <to>
                <xdr:col>20</xdr:col>
                <xdr:colOff>838200</xdr:colOff>
                <xdr:row>62</xdr:row>
                <xdr:rowOff>247650</xdr:rowOff>
              </to>
            </anchor>
          </controlPr>
        </control>
      </mc:Choice>
      <mc:Fallback>
        <control shapeId="1038" r:id="rId7" name="TIButton4"/>
      </mc:Fallback>
    </mc:AlternateContent>
    <mc:AlternateContent xmlns:mc="http://schemas.openxmlformats.org/markup-compatibility/2006">
      <mc:Choice Requires="x14">
        <control shapeId="1037" r:id="rId9" name="TIButton9">
          <controlPr defaultSize="0" print="0" autoLine="0" autoPict="0" r:id="rId10">
            <anchor moveWithCells="1" sizeWithCells="1">
              <from>
                <xdr:col>19</xdr:col>
                <xdr:colOff>647700</xdr:colOff>
                <xdr:row>62</xdr:row>
                <xdr:rowOff>0</xdr:rowOff>
              </from>
              <to>
                <xdr:col>19</xdr:col>
                <xdr:colOff>1704975</xdr:colOff>
                <xdr:row>62</xdr:row>
                <xdr:rowOff>247650</xdr:rowOff>
              </to>
            </anchor>
          </controlPr>
        </control>
      </mc:Choice>
      <mc:Fallback>
        <control shapeId="1037" r:id="rId9" name="TIButton9"/>
      </mc:Fallback>
    </mc:AlternateContent>
    <mc:AlternateContent xmlns:mc="http://schemas.openxmlformats.org/markup-compatibility/2006">
      <mc:Choice Requires="x14">
        <control shapeId="1036" r:id="rId11" name="TIButton8">
          <controlPr defaultSize="0" print="0" autoLine="0" autoPict="0" r:id="rId12">
            <anchor moveWithCells="1" sizeWithCells="1">
              <from>
                <xdr:col>18</xdr:col>
                <xdr:colOff>1381125</xdr:colOff>
                <xdr:row>62</xdr:row>
                <xdr:rowOff>0</xdr:rowOff>
              </from>
              <to>
                <xdr:col>19</xdr:col>
                <xdr:colOff>619125</xdr:colOff>
                <xdr:row>62</xdr:row>
                <xdr:rowOff>247650</xdr:rowOff>
              </to>
            </anchor>
          </controlPr>
        </control>
      </mc:Choice>
      <mc:Fallback>
        <control shapeId="1036" r:id="rId11" name="TIButton8"/>
      </mc:Fallback>
    </mc:AlternateContent>
    <mc:AlternateContent xmlns:mc="http://schemas.openxmlformats.org/markup-compatibility/2006">
      <mc:Choice Requires="x14">
        <control shapeId="1035" r:id="rId13" name="TIButton7">
          <controlPr defaultSize="0" print="0" autoLine="0" autoPict="0" r:id="rId14">
            <anchor moveWithCells="1" sizeWithCells="1">
              <from>
                <xdr:col>18</xdr:col>
                <xdr:colOff>523875</xdr:colOff>
                <xdr:row>62</xdr:row>
                <xdr:rowOff>0</xdr:rowOff>
              </from>
              <to>
                <xdr:col>18</xdr:col>
                <xdr:colOff>1352550</xdr:colOff>
                <xdr:row>62</xdr:row>
                <xdr:rowOff>247650</xdr:rowOff>
              </to>
            </anchor>
          </controlPr>
        </control>
      </mc:Choice>
      <mc:Fallback>
        <control shapeId="1035" r:id="rId13" name="TIButton7"/>
      </mc:Fallback>
    </mc:AlternateContent>
    <mc:AlternateContent xmlns:mc="http://schemas.openxmlformats.org/markup-compatibility/2006">
      <mc:Choice Requires="x14">
        <control shapeId="1034" r:id="rId15" name="TIButton6">
          <controlPr defaultSize="0" print="0" autoLine="0" autoPict="0" r:id="rId16">
            <anchor moveWithCells="1" sizeWithCells="1">
              <from>
                <xdr:col>17</xdr:col>
                <xdr:colOff>695325</xdr:colOff>
                <xdr:row>62</xdr:row>
                <xdr:rowOff>0</xdr:rowOff>
              </from>
              <to>
                <xdr:col>17</xdr:col>
                <xdr:colOff>2019300</xdr:colOff>
                <xdr:row>62</xdr:row>
                <xdr:rowOff>247650</xdr:rowOff>
              </to>
            </anchor>
          </controlPr>
        </control>
      </mc:Choice>
      <mc:Fallback>
        <control shapeId="1034" r:id="rId15" name="TIButton6"/>
      </mc:Fallback>
    </mc:AlternateContent>
    <mc:AlternateContent xmlns:mc="http://schemas.openxmlformats.org/markup-compatibility/2006">
      <mc:Choice Requires="x14">
        <control shapeId="1026" r:id="rId17" name="TIButton1">
          <controlPr defaultSize="0" print="0" autoLine="0" autoPict="0" r:id="rId18">
            <anchor moveWithCells="1" sizeWithCells="1">
              <from>
                <xdr:col>17</xdr:col>
                <xdr:colOff>19050</xdr:colOff>
                <xdr:row>62</xdr:row>
                <xdr:rowOff>0</xdr:rowOff>
              </from>
              <to>
                <xdr:col>17</xdr:col>
                <xdr:colOff>666750</xdr:colOff>
                <xdr:row>62</xdr:row>
                <xdr:rowOff>247650</xdr:rowOff>
              </to>
            </anchor>
          </controlPr>
        </control>
      </mc:Choice>
      <mc:Fallback>
        <control shapeId="1026" r:id="rId17" name="TIButton1"/>
      </mc:Fallback>
    </mc:AlternateContent>
    <mc:AlternateContent xmlns:mc="http://schemas.openxmlformats.org/markup-compatibility/2006">
      <mc:Choice Requires="x14">
        <control shapeId="1027" r:id="rId19" name="TIButton2">
          <controlPr defaultSize="0" print="0" autoLine="0" autoPict="0" r:id="rId20">
            <anchor moveWithCells="1" sizeWithCells="1">
              <from>
                <xdr:col>17</xdr:col>
                <xdr:colOff>2057400</xdr:colOff>
                <xdr:row>61</xdr:row>
                <xdr:rowOff>57150</xdr:rowOff>
              </from>
              <to>
                <xdr:col>18</xdr:col>
                <xdr:colOff>504825</xdr:colOff>
                <xdr:row>62</xdr:row>
                <xdr:rowOff>247650</xdr:rowOff>
              </to>
            </anchor>
          </controlPr>
        </control>
      </mc:Choice>
      <mc:Fallback>
        <control shapeId="1027" r:id="rId19" name="TIButton2"/>
      </mc:Fallback>
    </mc:AlternateContent>
    <mc:AlternateContent xmlns:mc="http://schemas.openxmlformats.org/markup-compatibility/2006">
      <mc:Choice Requires="x14">
        <control shapeId="1028" r:id="rId21" name="TIButton3">
          <controlPr defaultSize="0" print="0" autoLine="0" autoPict="0" r:id="rId22">
            <anchor moveWithCells="1" sizeWithCells="1">
              <from>
                <xdr:col>23</xdr:col>
                <xdr:colOff>695325</xdr:colOff>
                <xdr:row>62</xdr:row>
                <xdr:rowOff>0</xdr:rowOff>
              </from>
              <to>
                <xdr:col>23</xdr:col>
                <xdr:colOff>1619250</xdr:colOff>
                <xdr:row>62</xdr:row>
                <xdr:rowOff>247650</xdr:rowOff>
              </to>
            </anchor>
          </controlPr>
        </control>
      </mc:Choice>
      <mc:Fallback>
        <control shapeId="1028" r:id="rId21" name="TIButton3"/>
      </mc:Fallback>
    </mc:AlternateContent>
    <mc:AlternateContent xmlns:mc="http://schemas.openxmlformats.org/markup-compatibility/2006">
      <mc:Choice Requires="x14">
        <control shapeId="1033" r:id="rId23" name="TIButton5">
          <controlPr defaultSize="0" print="0" autoLine="0" autoPict="0" r:id="rId24">
            <anchor moveWithCells="1" sizeWithCells="1">
              <from>
                <xdr:col>20</xdr:col>
                <xdr:colOff>866775</xdr:colOff>
                <xdr:row>62</xdr:row>
                <xdr:rowOff>0</xdr:rowOff>
              </from>
              <to>
                <xdr:col>23</xdr:col>
                <xdr:colOff>676275</xdr:colOff>
                <xdr:row>62</xdr:row>
                <xdr:rowOff>247650</xdr:rowOff>
              </to>
            </anchor>
          </controlPr>
        </control>
      </mc:Choice>
      <mc:Fallback>
        <control shapeId="1033" r:id="rId23" name="TIButton5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40</vt:i4>
      </vt:variant>
    </vt:vector>
  </HeadingPairs>
  <TitlesOfParts>
    <vt:vector size="41" baseType="lpstr">
      <vt:lpstr>balance sheet</vt:lpstr>
      <vt:lpstr>db_name</vt:lpstr>
      <vt:lpstr>Freeze_Here</vt:lpstr>
      <vt:lpstr>'balance sheet'!Print_Titles</vt:lpstr>
      <vt:lpstr>psHLYear</vt:lpstr>
      <vt:lpstr>psID</vt:lpstr>
      <vt:lpstr>psProg</vt:lpstr>
      <vt:lpstr>psScenario</vt:lpstr>
      <vt:lpstr>psUser</vt:lpstr>
      <vt:lpstr>TM1MEBSDataEntryCAP</vt:lpstr>
      <vt:lpstr>TM1MEBSDataEntryWB</vt:lpstr>
      <vt:lpstr>TM1MEBSDataEntryWS</vt:lpstr>
      <vt:lpstr>TM1MECCMapCAP</vt:lpstr>
      <vt:lpstr>TM1MECCMapWB</vt:lpstr>
      <vt:lpstr>TM1MECCMapWS</vt:lpstr>
      <vt:lpstr>TM1MECFDataEntryCAP</vt:lpstr>
      <vt:lpstr>TM1MECFDataEntryWB</vt:lpstr>
      <vt:lpstr>TM1MECFDataEntryWS</vt:lpstr>
      <vt:lpstr>TM1MEDataEntryCAP</vt:lpstr>
      <vt:lpstr>TM1MEDataEntryWB</vt:lpstr>
      <vt:lpstr>TM1MEDataEntryWS</vt:lpstr>
      <vt:lpstr>TM1MEGLMapCAP</vt:lpstr>
      <vt:lpstr>TM1MEGLMapWB</vt:lpstr>
      <vt:lpstr>TM1MEGLMapWS</vt:lpstr>
      <vt:lpstr>TM1MEHomeCAP</vt:lpstr>
      <vt:lpstr>TM1MEHomeWB</vt:lpstr>
      <vt:lpstr>TM1MEHomeWS</vt:lpstr>
      <vt:lpstr>TM1MEOSDataEntryCAP</vt:lpstr>
      <vt:lpstr>TM1MEOSDataEntryWB</vt:lpstr>
      <vt:lpstr>TM1MEOSDataEntryWS</vt:lpstr>
      <vt:lpstr>TM1MESummaryCAP</vt:lpstr>
      <vt:lpstr>TM1MESummaryWB</vt:lpstr>
      <vt:lpstr>TM1MESummaryWS</vt:lpstr>
      <vt:lpstr>TM1MEValidateCAP</vt:lpstr>
      <vt:lpstr>TM1MEValidateWB</vt:lpstr>
      <vt:lpstr>TM1MEValidateWS</vt:lpstr>
      <vt:lpstr>'balance sheet'!TM1RPTDATARNG2</vt:lpstr>
      <vt:lpstr>'balance sheet'!TM1RPTDATARNGARPT1</vt:lpstr>
      <vt:lpstr>'balance sheet'!TM1RPTDATARNGARPT2</vt:lpstr>
      <vt:lpstr>'balance sheet'!TM1RPTFMTIDCOL</vt:lpstr>
      <vt:lpstr>'balance sheet'!TM1RPTFMTRNG</vt:lpstr>
    </vt:vector>
  </TitlesOfParts>
  <Company>Australian Attorney General's Department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malizj</dc:creator>
  <cp:lastModifiedBy>Xin HE</cp:lastModifiedBy>
  <dcterms:created xsi:type="dcterms:W3CDTF">2019-04-16T01:02:10Z</dcterms:created>
  <dcterms:modified xsi:type="dcterms:W3CDTF">2025-08-05T04:34:42Z</dcterms:modified>
</cp:coreProperties>
</file>