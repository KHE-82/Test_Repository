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B816E39-05CB-4C1A-96C1-AA8716846C5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group adj exp" sheetId="1" r:id="rId1"/>
    <sheet name="{PL}PickLst" sheetId="2" state="hidden" r:id="rId2"/>
  </sheets>
  <definedNames>
    <definedName name="ae_grpadj_pyflag">'group adj exp'!$R$78</definedName>
    <definedName name="db_name">'group adj exp'!$C$12</definedName>
    <definedName name="Freeze_Here">'group adj exp'!$J$138</definedName>
    <definedName name="grp_newadj_ctrltype">'group adj exp'!$W$123</definedName>
    <definedName name="grp_per_display">'group adj exp'!$U$134</definedName>
    <definedName name="psAccTemp">'group adj exp'!$L$134</definedName>
    <definedName name="psAccType">'group adj exp'!$C$89</definedName>
    <definedName name="psApp">'group adj exp'!$C$31</definedName>
    <definedName name="psHLYear">'group adj exp'!$C$56</definedName>
    <definedName name="psID">'group adj exp'!$C$58</definedName>
    <definedName name="psJur">'group adj exp'!$P$134</definedName>
    <definedName name="psProg">'group adj exp'!$J$134</definedName>
    <definedName name="psProgDimName">'group adj exp'!$C$27</definedName>
    <definedName name="psRE">'group adj exp'!$N$134</definedName>
    <definedName name="psScenario">'group adj exp'!$C$57</definedName>
    <definedName name="psUser">'group adj exp'!$C$14</definedName>
    <definedName name="sys_perdisplay_list">'group adj exp'!$G$81:$G$82</definedName>
    <definedName name="TargetCells">'group adj exp'!$B$138</definedName>
    <definedName name="TM1AdjIDListCAP">'group adj exp'!$D$37</definedName>
    <definedName name="TM1AdjIDListWB">'group adj exp'!$F$37</definedName>
    <definedName name="TM1GrpEditAdj01CAP">'group adj exp'!$D$39</definedName>
    <definedName name="TM1GrpEditAdj01WB">'group adj exp'!$F$39</definedName>
    <definedName name="TM1GrpEditAdj01WS">'group adj exp'!$H$39</definedName>
    <definedName name="TM1GrpNewAdj01HeaderCAP">'group adj exp'!$D$40</definedName>
    <definedName name="TM1GrpNewAdj01HeaderWB">'group adj exp'!$F$40</definedName>
    <definedName name="TM1GrpNewAdj01HeaderWS">'group adj exp'!$H$40</definedName>
    <definedName name="TM1GrpNewAdj02ExpDataEntryCAP">'group adj exp'!$D$41</definedName>
    <definedName name="TM1GrpNewAdj02ExpDataEntryWB">'group adj exp'!$F$41</definedName>
    <definedName name="TM1GrpNewAdj02ExpDataEntryWS">'group adj exp'!$H$41</definedName>
    <definedName name="TM1GrpNewAdj03CashDataEntryCAP">'group adj exp'!$D$42</definedName>
    <definedName name="TM1GrpNewAdj03CashDataEntryWB">'group adj exp'!$F$42</definedName>
    <definedName name="TM1GrpNewAdj03CashDataEntryWS">'group adj exp'!$H$42</definedName>
    <definedName name="TM1GrpNewAdj04CBMSViewCAP">'group adj exp'!$D$43</definedName>
    <definedName name="TM1GrpNewAdj04CBMSViewWB">'group adj exp'!$F$43</definedName>
    <definedName name="TM1GrpNewAdj04CBMSViewWS">'group adj exp'!$H$43</definedName>
    <definedName name="TM1GrpNewAdj05AuthCAP">'group adj exp'!$D$44</definedName>
    <definedName name="TM1GrpNewAdj05AuthWB">'group adj exp'!$F$44</definedName>
    <definedName name="TM1GrpNewAdj05AuthWS">'group adj exp'!$H$44</definedName>
    <definedName name="TM1GrpNewAdj06CopyCAP">'group adj exp'!$D$45</definedName>
    <definedName name="TM1GrpNewAdj06CopyWB">'group adj exp'!$F$45</definedName>
    <definedName name="TM1GrpNewAdj06CopyWS">'group adj exp'!$H$45</definedName>
    <definedName name="TM1GrpNewAdj07CustNoDataEntryCAP">'group adj exp'!$D$46</definedName>
    <definedName name="TM1GrpNewAdj07CustNoDataEntryWB">'group adj exp'!$F$46</definedName>
    <definedName name="TM1GrpNewAdj07CustNoDataEntryWS">'group adj exp'!$H$46</definedName>
    <definedName name="TM1GrpNewAdj97UploadCAP">'group adj exp'!$D$48</definedName>
    <definedName name="TM1GrpNewAdj97UploadWB">'group adj exp'!$F$48</definedName>
    <definedName name="TM1GrpNewAdj97UploadWS">'group adj exp'!$H$48</definedName>
    <definedName name="TM1GrpNewAdj98AttachCAP">'group adj exp'!$D$49</definedName>
    <definedName name="TM1GrpNewAdj98AttachWB">'group adj exp'!$F$49</definedName>
    <definedName name="TM1GrpNewAdj98AttachWS">'group adj exp'!$H$49</definedName>
    <definedName name="TM1GrpNewAdj99ValidCAP">'group adj exp'!$D$50</definedName>
    <definedName name="TM1GrpNewAdj99ValidWB">'group adj exp'!$F$50</definedName>
    <definedName name="TM1GrpNewAdj99ValidWS">'group adj exp'!$H$50</definedName>
    <definedName name="TM1GrpViewAdj01HeaderCAP">'group adj exp'!$D$47</definedName>
    <definedName name="TM1GrpViewAdj01HeaderWB">'group adj exp'!$F$47</definedName>
    <definedName name="TM1GrpViewAdj01HeaderWS">'group adj exp'!$H$47</definedName>
    <definedName name="TM1HomeAEAccVarCAP">'group adj exp'!$D$36</definedName>
    <definedName name="TM1HomeAEAccVarWB">'group adj exp'!$F$36</definedName>
    <definedName name="TM1HomeAEAccVarWS">'group adj exp'!$H$36</definedName>
    <definedName name="TM1HomeAECAP">'group adj exp'!$D$34</definedName>
    <definedName name="TM1HomeAEDataEntryCAP">'group adj exp'!$D$35</definedName>
    <definedName name="TM1HomeAEDataEntryWB">'group adj exp'!$F$35</definedName>
    <definedName name="TM1HomeAEDataEntryWS">'group adj exp'!$H$35</definedName>
    <definedName name="TM1HomeAEWB">'group adj exp'!$F$34</definedName>
    <definedName name="TM1HomeAEWS">'group adj exp'!$H$34</definedName>
    <definedName name="TM1HomeCAP">'group adj exp'!$D$33</definedName>
    <definedName name="TM1HomeWB">'group adj exp'!$F$33</definedName>
    <definedName name="TM1HomeWS">'group adj exp'!$H$33</definedName>
    <definedName name="TM1IDListWS">'group adj exp'!$H$37</definedName>
    <definedName name="TM1NewAdj03AuthCAP">'group adj exp'!$D$38</definedName>
    <definedName name="TM1NewAdj03AuthWB">'group adj exp'!$F$38</definedName>
    <definedName name="TM1NewAdj03AuthWS">'group adj exp'!$H$38</definedName>
    <definedName name="TM1REBUILDOPTION">0</definedName>
    <definedName name="TM1RPTDATARNG1" localSheetId="0">'group adj exp'!$138:$138</definedName>
    <definedName name="TM1RPTFMTIDCOL" localSheetId="0">'group adj exp'!$A$1:$A$8</definedName>
    <definedName name="TM1RPTFMTRNG" localSheetId="0">'group adj exp'!$B$1:$AE$8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<sst xmlns="http://schemas.openxmlformats.org/spreadsheetml/2006/main" count="348" uniqueCount="302">
  <si>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</si>
  <si>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</si>
  <si>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</si>
  <si>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</si>
  <si>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</si>
  <si>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</si>
  <si>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</si>
  <si>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</si>
  <si>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</si>
  <si>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</si>
  <si>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</si>
  <si>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</si>
  <si>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</si>
  <si>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</si>
  <si>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</si>
  <si>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</si>
  <si>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</si>
  <si>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</si>
  <si>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</si>
  <si>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</si>
  <si>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</si>
  <si>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</si>
  <si>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</si>
  <si>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</si>
  <si>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</si>
  <si>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</si>
  <si>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</si>
  <si>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</si>
  <si>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</si>
  <si>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</si>
  <si>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</si>
  <si>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</si>
  <si>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</si>
  <si>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</si>
  <si>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</si>
  <si>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</si>
  <si>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</si>
  <si>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</si>
  <si>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</si>
  <si>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</si>
  <si>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</si>
  <si>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</si>
  <si>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</si>
  <si>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</si>
  <si>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</si>
  <si>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</si>
  <si>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</si>
  <si>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</si>
  <si>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</si>
  <si>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</si>
  <si>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</si>
  <si>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</si>
  <si>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</si>
  <si>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</si>
  <si>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</si>
  <si>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</si>
  <si>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</si>
  <si>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</si>
  <si>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Expense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</si>
  <si>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</si>
  <si>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</si>
  <si>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</si>
  <si>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</si>
  <si>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</si>
  <si>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</si>
  <si>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</si>
  <si>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</si>
  <si>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</si>
  <si>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</si>
  <si>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</si>
  <si>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</si>
  <si>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</si>
  <si>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</si>
  <si>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</si>
  <si>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</si>
  <si>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</si>
  <si>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</si>
  <si>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</si>
  <si>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</si>
  <si>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</si>
  <si>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</si>
  <si>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</si>
  <si>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</si>
  <si>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</si>
  <si>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</si>
  <si>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</si>
  <si>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</si>
  <si>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</si>
  <si>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</si>
  <si>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</si>
  <si>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</si>
  <si>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</si>
  <si>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</si>
  <si>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</si>
  <si>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</si>
  <si>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</si>
  <si>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</si>
  <si>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</si>
  <si>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</si>
  <si>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</si>
  <si>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</si>
  <si>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</si>
  <si>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</si>
  <si>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</si>
  <si>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</si>
  <si>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</si>
  <si>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</si>
  <si>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</si>
  <si>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</si>
  <si>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</si>
  <si>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</si>
  <si>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</si>
  <si>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</si>
  <si>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</si>
  <si>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</si>
  <si>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</si>
  <si>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</si>
  <si>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</si>
  <si>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</si>
  <si>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</si>
  <si>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</si>
  <si>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</si>
  <si>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</si>
  <si>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</si>
  <si>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</si>
  <si>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</si>
  <si>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</si>
  <si>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</si>
  <si>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</si>
  <si>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</si>
  <si>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</si>
  <si>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Group Adjustment - Expense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</si>
  <si>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</si>
  <si>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</si>
  <si>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</si>
  <si>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</si>
  <si>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</si>
  <si>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</si>
  <si>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</si>
  <si>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</si>
  <si>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</si>
  <si>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</si>
  <si>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</si>
  <si>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</si>
  <si>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</si>
  <si>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</si>
  <si>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</si>
  <si>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</si>
  <si>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</si>
  <si>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</si>
  <si>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</si>
  <si>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</si>
  <si>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</si>
  <si>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</si>
  <si>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</si>
  <si>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</si>
  <si>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</si>
  <si>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</si>
  <si>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</si>
  <si>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</si>
  <si>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</si>
  <si>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</si>
  <si>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</si>
  <si>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</si>
  <si>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</si>
  <si>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</si>
  <si>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</si>
  <si>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</si>
  <si>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</si>
  <si>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</si>
  <si>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</si>
  <si>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</si>
  <si>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</si>
  <si>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</si>
  <si>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</si>
  <si>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</si>
  <si>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</si>
  <si>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</si>
  <si>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</si>
  <si>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</si>
  <si>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</si>
  <si>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</si>
  <si>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</si>
  <si>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</si>
  <si>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</si>
  <si>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</si>
  <si>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</si>
  <si>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</si>
  <si>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</si>
  <si>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</si>
  <si>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</si>
  <si>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</si>
  <si>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</si>
  <si>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</si>
  <si>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</si>
  <si>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</si>
  <si>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</si>
  <si>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</si>
  <si>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</si>
  <si>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</si>
  <si>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</si>
  <si>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</si>
  <si>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</si>
  <si>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</si>
  <si>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</si>
  <si>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</si>
  <si>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</si>
  <si>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</si>
  <si>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</si>
  <si>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</si>
  <si>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</si>
  <si>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</si>
  <si>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</si>
  <si>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</si>
  <si>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</si>
  <si>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</si>
  <si>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</si>
  <si>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</si>
  <si>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</si>
  <si>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</si>
  <si>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</si>
  <si>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</si>
  <si>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</si>
  <si>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</si>
  <si>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</si>
  <si>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</si>
  <si>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</si>
  <si>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</si>
  <si>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</si>
  <si>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</si>
  <si>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</si>
  <si>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</si>
  <si>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</si>
  <si>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</si>
  <si>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</si>
  <si>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</si>
  <si>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</si>
  <si>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</si>
  <si>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</si>
  <si>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</si>
  <si>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</si>
  <si>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</si>
  <si>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</si>
  <si>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</si>
  <si>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</si>
  <si>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</si>
  <si>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</si>
  <si>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</si>
  <si>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</si>
  <si>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</si>
  <si>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</si>
  <si>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</si>
  <si>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</si>
  <si>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</si>
  <si>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</si>
  <si>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</si>
  <si>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</si>
  <si>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</si>
  <si>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</si>
  <si>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</si>
  <si>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</si>
  <si>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</si>
  <si>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</si>
  <si>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</si>
  <si>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</si>
  <si>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</si>
  <si>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</si>
  <si>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</si>
  <si>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</si>
  <si>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</si>
  <si>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</si>
  <si>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</si>
  <si>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</si>
  <si>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</si>
  <si>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</si>
  <si>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</si>
  <si>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</si>
  <si>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</si>
  <si>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</si>
  <si>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</si>
  <si>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</si>
  <si>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</si>
  <si>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</si>
  <si>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</si>
  <si>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</si>
  <si>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</si>
  <si>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</si>
  <si>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</si>
  <si>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</si>
  <si>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</si>
  <si>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</si>
  <si>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</si>
  <si>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</si>
  <si>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</si>
  <si>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</si>
  <si>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</si>
  <si>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</si>
  <si>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</si>
  <si>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</si>
  <si>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</si>
  <si>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Data Entry - New Adj 07 - Customer Numbers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</si>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</sst>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2610444b_ac84_467d_b48f_93be48ce46b6" textlink="TM1HomeCAP">
      <xdr:nvSpPr>
        <xdr:cNvPr id="2" name="TM1Button_2610444b_ac84_467d_b48f_93be48ce46b6">
          <a:extLst>
            <a:ext uri="{FF2B5EF4-FFF2-40B4-BE49-F238E27FC236}">
              <a16:creationId xmlns:a16="http://schemas.microsoft.com/office/drawing/2014/main" id="{94FA0C6A-84FE-5D7C-0ECF-F3B7811BE100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78EC60-BD5B-4BE2-B679-358161440E3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16ca1034_b885_4ea9_a4ad_b7a9fb784178" textlink="TM1GrpNewAdj99ValidCAP">
      <xdr:nvSpPr>
        <xdr:cNvPr id="3" name="TM1Button_16ca1034_b885_4ea9_a4ad_b7a9fb784178">
          <a:extLst>
            <a:ext uri="{FF2B5EF4-FFF2-40B4-BE49-F238E27FC236}">
              <a16:creationId xmlns:a16="http://schemas.microsoft.com/office/drawing/2014/main" id="{E331FFE4-0174-F008-F70D-B8AA5E489F1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D11E56-0D96-4D05-8262-4B063B8850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fbb1b49c_6a6a_4b4e_974b_565a3582f527" textlink="TM1GrpViewAdj01HeaderCAP">
      <xdr:nvSpPr>
        <xdr:cNvPr id="4" name="TM1Button_fbb1b49c_6a6a_4b4e_974b_565a3582f527">
          <a:extLst>
            <a:ext uri="{FF2B5EF4-FFF2-40B4-BE49-F238E27FC236}">
              <a16:creationId xmlns:a16="http://schemas.microsoft.com/office/drawing/2014/main" id="{BD1D7787-7D12-C985-0C4F-BD4D87C8E24C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89D2337-F5D9-41D7-8920-89FF761A8A5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1a6154cb_e3e1_46e4_a949_df76e52c3e49" textlink="">
      <xdr:nvSpPr>
        <xdr:cNvPr id="5" name="TM1Button_1a6154cb_e3e1_46e4_a949_df76e52c3e49">
          <a:extLst>
            <a:ext uri="{FF2B5EF4-FFF2-40B4-BE49-F238E27FC236}">
              <a16:creationId xmlns:a16="http://schemas.microsoft.com/office/drawing/2014/main" id="{AB7BAA48-DBA2-01D4-D3FA-90187ABF2DA0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5c21c366_4aaa_4a50_a0de_32a083a6ca17" textlink="">
      <xdr:nvSpPr>
        <xdr:cNvPr id="6" name="TM1Button_5c21c366_4aaa_4a50_a0de_32a083a6ca17">
          <a:extLst>
            <a:ext uri="{FF2B5EF4-FFF2-40B4-BE49-F238E27FC236}">
              <a16:creationId xmlns:a16="http://schemas.microsoft.com/office/drawing/2014/main" id="{4CAE865D-0087-5869-3B9F-6E06057DC31A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381000</xdr:colOff>
      <xdr:row>130</xdr:row>
      <xdr:rowOff>28575</xdr:rowOff>
    </xdr:from>
    <xdr:to>
      <xdr:col>15</xdr:col>
      <xdr:colOff>28575</xdr:colOff>
      <xdr:row>130</xdr:row>
      <xdr:rowOff>285750</xdr:rowOff>
    </xdr:to>
    <xdr:sp macro="Sheet6.ExecuteAction_c8417a8d_64e2_4851_96a3_af4ef497e3de" textlink="">
      <xdr:nvSpPr>
        <xdr:cNvPr id="7" name="TM1Button_c8417a8d_64e2_4851_96a3_af4ef497e3de">
          <a:extLst>
            <a:ext uri="{FF2B5EF4-FFF2-40B4-BE49-F238E27FC236}">
              <a16:creationId xmlns:a16="http://schemas.microsoft.com/office/drawing/2014/main" id="{24DA8B68-CFB8-17FD-57F2-DC808D1A89E5}"/>
            </a:ext>
          </a:extLst>
        </xdr:cNvPr>
        <xdr:cNvSpPr txBox="1"/>
      </xdr:nvSpPr>
      <xdr:spPr>
        <a:xfrm>
          <a:off x="538162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7993da71_688d_48c4_9dad_98ac7642bcdf" textlink="">
      <xdr:nvSpPr>
        <xdr:cNvPr id="8" name="TM1Button_7993da71_688d_48c4_9dad_98ac7642bcdf">
          <a:extLst>
            <a:ext uri="{FF2B5EF4-FFF2-40B4-BE49-F238E27FC236}">
              <a16:creationId xmlns:a16="http://schemas.microsoft.com/office/drawing/2014/main" id="{6EFE436F-B934-3560-F2F0-5308FFAACEFA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cf99fc3c_f3ee_4197_bbf4_2bdd3ede13ca" textlink="">
      <xdr:nvSpPr>
        <xdr:cNvPr id="9" name="TM1Button_cf99fc3c_f3ee_4197_bbf4_2bdd3ede13ca">
          <a:extLst>
            <a:ext uri="{FF2B5EF4-FFF2-40B4-BE49-F238E27FC236}">
              <a16:creationId xmlns:a16="http://schemas.microsoft.com/office/drawing/2014/main" id="{67F4EF55-4B63-029F-4856-1D6645D68E35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c7924d5e_907c_4a01_83cb_044ea097300d" textlink="">
      <xdr:nvSpPr>
        <xdr:cNvPr id="10" name="TM1Button_c7924d5e_907c_4a01_83cb_044ea097300d">
          <a:extLst>
            <a:ext uri="{FF2B5EF4-FFF2-40B4-BE49-F238E27FC236}">
              <a16:creationId xmlns:a16="http://schemas.microsoft.com/office/drawing/2014/main" id="{4BE9590F-CC15-AAD1-E96F-EE7C14E68E31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27276602_15ae_4b8a_bd17_6268af9ba345" textlink="TM1AdjIDListCAP">
      <xdr:nvSpPr>
        <xdr:cNvPr id="11" name="TM1Button_27276602_15ae_4b8a_bd17_6268af9ba345">
          <a:extLst>
            <a:ext uri="{FF2B5EF4-FFF2-40B4-BE49-F238E27FC236}">
              <a16:creationId xmlns:a16="http://schemas.microsoft.com/office/drawing/2014/main" id="{E5E76DD5-D342-6C88-656C-9C157E87CF2A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EC6F41-7E53-47A0-8960-BA41F741534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fa586903_8372_415e_82d4_fdb965867467" textlink="TM1GrpNewAdj05AuthCAP">
      <xdr:nvSpPr>
        <xdr:cNvPr id="12" name="TM1Button_fa586903_8372_415e_82d4_fdb965867467">
          <a:extLst>
            <a:ext uri="{FF2B5EF4-FFF2-40B4-BE49-F238E27FC236}">
              <a16:creationId xmlns:a16="http://schemas.microsoft.com/office/drawing/2014/main" id="{62C7AC62-EF6C-CDED-12F1-84F865C7599B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4675B4-15B6-4B4B-A87C-A1564F11D5A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62a7aa36_b980_4c72_b341_6016ed4597d2" textlink="">
      <xdr:nvSpPr>
        <xdr:cNvPr id="13" name="TM1Button_62a7aa36_b980_4c72_b341_6016ed4597d2">
          <a:extLst>
            <a:ext uri="{FF2B5EF4-FFF2-40B4-BE49-F238E27FC236}">
              <a16:creationId xmlns:a16="http://schemas.microsoft.com/office/drawing/2014/main" id="{75AB981A-82B4-09BB-23DE-7AE39D2E4A01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5efd4baf_433c_4702_9950_edad38f2e942" textlink="">
      <xdr:nvSpPr>
        <xdr:cNvPr id="14" name="TM1Button_5efd4baf_433c_4702_9950_edad38f2e942">
          <a:extLst>
            <a:ext uri="{FF2B5EF4-FFF2-40B4-BE49-F238E27FC236}">
              <a16:creationId xmlns:a16="http://schemas.microsoft.com/office/drawing/2014/main" id="{4B8667BA-3C39-D462-0656-C455E75BDED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d82cdd2e_2a57_4f8a_8952_55501384f707" textlink="">
      <xdr:nvSpPr>
        <xdr:cNvPr id="15" name="TM1Button_d82cdd2e_2a57_4f8a_8952_55501384f707">
          <a:extLst>
            <a:ext uri="{FF2B5EF4-FFF2-40B4-BE49-F238E27FC236}">
              <a16:creationId xmlns:a16="http://schemas.microsoft.com/office/drawing/2014/main" id="{E128803A-996E-3B00-6680-D538CA8BCAD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a4484f13_b84f_4d70_b01d_c975807b85f0" textlink="TM1GrpNewAdj98AttachCAP">
      <xdr:nvSpPr>
        <xdr:cNvPr id="16" name="TM1Button_a4484f13_b84f_4d70_b01d_c975807b85f0">
          <a:extLst>
            <a:ext uri="{FF2B5EF4-FFF2-40B4-BE49-F238E27FC236}">
              <a16:creationId xmlns:a16="http://schemas.microsoft.com/office/drawing/2014/main" id="{C0E6A24D-3B0D-5F2F-27C7-53BB3FF0D716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C356AC4-A485-497F-8ECA-9B9106F0E28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60" t="s">
        <v>87</v>
      </c>
      <c r="C11" s="61"/>
      <c r="D11" s="6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83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84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85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86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60" t="s">
        <v>88</v>
      </c>
      <c r="C19" s="61"/>
      <c r="D19" s="6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89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90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91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92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93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94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95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135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60" t="s">
        <v>96</v>
      </c>
      <c r="C29" s="61"/>
      <c r="D29" s="6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97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98</v>
      </c>
      <c r="C31" s="7" t="s">
        <v>113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99</v>
      </c>
      <c r="C32" s="33" t="s">
        <v>100</v>
      </c>
      <c r="D32" s="33" t="s">
        <v>101</v>
      </c>
      <c r="E32" s="33" t="s">
        <v>102</v>
      </c>
      <c r="F32" s="33" t="s">
        <v>103</v>
      </c>
      <c r="G32" s="33" t="s">
        <v>104</v>
      </c>
      <c r="H32" s="33" t="s">
        <v>105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106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107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108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138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109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110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111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112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114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115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293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296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116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117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118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119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60" t="s">
        <v>120</v>
      </c>
      <c r="C52" s="61"/>
      <c r="D52" s="6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89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73</v>
      </c>
      <c r="D54" s="34" t="s">
        <v>121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122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123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124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125</v>
      </c>
      <c r="C58" s="7" t="e" cm="1">
        <f t="array" aca="1" ref="C58" ca="1">TRIM(_xll.DBR($C$53,psUser,$B58,C$54))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126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127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268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269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60" t="s">
        <v>128</v>
      </c>
      <c r="C64" s="61"/>
      <c r="D64" s="6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60" t="s">
        <v>294</v>
      </c>
      <c r="C72" s="61"/>
      <c r="D72" s="6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90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295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6" t="s">
        <v>42</v>
      </c>
      <c r="C79" s="56"/>
      <c r="D79" s="57" t="s">
        <v>43</v>
      </c>
      <c r="E79" s="5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81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>
        <f ca="1">_xll.SUBNM(db_name&amp;":id","",$C$58)</f>
        <v>#NAME?</v>
      </c>
      <c r="G82" s="7" t="s">
        <v>82</v>
      </c>
      <c r="P82" s="15" t="s">
        <v>82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298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42" t="s">
        <v>35</v>
      </c>
      <c r="Q85" s="43"/>
      <c r="R85" s="43" t="e">
        <f ca="1">VLOOKUP(grp_per_display,$P$82:$AA$84,3,FALSE)</f>
        <v>#NAME?</v>
      </c>
      <c r="S85" s="43" t="e">
        <f ca="1">VLOOKUP(grp_per_display,$P$82:$AA$84,4,FALSE)</f>
        <v>#NAME?</v>
      </c>
      <c r="T85" s="43" t="e">
        <f ca="1">VLOOKUP(grp_per_display,$P$82:$AA$84,5,FALSE)</f>
        <v>#NAME?</v>
      </c>
      <c r="U85" s="43" t="e">
        <f ca="1">VLOOKUP(grp_per_display,$P$82:$AA$84,6,FALSE)</f>
        <v>#NAME?</v>
      </c>
      <c r="V85" s="43" t="e">
        <f ca="1">VLOOKUP(grp_per_display,$P$82:$AA$84,7,FALSE)</f>
        <v>#NAME?</v>
      </c>
      <c r="W85" s="43" t="e">
        <f ca="1">VLOOKUP(grp_per_display,$P$82:$AA$84,8,FALSE)</f>
        <v>#NAME?</v>
      </c>
      <c r="X85" s="43" t="e">
        <f ca="1">VLOOKUP(grp_per_display,$P$82:$AA$84,9,FALSE)</f>
        <v>#NAME?</v>
      </c>
      <c r="Y85" s="43" t="e">
        <f ca="1">VLOOKUP(grp_per_display,$P$82:$AA$84,10,FALSE)</f>
        <v>#NAME?</v>
      </c>
      <c r="Z85" s="43" t="e">
        <f ca="1">VLOOKUP(grp_per_display,$P$82:$AA$84,11,FALSE)</f>
        <v>#NAME?</v>
      </c>
      <c r="AA85" s="44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82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58</v>
      </c>
      <c r="D89" s="7"/>
      <c r="E89" s="7"/>
      <c r="P89" s="40" t="s">
        <v>129</v>
      </c>
      <c r="R89" s="26" t="s">
        <v>73</v>
      </c>
      <c r="S89" s="26" t="s">
        <v>73</v>
      </c>
      <c r="T89" s="26" t="s">
        <v>73</v>
      </c>
      <c r="U89" s="26" t="s">
        <v>73</v>
      </c>
      <c r="V89" s="26" t="s">
        <v>73</v>
      </c>
      <c r="W89" s="26" t="s">
        <v>73</v>
      </c>
      <c r="X89" s="26" t="s">
        <v>73</v>
      </c>
      <c r="Y89" s="26" t="s">
        <v>73</v>
      </c>
      <c r="Z89" s="26" t="s">
        <v>73</v>
      </c>
      <c r="AA89" s="26" t="s">
        <v>73</v>
      </c>
    </row>
    <row r="90" spans="2:27" customFormat="1" hidden="1" outlineLevel="1" x14ac:dyDescent="0.25">
      <c r="B90" s="6" t="s">
        <v>130</v>
      </c>
      <c r="C90" s="7" t="s">
        <v>65</v>
      </c>
    </row>
    <row r="91" spans="2:27" customFormat="1" hidden="1" outlineLevel="1" x14ac:dyDescent="0.25"/>
    <row r="92" spans="2:27" customFormat="1" hidden="1" outlineLevel="1" x14ac:dyDescent="0.25">
      <c r="B92" s="56" t="s">
        <v>136</v>
      </c>
      <c r="C92" s="56"/>
    </row>
    <row r="93" spans="2:27" customFormat="1" hidden="1" outlineLevel="1" x14ac:dyDescent="0.25">
      <c r="B93" s="20" t="s">
        <v>137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60" t="s">
        <v>270</v>
      </c>
      <c r="C95" s="61"/>
      <c r="D95" s="62"/>
      <c r="F95" s="63" t="s">
        <v>272</v>
      </c>
      <c r="G95" s="64"/>
      <c r="H95" s="65"/>
    </row>
    <row r="96" spans="2:27" customFormat="1" hidden="1" outlineLevel="1" x14ac:dyDescent="0.25">
      <c r="B96" s="7" t="s">
        <v>271</v>
      </c>
      <c r="C96" s="7" t="e" cm="1">
        <f t="array" aca="1" ref="C96" ca="1">_xll.VIEW(db_name&amp;":}ElementAttributes_account template","!","!")</f>
        <v>#NAME?</v>
      </c>
      <c r="D96" s="7"/>
      <c r="F96" t="s">
        <v>68</v>
      </c>
      <c r="G96" t="e">
        <f ca="1">IF($C$97="",$C$24,"")</f>
        <v>#NAME?</v>
      </c>
    </row>
    <row r="97" spans="2:7" customFormat="1" hidden="1" outlineLevel="1" x14ac:dyDescent="0.25">
      <c r="B97" s="7" t="s">
        <v>59</v>
      </c>
      <c r="C97" s="7" t="e" cm="1">
        <f t="array" aca="1" ref="C97" ca="1">_xll.DBR($C$96,psAccTemp,$B97)</f>
        <v>#NAME?</v>
      </c>
      <c r="D97" s="7"/>
      <c r="F97" t="s">
        <v>69</v>
      </c>
      <c r="G97" t="e">
        <f ca="1">IF($C$98="",$C$25,"")</f>
        <v>#NAME?</v>
      </c>
    </row>
    <row r="98" spans="2:7" customFormat="1" hidden="1" outlineLevel="1" x14ac:dyDescent="0.25">
      <c r="B98" s="7" t="s">
        <v>60</v>
      </c>
      <c r="C98" s="7" t="e" cm="1">
        <f t="array" aca="1" ref="C98" ca="1">_xll.DBR($C$96,psAccTemp,$B98)</f>
        <v>#NAME?</v>
      </c>
      <c r="D98" s="7"/>
    </row>
    <row r="99" spans="2:7" customFormat="1" hidden="1" outlineLevel="1" x14ac:dyDescent="0.25"/>
    <row r="100" spans="2:7" customFormat="1" hidden="1" outlineLevel="1" x14ac:dyDescent="0.25">
      <c r="B100" s="63" t="s">
        <v>273</v>
      </c>
      <c r="C100" s="64"/>
      <c r="D100" s="65"/>
    </row>
    <row r="101" spans="2:7" customFormat="1" hidden="1" outlineLevel="1" x14ac:dyDescent="0.25">
      <c r="B101" s="7" t="s">
        <v>274</v>
      </c>
      <c r="C101" t="e" cm="1">
        <f t="array" aca="1" ref="C101" ca="1">_xll.DIMNM(db_name&amp;":"&amp; psProgDimName,_xll.DIMIX(db_name&amp;":"&amp;psProgDimName,psProg))</f>
        <v>#NAME?</v>
      </c>
    </row>
    <row r="102" spans="2:7" customFormat="1" hidden="1" outlineLevel="1" x14ac:dyDescent="0.25">
      <c r="B102" s="7" t="s">
        <v>275</v>
      </c>
      <c r="C102" t="e">
        <f ca="1">"sys_" &amp;$C$101</f>
        <v>#NAME?</v>
      </c>
    </row>
    <row r="103" spans="2:7" customFormat="1" hidden="1" outlineLevel="1" x14ac:dyDescent="0.25">
      <c r="B103" s="7" t="s">
        <v>276</v>
      </c>
      <c r="C103" t="e">
        <f ca="1">$C$113</f>
        <v>#NAME?</v>
      </c>
    </row>
    <row r="104" spans="2:7" customFormat="1" hidden="1" outlineLevel="1" x14ac:dyDescent="0.25">
      <c r="B104" s="7" t="s">
        <v>297</v>
      </c>
      <c r="C104" t="e" cm="1">
        <f t="array" aca="1" ref="C104" ca="1">_xll.DBSS($C$101,$C$53,psUser,$B$59,C$54)</f>
        <v>#NAME?</v>
      </c>
    </row>
    <row r="105" spans="2:7" customFormat="1" hidden="1" outlineLevel="1" x14ac:dyDescent="0.25">
      <c r="B105" s="7" t="s">
        <v>281</v>
      </c>
      <c r="C105" t="e" cm="1">
        <f t="array" aca="1" ref="C105" ca="1">IF(psAccTemp="",_xll.DBSS($C$103,$C$53,psUser,$B$60,C$54),"")</f>
        <v>#NAME?</v>
      </c>
    </row>
    <row r="106" spans="2:7" customFormat="1" hidden="1" outlineLevel="1" x14ac:dyDescent="0.25">
      <c r="B106" s="7" t="s">
        <v>283</v>
      </c>
      <c r="C106" t="e" cm="1">
        <f t="array" aca="1" ref="C106" ca="1">IF(psRE="",_xll.DBSS($G$96,$C$53,psUser,$B$61,C$54),"")</f>
        <v>#NAME?</v>
      </c>
    </row>
    <row r="107" spans="2:7" customFormat="1" hidden="1" outlineLevel="1" x14ac:dyDescent="0.25">
      <c r="B107" s="7" t="s">
        <v>282</v>
      </c>
      <c r="C107" t="e" cm="1">
        <f t="array" aca="1" ref="C107" ca="1">IF(psJur="",_xll.DBSS($G$97,$C$53,psUser,$B$62,C$54),"")</f>
        <v>#NAME?</v>
      </c>
    </row>
    <row r="108" spans="2:7" customFormat="1" hidden="1" outlineLevel="1" x14ac:dyDescent="0.25"/>
    <row r="109" spans="2:7" customFormat="1" hidden="1" outlineLevel="1" x14ac:dyDescent="0.25">
      <c r="B109" s="63" t="s">
        <v>277</v>
      </c>
      <c r="C109" s="64"/>
      <c r="D109" s="65"/>
    </row>
    <row r="110" spans="2:7" customFormat="1" hidden="1" outlineLevel="1" x14ac:dyDescent="0.25">
      <c r="B110" s="7" t="s">
        <v>278</v>
      </c>
      <c r="C110" s="7" t="e" cm="1">
        <f t="array" aca="1" ref="C110" ca="1">_xll.VIEW(db_name&amp;":AE account template mapping","!","!",$C$111)</f>
        <v>#NAME?</v>
      </c>
    </row>
    <row r="111" spans="2:7" customFormat="1" hidden="1" outlineLevel="1" x14ac:dyDescent="0.25">
      <c r="B111" s="7" t="s">
        <v>129</v>
      </c>
      <c r="C111" s="7" t="e" cm="1">
        <f t="array" aca="1" ref="C111" ca="1">_xll.SUBNM(db_name&amp;":account template measure","","flag")</f>
        <v>#NAME?</v>
      </c>
    </row>
    <row r="112" spans="2:7" customFormat="1" hidden="1" outlineLevel="1" x14ac:dyDescent="0.25">
      <c r="B112" s="7" t="s">
        <v>279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280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131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132</v>
      </c>
      <c r="K123" s="21"/>
      <c r="L123" s="36" t="e">
        <f ca="1">$C$56</f>
        <v>#NAME?</v>
      </c>
      <c r="N123" s="37" t="s">
        <v>76</v>
      </c>
      <c r="O123" s="21"/>
      <c r="P123" s="45" t="e">
        <f ca="1">$C$57</f>
        <v>#NAME?</v>
      </c>
      <c r="R123" s="39" t="s">
        <v>77</v>
      </c>
      <c r="S123" s="58" t="e">
        <f ca="1">$C$86</f>
        <v>#NAME?</v>
      </c>
      <c r="T123" s="59"/>
      <c r="V123" s="39" t="s">
        <v>75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74</v>
      </c>
      <c r="K125" s="21"/>
      <c r="L125" s="46" t="e">
        <f ca="1">$C$81</f>
        <v>#NAME?</v>
      </c>
      <c r="M125" s="47"/>
      <c r="N125" s="47"/>
      <c r="O125" s="47"/>
      <c r="P125" s="48"/>
      <c r="R125" s="39" t="s">
        <v>78</v>
      </c>
      <c r="S125" s="49" t="e">
        <f ca="1">$C$58</f>
        <v>#NAME?</v>
      </c>
      <c r="T125" s="50"/>
    </row>
    <row r="126" spans="2:27" customFormat="1" ht="3" customHeight="1" x14ac:dyDescent="0.25"/>
    <row r="127" spans="2:27" customFormat="1" x14ac:dyDescent="0.25">
      <c r="J127" s="39" t="s">
        <v>133</v>
      </c>
      <c r="L127" s="51" t="e">
        <f ca="1">$D$87</f>
        <v>#NAME?</v>
      </c>
      <c r="M127" s="51"/>
      <c r="N127" s="51"/>
      <c r="R127" s="39" t="s">
        <v>79</v>
      </c>
      <c r="S127" s="51" t="e">
        <f ca="1">$D$88</f>
        <v>#NAME?</v>
      </c>
      <c r="T127" s="51"/>
      <c r="U127" s="51"/>
      <c r="V127" s="51"/>
      <c r="W127" s="51"/>
      <c r="X127" s="51"/>
      <c r="Y127" s="5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59</v>
      </c>
      <c r="E133" s="26" t="s">
        <v>60</v>
      </c>
      <c r="J133" s="27" t="s">
        <v>139</v>
      </c>
      <c r="K133" s="28"/>
      <c r="L133" s="27" t="s">
        <v>61</v>
      </c>
      <c r="M133" s="28"/>
      <c r="N133" s="27" t="s">
        <v>62</v>
      </c>
      <c r="O133" s="28" t="s">
        <v>63</v>
      </c>
      <c r="P133" s="27" t="s">
        <v>64</v>
      </c>
      <c r="U133" s="55" t="s">
        <v>134</v>
      </c>
      <c r="V133" s="55"/>
      <c r="W133" s="55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80</v>
      </c>
      <c r="U134" s="52" t="e" cm="1">
        <f t="array" aca="1" ref="U134" ca="1">_xll.SUBNM(db_name&amp;":sys_period display","","Current")</f>
        <v>#NAME?</v>
      </c>
      <c r="V134" s="53"/>
      <c r="W134" s="54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66</v>
      </c>
      <c r="C137" s="26" t="s">
        <v>67</v>
      </c>
      <c r="D137" s="26" t="s">
        <v>68</v>
      </c>
      <c r="E137" s="26" t="s">
        <v>69</v>
      </c>
      <c r="F137" s="26" t="s">
        <v>70</v>
      </c>
      <c r="G137" s="26" t="s">
        <v>71</v>
      </c>
      <c r="H137" s="26" t="s">
        <v>72</v>
      </c>
      <c r="I137" s="31"/>
      <c r="J137" s="26" t="s">
        <v>299</v>
      </c>
      <c r="K137" s="31"/>
      <c r="L137" s="26" t="s">
        <v>67</v>
      </c>
      <c r="M137" s="31"/>
      <c r="N137" s="26" t="s">
        <v>68</v>
      </c>
      <c r="O137" s="31"/>
      <c r="P137" s="26" t="s">
        <v>69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284</v>
      </c>
    </row>
    <row r="2" spans="1:1" x14ac:dyDescent="0.25">
      <c r="A2" t="s">
        <v>285</v>
      </c>
    </row>
    <row r="3" spans="1:1" x14ac:dyDescent="0.25">
      <c r="A3" t="s">
        <v>286</v>
      </c>
    </row>
    <row r="4" spans="1:1" x14ac:dyDescent="0.25">
      <c r="A4" t="s">
        <v>287</v>
      </c>
    </row>
    <row r="5" spans="1:1" x14ac:dyDescent="0.25">
      <c r="A5" t="s">
        <v>288</v>
      </c>
    </row>
    <row r="6" spans="1:1" x14ac:dyDescent="0.25">
      <c r="A6" t="s">
        <v>289</v>
      </c>
    </row>
    <row r="7" spans="1:1" x14ac:dyDescent="0.25">
      <c r="A7" t="s">
        <v>290</v>
      </c>
    </row>
    <row r="8" spans="1:1" x14ac:dyDescent="0.25">
      <c r="A8" t="s">
        <v>291</v>
      </c>
    </row>
    <row r="9" spans="1:1" x14ac:dyDescent="0.25">
      <c r="A9" t="s">
        <v>292</v>
      </c>
    </row>
    <row r="10" spans="1:1" x14ac:dyDescent="0.25">
      <c r="A10" t="s">
        <v>140</v>
      </c>
    </row>
    <row r="11" spans="1:1" x14ac:dyDescent="0.25">
      <c r="A11" t="s">
        <v>141</v>
      </c>
    </row>
    <row r="12" spans="1:1" x14ac:dyDescent="0.25">
      <c r="A12" t="s">
        <v>142</v>
      </c>
    </row>
    <row r="13" spans="1:1" x14ac:dyDescent="0.25">
      <c r="A13" t="s">
        <v>143</v>
      </c>
    </row>
    <row r="14" spans="1:1" x14ac:dyDescent="0.25">
      <c r="A14" t="s">
        <v>144</v>
      </c>
    </row>
    <row r="15" spans="1:1" x14ac:dyDescent="0.25">
      <c r="A15" t="s">
        <v>145</v>
      </c>
    </row>
    <row r="16" spans="1:1" x14ac:dyDescent="0.25">
      <c r="A16" t="s">
        <v>146</v>
      </c>
    </row>
    <row r="17" spans="1:1" x14ac:dyDescent="0.25">
      <c r="A17" t="s">
        <v>147</v>
      </c>
    </row>
    <row r="18" spans="1:1" x14ac:dyDescent="0.25">
      <c r="A18" t="s">
        <v>148</v>
      </c>
    </row>
    <row r="19" spans="1:1" x14ac:dyDescent="0.25">
      <c r="A19" t="s">
        <v>149</v>
      </c>
    </row>
    <row r="20" spans="1:1" x14ac:dyDescent="0.25">
      <c r="A20" t="s">
        <v>150</v>
      </c>
    </row>
    <row r="21" spans="1:1" x14ac:dyDescent="0.25">
      <c r="A21" t="s">
        <v>151</v>
      </c>
    </row>
    <row r="22" spans="1:1" x14ac:dyDescent="0.25">
      <c r="A22" t="s">
        <v>152</v>
      </c>
    </row>
    <row r="23" spans="1:1" x14ac:dyDescent="0.25">
      <c r="A23" t="s">
        <v>153</v>
      </c>
    </row>
    <row r="24" spans="1:1" x14ac:dyDescent="0.25">
      <c r="A24" t="s">
        <v>154</v>
      </c>
    </row>
    <row r="25" spans="1:1" x14ac:dyDescent="0.25">
      <c r="A25" t="s">
        <v>155</v>
      </c>
    </row>
    <row r="26" spans="1:1" x14ac:dyDescent="0.25">
      <c r="A26" t="s">
        <v>156</v>
      </c>
    </row>
    <row r="27" spans="1:1" x14ac:dyDescent="0.25">
      <c r="A27" t="s">
        <v>157</v>
      </c>
    </row>
    <row r="28" spans="1:1" x14ac:dyDescent="0.25">
      <c r="A28" t="s">
        <v>158</v>
      </c>
    </row>
    <row r="29" spans="1:1" x14ac:dyDescent="0.25">
      <c r="A29" t="s">
        <v>159</v>
      </c>
    </row>
    <row r="30" spans="1:1" x14ac:dyDescent="0.25">
      <c r="A30" t="s">
        <v>160</v>
      </c>
    </row>
    <row r="31" spans="1:1" x14ac:dyDescent="0.25">
      <c r="A31" t="s">
        <v>161</v>
      </c>
    </row>
    <row r="32" spans="1:1" x14ac:dyDescent="0.25">
      <c r="A32" t="s">
        <v>162</v>
      </c>
    </row>
    <row r="33" spans="1:1" x14ac:dyDescent="0.25">
      <c r="A33" t="s">
        <v>163</v>
      </c>
    </row>
    <row r="34" spans="1:1" x14ac:dyDescent="0.25">
      <c r="A34" t="s">
        <v>164</v>
      </c>
    </row>
    <row r="35" spans="1:1" x14ac:dyDescent="0.25">
      <c r="A35" t="s">
        <v>165</v>
      </c>
    </row>
    <row r="36" spans="1:1" x14ac:dyDescent="0.25">
      <c r="A36" t="s">
        <v>166</v>
      </c>
    </row>
    <row r="37" spans="1:1" x14ac:dyDescent="0.25">
      <c r="A37" t="s">
        <v>167</v>
      </c>
    </row>
    <row r="38" spans="1:1" x14ac:dyDescent="0.25">
      <c r="A38" t="s">
        <v>168</v>
      </c>
    </row>
    <row r="39" spans="1:1" x14ac:dyDescent="0.25">
      <c r="A39" t="s">
        <v>169</v>
      </c>
    </row>
    <row r="40" spans="1:1" x14ac:dyDescent="0.25">
      <c r="A40" t="s">
        <v>170</v>
      </c>
    </row>
    <row r="41" spans="1:1" x14ac:dyDescent="0.25">
      <c r="A41" t="s">
        <v>171</v>
      </c>
    </row>
    <row r="42" spans="1:1" x14ac:dyDescent="0.25">
      <c r="A42" t="s">
        <v>172</v>
      </c>
    </row>
    <row r="43" spans="1:1" x14ac:dyDescent="0.25">
      <c r="A43" t="s">
        <v>173</v>
      </c>
    </row>
    <row r="44" spans="1:1" x14ac:dyDescent="0.25">
      <c r="A44" t="s">
        <v>174</v>
      </c>
    </row>
    <row r="45" spans="1:1" x14ac:dyDescent="0.25">
      <c r="A45" t="s">
        <v>175</v>
      </c>
    </row>
    <row r="46" spans="1:1" x14ac:dyDescent="0.25">
      <c r="A46" t="s">
        <v>176</v>
      </c>
    </row>
    <row r="47" spans="1:1" x14ac:dyDescent="0.25">
      <c r="A47" t="s">
        <v>177</v>
      </c>
    </row>
    <row r="48" spans="1:1" x14ac:dyDescent="0.25">
      <c r="A48" t="s">
        <v>178</v>
      </c>
    </row>
    <row r="49" spans="1:1" x14ac:dyDescent="0.25">
      <c r="A49" t="s">
        <v>179</v>
      </c>
    </row>
    <row r="50" spans="1:1" x14ac:dyDescent="0.25">
      <c r="A50" t="s">
        <v>180</v>
      </c>
    </row>
    <row r="51" spans="1:1" x14ac:dyDescent="0.25">
      <c r="A51" t="s">
        <v>181</v>
      </c>
    </row>
    <row r="52" spans="1:1" x14ac:dyDescent="0.25">
      <c r="A52" t="s">
        <v>182</v>
      </c>
    </row>
    <row r="53" spans="1:1" x14ac:dyDescent="0.25">
      <c r="A53" t="s">
        <v>183</v>
      </c>
    </row>
    <row r="54" spans="1:1" x14ac:dyDescent="0.25">
      <c r="A54" t="s">
        <v>184</v>
      </c>
    </row>
    <row r="55" spans="1:1" x14ac:dyDescent="0.25">
      <c r="A55" t="s">
        <v>185</v>
      </c>
    </row>
    <row r="56" spans="1:1" x14ac:dyDescent="0.25">
      <c r="A56" t="s">
        <v>186</v>
      </c>
    </row>
    <row r="57" spans="1:1" x14ac:dyDescent="0.25">
      <c r="A57" t="s">
        <v>187</v>
      </c>
    </row>
    <row r="58" spans="1:1" x14ac:dyDescent="0.25">
      <c r="A58" t="s">
        <v>188</v>
      </c>
    </row>
    <row r="59" spans="1:1" x14ac:dyDescent="0.25">
      <c r="A59" t="s">
        <v>189</v>
      </c>
    </row>
    <row r="60" spans="1:1" x14ac:dyDescent="0.25">
      <c r="A60" t="s">
        <v>190</v>
      </c>
    </row>
    <row r="61" spans="1:1" x14ac:dyDescent="0.25">
      <c r="A61" t="s">
        <v>191</v>
      </c>
    </row>
    <row r="62" spans="1:1" x14ac:dyDescent="0.25">
      <c r="A62" t="s">
        <v>192</v>
      </c>
    </row>
    <row r="63" spans="1:1" x14ac:dyDescent="0.25">
      <c r="A63" t="s">
        <v>193</v>
      </c>
    </row>
    <row r="64" spans="1:1" x14ac:dyDescent="0.25">
      <c r="A64" t="s">
        <v>194</v>
      </c>
    </row>
    <row r="65" spans="1:1" x14ac:dyDescent="0.25">
      <c r="A65" t="s">
        <v>195</v>
      </c>
    </row>
    <row r="66" spans="1:1" x14ac:dyDescent="0.25">
      <c r="A66" t="s">
        <v>196</v>
      </c>
    </row>
    <row r="67" spans="1:1" x14ac:dyDescent="0.25">
      <c r="A67" t="s">
        <v>197</v>
      </c>
    </row>
    <row r="68" spans="1:1" x14ac:dyDescent="0.25">
      <c r="A68" t="s">
        <v>198</v>
      </c>
    </row>
    <row r="69" spans="1:1" x14ac:dyDescent="0.25">
      <c r="A69" t="s">
        <v>199</v>
      </c>
    </row>
    <row r="70" spans="1:1" x14ac:dyDescent="0.25">
      <c r="A70" t="s">
        <v>200</v>
      </c>
    </row>
    <row r="71" spans="1:1" x14ac:dyDescent="0.25">
      <c r="A71" t="s">
        <v>201</v>
      </c>
    </row>
    <row r="72" spans="1:1" x14ac:dyDescent="0.25">
      <c r="A72" t="s">
        <v>202</v>
      </c>
    </row>
    <row r="73" spans="1:1" x14ac:dyDescent="0.25">
      <c r="A73" t="s">
        <v>203</v>
      </c>
    </row>
    <row r="74" spans="1:1" x14ac:dyDescent="0.25">
      <c r="A74" t="s">
        <v>204</v>
      </c>
    </row>
    <row r="75" spans="1:1" x14ac:dyDescent="0.25">
      <c r="A75" t="s">
        <v>205</v>
      </c>
    </row>
    <row r="76" spans="1:1" x14ac:dyDescent="0.25">
      <c r="A76" t="s">
        <v>206</v>
      </c>
    </row>
    <row r="77" spans="1:1" x14ac:dyDescent="0.25">
      <c r="A77" t="s">
        <v>207</v>
      </c>
    </row>
    <row r="78" spans="1:1" x14ac:dyDescent="0.25">
      <c r="A78" t="s">
        <v>208</v>
      </c>
    </row>
    <row r="79" spans="1:1" x14ac:dyDescent="0.25">
      <c r="A79" t="s">
        <v>209</v>
      </c>
    </row>
    <row r="80" spans="1:1" x14ac:dyDescent="0.25">
      <c r="A80" t="s">
        <v>210</v>
      </c>
    </row>
    <row r="81" spans="1:1" x14ac:dyDescent="0.25">
      <c r="A81" t="s">
        <v>211</v>
      </c>
    </row>
    <row r="82" spans="1:1" x14ac:dyDescent="0.25">
      <c r="A82" t="s">
        <v>212</v>
      </c>
    </row>
    <row r="83" spans="1:1" x14ac:dyDescent="0.25">
      <c r="A83" t="s">
        <v>213</v>
      </c>
    </row>
    <row r="84" spans="1:1" x14ac:dyDescent="0.25">
      <c r="A84" t="s">
        <v>214</v>
      </c>
    </row>
    <row r="85" spans="1:1" x14ac:dyDescent="0.25">
      <c r="A85" t="s">
        <v>215</v>
      </c>
    </row>
    <row r="86" spans="1:1" x14ac:dyDescent="0.25">
      <c r="A86" t="s">
        <v>216</v>
      </c>
    </row>
    <row r="87" spans="1:1" x14ac:dyDescent="0.25">
      <c r="A87" t="s">
        <v>217</v>
      </c>
    </row>
    <row r="88" spans="1:1" x14ac:dyDescent="0.25">
      <c r="A88" t="s">
        <v>218</v>
      </c>
    </row>
    <row r="89" spans="1:1" x14ac:dyDescent="0.25">
      <c r="A89" t="s">
        <v>219</v>
      </c>
    </row>
    <row r="90" spans="1:1" x14ac:dyDescent="0.25">
      <c r="A90" t="s">
        <v>220</v>
      </c>
    </row>
    <row r="91" spans="1:1" x14ac:dyDescent="0.25">
      <c r="A91" t="s">
        <v>221</v>
      </c>
    </row>
    <row r="92" spans="1:1" x14ac:dyDescent="0.25">
      <c r="A92" t="s">
        <v>222</v>
      </c>
    </row>
    <row r="93" spans="1:1" x14ac:dyDescent="0.25">
      <c r="A93" t="s">
        <v>223</v>
      </c>
    </row>
    <row r="94" spans="1:1" x14ac:dyDescent="0.25">
      <c r="A94" t="s">
        <v>224</v>
      </c>
    </row>
    <row r="95" spans="1:1" x14ac:dyDescent="0.25">
      <c r="A95" t="s">
        <v>225</v>
      </c>
    </row>
    <row r="96" spans="1:1" x14ac:dyDescent="0.25">
      <c r="A96" t="s">
        <v>226</v>
      </c>
    </row>
    <row r="97" spans="1:1" x14ac:dyDescent="0.25">
      <c r="A97" t="s">
        <v>227</v>
      </c>
    </row>
    <row r="98" spans="1:1" x14ac:dyDescent="0.25">
      <c r="A98" t="s">
        <v>228</v>
      </c>
    </row>
    <row r="99" spans="1:1" x14ac:dyDescent="0.25">
      <c r="A99" t="s">
        <v>229</v>
      </c>
    </row>
    <row r="100" spans="1:1" x14ac:dyDescent="0.25">
      <c r="A100" t="s">
        <v>230</v>
      </c>
    </row>
    <row r="101" spans="1:1" x14ac:dyDescent="0.25">
      <c r="A101" t="s">
        <v>231</v>
      </c>
    </row>
    <row r="102" spans="1:1" x14ac:dyDescent="0.25">
      <c r="A102" t="s">
        <v>232</v>
      </c>
    </row>
    <row r="103" spans="1:1" x14ac:dyDescent="0.25">
      <c r="A103" t="s">
        <v>233</v>
      </c>
    </row>
    <row r="104" spans="1:1" x14ac:dyDescent="0.25">
      <c r="A104" t="s">
        <v>234</v>
      </c>
    </row>
    <row r="105" spans="1:1" x14ac:dyDescent="0.25">
      <c r="A105" t="s">
        <v>235</v>
      </c>
    </row>
    <row r="106" spans="1:1" x14ac:dyDescent="0.25">
      <c r="A106" t="s">
        <v>236</v>
      </c>
    </row>
    <row r="107" spans="1:1" x14ac:dyDescent="0.25">
      <c r="A107" t="s">
        <v>237</v>
      </c>
    </row>
    <row r="108" spans="1:1" x14ac:dyDescent="0.25">
      <c r="A108" t="s">
        <v>238</v>
      </c>
    </row>
    <row r="109" spans="1:1" x14ac:dyDescent="0.25">
      <c r="A109" t="s">
        <v>239</v>
      </c>
    </row>
    <row r="110" spans="1:1" x14ac:dyDescent="0.25">
      <c r="A110" t="s">
        <v>240</v>
      </c>
    </row>
    <row r="111" spans="1:1" x14ac:dyDescent="0.25">
      <c r="A111" t="s">
        <v>241</v>
      </c>
    </row>
    <row r="112" spans="1:1" x14ac:dyDescent="0.25">
      <c r="A112" t="s">
        <v>242</v>
      </c>
    </row>
    <row r="113" spans="1:1" x14ac:dyDescent="0.25">
      <c r="A113" t="s">
        <v>243</v>
      </c>
    </row>
    <row r="114" spans="1:1" x14ac:dyDescent="0.25">
      <c r="A114" t="s">
        <v>244</v>
      </c>
    </row>
    <row r="115" spans="1:1" x14ac:dyDescent="0.25">
      <c r="A115" t="s">
        <v>245</v>
      </c>
    </row>
    <row r="116" spans="1:1" x14ac:dyDescent="0.25">
      <c r="A116" t="s">
        <v>246</v>
      </c>
    </row>
    <row r="117" spans="1:1" x14ac:dyDescent="0.25">
      <c r="A117" t="s">
        <v>247</v>
      </c>
    </row>
    <row r="118" spans="1:1" x14ac:dyDescent="0.25">
      <c r="A118" t="s">
        <v>248</v>
      </c>
    </row>
    <row r="119" spans="1:1" x14ac:dyDescent="0.25">
      <c r="A119" t="s">
        <v>249</v>
      </c>
    </row>
    <row r="120" spans="1:1" x14ac:dyDescent="0.25">
      <c r="A120" t="s">
        <v>250</v>
      </c>
    </row>
    <row r="121" spans="1:1" x14ac:dyDescent="0.25">
      <c r="A121" t="s">
        <v>251</v>
      </c>
    </row>
    <row r="122" spans="1:1" x14ac:dyDescent="0.25">
      <c r="A122" t="s">
        <v>252</v>
      </c>
    </row>
    <row r="123" spans="1:1" x14ac:dyDescent="0.25">
      <c r="A123" t="s">
        <v>253</v>
      </c>
    </row>
    <row r="124" spans="1:1" x14ac:dyDescent="0.25">
      <c r="A124" t="s">
        <v>254</v>
      </c>
    </row>
    <row r="125" spans="1:1" x14ac:dyDescent="0.25">
      <c r="A125" t="s">
        <v>255</v>
      </c>
    </row>
    <row r="126" spans="1:1" x14ac:dyDescent="0.25">
      <c r="A126" t="s">
        <v>256</v>
      </c>
    </row>
    <row r="127" spans="1:1" x14ac:dyDescent="0.25">
      <c r="A127" t="s">
        <v>257</v>
      </c>
    </row>
    <row r="128" spans="1:1" x14ac:dyDescent="0.25">
      <c r="A128" t="s">
        <v>258</v>
      </c>
    </row>
    <row r="129" spans="1:1" x14ac:dyDescent="0.25">
      <c r="A129" t="s">
        <v>259</v>
      </c>
    </row>
    <row r="130" spans="1:1" x14ac:dyDescent="0.25">
      <c r="A130" t="s">
        <v>260</v>
      </c>
    </row>
    <row r="131" spans="1:1" x14ac:dyDescent="0.25">
      <c r="A131" t="s">
        <v>261</v>
      </c>
    </row>
    <row r="132" spans="1:1" x14ac:dyDescent="0.25">
      <c r="A132" t="s">
        <v>262</v>
      </c>
    </row>
    <row r="133" spans="1:1" x14ac:dyDescent="0.25">
      <c r="A133" t="s">
        <v>263</v>
      </c>
    </row>
    <row r="134" spans="1:1" x14ac:dyDescent="0.25">
      <c r="A134" t="s">
        <v>264</v>
      </c>
    </row>
    <row r="135" spans="1:1" x14ac:dyDescent="0.25">
      <c r="A135" t="s">
        <v>265</v>
      </c>
    </row>
    <row r="136" spans="1:1" x14ac:dyDescent="0.25">
      <c r="A136" t="s">
        <v>266</v>
      </c>
    </row>
    <row r="137" spans="1:1" x14ac:dyDescent="0.25">
      <c r="A137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group adj exp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exp'!TM1RPTDATARNG1</vt:lpstr>
      <vt:lpstr>'group adj exp'!TM1RPTFMTIDCOL</vt:lpstr>
      <vt:lpstr>'group adj exp'!TM1RPTFMTRNG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2025-08-11T06:12:41Z</dcterms:modified>
</cp:coreProperties>
</file>