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"/>
    </mc:Choice>
  </mc:AlternateContent>
  <xr:revisionPtr revIDLastSave="0" documentId="8_{3A24952B-9B78-4E7D-890B-D98918189EF4}" xr6:coauthVersionLast="47" xr6:coauthVersionMax="47" xr10:uidLastSave="{00000000-0000-0000-0000-000000000000}"/>
  <bookViews>
    <workbookView xWindow="-4635" yWindow="-21720" windowWidth="38640" windowHeight="21240" xr2:uid="{4AAE87B4-1697-4EA2-8857-8A2554EC5328}"/>
  </bookViews>
  <sheets>
    <sheet name="report" sheetId="1" r:id="rId1"/>
  </sheets>
  <definedNames>
    <definedName name="Acc_display_list">report!$C$56:$C$57</definedName>
    <definedName name="db_name">report!$C$12</definedName>
    <definedName name="Freeze_HERE">report!$B$104</definedName>
    <definedName name="ID" localSheetId="0" hidden="1">"8671019c-c786-4a87-ab94-391f599c9d7a"</definedName>
    <definedName name="psApp">report!$C$27</definedName>
    <definedName name="psHLYear">report!$K$96</definedName>
    <definedName name="psProgDimName">report!$C$23</definedName>
    <definedName name="psUser">report!$C$14</definedName>
    <definedName name="Report_type_table">report!$B$41:$E$42</definedName>
    <definedName name="sys_disprep_list">report!$C$52:$C$53</definedName>
    <definedName name="sys_YN_list">report!$C$54:$C$55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3" localSheetId="0">report!$105:$105</definedName>
    <definedName name="TM1RPTFMTIDCOL" localSheetId="0">report!$B$1:$B$8</definedName>
    <definedName name="TM1RPTFMTRNG" localSheetId="0">report!$J$1:$R$8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20" i="1"/>
  <c r="Q99" i="1"/>
  <c r="C49" i="1"/>
  <c r="C13" i="1"/>
  <c r="R102" i="1"/>
  <c r="Q102" i="1"/>
  <c r="P102" i="1"/>
  <c r="O102" i="1"/>
  <c r="N102" i="1"/>
  <c r="M102" i="1"/>
  <c r="B5" i="1"/>
  <c r="B4" i="1"/>
  <c r="B3" i="1"/>
  <c r="B2" i="1"/>
  <c r="H33" i="1"/>
  <c r="C66" i="1"/>
  <c r="C76" i="1"/>
  <c r="H32" i="1"/>
  <c r="F31" i="1"/>
  <c r="D30" i="1"/>
  <c r="C23" i="1"/>
  <c r="C67" i="1"/>
  <c r="G32" i="1"/>
  <c r="E31" i="1"/>
  <c r="C30" i="1"/>
  <c r="C71" i="1"/>
  <c r="G30" i="1"/>
  <c r="G33" i="1"/>
  <c r="F33" i="1"/>
  <c r="C21" i="1"/>
  <c r="C68" i="1"/>
  <c r="F32" i="1"/>
  <c r="D31" i="1"/>
  <c r="H29" i="1"/>
  <c r="E33" i="1"/>
  <c r="K96" i="1"/>
  <c r="C69" i="1"/>
  <c r="E32" i="1"/>
  <c r="C31" i="1"/>
  <c r="G29" i="1"/>
  <c r="C14" i="1"/>
  <c r="D33" i="1"/>
  <c r="C22" i="1"/>
  <c r="C70" i="1"/>
  <c r="D32" i="1"/>
  <c r="H30" i="1"/>
  <c r="F29" i="1"/>
  <c r="C15" i="1"/>
  <c r="C33" i="1"/>
  <c r="K97" i="1"/>
  <c r="C32" i="1"/>
  <c r="E29" i="1"/>
  <c r="N98" i="1"/>
  <c r="K98" i="1"/>
  <c r="C72" i="1"/>
  <c r="N96" i="1"/>
  <c r="H31" i="1"/>
  <c r="F30" i="1"/>
  <c r="D29" i="1"/>
  <c r="N97" i="1"/>
  <c r="C16" i="1"/>
  <c r="C65" i="1"/>
  <c r="C75" i="1"/>
  <c r="G31" i="1"/>
  <c r="E30" i="1"/>
  <c r="C29" i="1"/>
  <c r="B105" i="1"/>
  <c r="C59" i="1" l="1"/>
  <c r="C43" i="1"/>
  <c r="C58" i="1"/>
  <c r="C17" i="1"/>
  <c r="M19" i="1"/>
  <c r="C36" i="1"/>
  <c r="P20" i="1"/>
  <c r="M20" i="1"/>
  <c r="Q20" i="1"/>
  <c r="N20" i="1"/>
  <c r="R20" i="1"/>
  <c r="O20" i="1"/>
  <c r="K99" i="1"/>
  <c r="L105" i="1"/>
  <c r="K105" i="1"/>
  <c r="C41" i="1" l="1"/>
  <c r="C42" i="1"/>
  <c r="C39" i="1" s="1"/>
  <c r="O101" i="1"/>
  <c r="R101" i="1"/>
  <c r="N101" i="1"/>
  <c r="Q101" i="1"/>
  <c r="M101" i="1"/>
  <c r="P101" i="1"/>
  <c r="J105" i="1"/>
  <c r="O105" i="1"/>
  <c r="P105" i="1"/>
  <c r="Q105" i="1"/>
  <c r="R105" i="1"/>
  <c r="M105" i="1"/>
  <c r="N105" i="1"/>
</calcChain>
</file>

<file path=xl/sharedStrings.xml><?xml version="1.0" encoding="utf-8"?>
<sst xmlns="http://schemas.openxmlformats.org/spreadsheetml/2006/main" count="105" uniqueCount="96">
  <si>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</si>
  <si>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</si>
  <si>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</si>
  <si>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</si>
  <si>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</si>
  <si>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</si>
  <si>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</si>
  <si>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</si>
  <si>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</si>
  <si>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</si>
  <si>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</si>
  <si>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id</t>
  </si>
  <si>
    <t>jurisdiction</t>
  </si>
  <si>
    <t>D</t>
  </si>
  <si>
    <t>N</t>
  </si>
  <si>
    <t>[Begin Format Range]</t>
  </si>
  <si>
    <t>[End Format Range]</t>
  </si>
  <si>
    <t>Appropriation Item</t>
  </si>
  <si>
    <t>Programme</t>
  </si>
  <si>
    <t>period</t>
  </si>
  <si>
    <t>Acc MDX</t>
  </si>
  <si>
    <t>{TM1SORT( {TM1FILTERBYLEVEL( {TM1DRILLDOWNMEMBER( {[appropriation item].[200],[300]}, ALL, RECURSIVE )}, 0)}, ASC)}</t>
  </si>
  <si>
    <t>Prog MDX</t>
  </si>
  <si>
    <t>code and description</t>
  </si>
  <si>
    <t>Summary</t>
  </si>
  <si>
    <t>Yes</t>
  </si>
  <si>
    <t>sys_disprep_list</t>
  </si>
  <si>
    <t>Detail</t>
  </si>
  <si>
    <t>No</t>
  </si>
  <si>
    <t>sys_YN_list</t>
  </si>
  <si>
    <t>Acc_Display_list</t>
  </si>
  <si>
    <t>Code and description</t>
  </si>
  <si>
    <t>description</t>
  </si>
  <si>
    <t>Supress Zero Flag</t>
  </si>
  <si>
    <t>Expand Above Flag</t>
  </si>
  <si>
    <t>Approp Item MDX</t>
  </si>
  <si>
    <t>{TM1FILTERBYPATTERN( {TM1SUBSETALL( [appropriation item] )}, "Total approp item")}</t>
  </si>
  <si>
    <t>Report type table for Prog MDX:</t>
  </si>
  <si>
    <t>Report Type table for Approp Item MDX:</t>
  </si>
  <si>
    <t>RB</t>
  </si>
  <si>
    <t>PA</t>
  </si>
  <si>
    <t>NB</t>
  </si>
  <si>
    <t>FE2</t>
  </si>
  <si>
    <t>$'000</t>
  </si>
  <si>
    <t>FE1</t>
  </si>
  <si>
    <t>FE3</t>
  </si>
  <si>
    <t>Freeze Rows HERE</t>
  </si>
  <si>
    <t>{TM1DRILLDOWNMEMBER( {[account].[9000851].Children}, ALL, RECURSIVE )}</t>
  </si>
  <si>
    <t>Account Display  :</t>
  </si>
  <si>
    <t>Report Type  :</t>
  </si>
  <si>
    <t>System Parameters</t>
  </si>
  <si>
    <t>Dataabase Name</t>
  </si>
  <si>
    <t>}Clients</t>
  </si>
  <si>
    <t>TM1 User</t>
  </si>
  <si>
    <t>}TM1_DefaultDisplayValue</t>
  </si>
  <si>
    <t>GEUS User Name</t>
  </si>
  <si>
    <t>Current User</t>
  </si>
  <si>
    <t xml:space="preserve">System Variables </t>
  </si>
  <si>
    <t>VIEW</t>
  </si>
  <si>
    <t>headline scenario</t>
  </si>
  <si>
    <t>program dimension name</t>
  </si>
  <si>
    <t>Active Form AE Adjustments</t>
  </si>
  <si>
    <t>Active Form View</t>
  </si>
  <si>
    <t>Slice View</t>
  </si>
  <si>
    <t>{TM1DRILLDOWNMEMBER( {TM1FILTERBYPATTERN( {TM1SUBSETALL( [account] )}, "9000851")}, ALL, RECURSIVE )}</t>
  </si>
  <si>
    <t>Report Headers AE Adjustment</t>
  </si>
  <si>
    <t>Summary/Collapse</t>
  </si>
  <si>
    <t>Detail/Expand</t>
  </si>
  <si>
    <t>Special Accounts</t>
  </si>
  <si>
    <t>REPORT PARAMETERS</t>
  </si>
  <si>
    <t>DISPLAY SETTINGS</t>
  </si>
  <si>
    <t>Expand Above:</t>
  </si>
  <si>
    <t>Suppress Zero:</t>
  </si>
  <si>
    <t>Headline Year :</t>
  </si>
  <si>
    <t>Scenario :</t>
  </si>
  <si>
    <t>Program :</t>
  </si>
  <si>
    <t>Status :</t>
  </si>
  <si>
    <t>sys_application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</si>
  <si>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</si>
  <si>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</si>
  <si>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</si>
  <si>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</si>
  <si>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</si>
  <si>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</si>
  <si>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</si>
  <si>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</si>
  <si>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</si>
  <si>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</si>
  <si>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</si>
  <si>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Reports - Special Accounts</t>
  </si>
  <si>
    <t>As at</t>
  </si>
  <si>
    <t>PROGRAM</t>
  </si>
  <si>
    <t>APPROPRIATION ITEM</t>
  </si>
  <si>
    <t>ACCOUNT</t>
  </si>
  <si>
    <t>Homepage - Reports - Analytical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</si>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</sst>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[Red]_(* \(#,##0\);_(* &quot;-&quot;??_);_(@_)"/>
    <numFmt numFmtId="165" formatCode="_(* #,##0.00_);_(* \(#,##0.00\);_(* &quot;-&quot;??_);_(@_)"/>
    <numFmt numFmtId="166" formatCode="&quot;+ &quot;@"/>
    <numFmt numFmtId="167" formatCode="dd\ mmmm\ yyyy\ h: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74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 applyFont="1" applyAlignment="1">
      <alignment horizontal="right" indent="2"/>
    </xf>
    <xf numFmtId="0" fontId="7" fillId="0" borderId="0" xfId="1" applyFont="1" applyAlignment="1">
      <alignment horizontal="right" wrapText="1" inden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2" borderId="0" xfId="0" applyFont="1" applyFill="1"/>
    <xf numFmtId="0" fontId="2" fillId="0" borderId="0" xfId="0" applyFont="1" applyAlignment="1">
      <alignment vertical="top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0" fillId="3" borderId="0" xfId="0" applyFill="1"/>
    <xf numFmtId="164" fontId="5" fillId="2" borderId="1" xfId="2" applyNumberFormat="1" applyFont="1" applyFill="1" applyBorder="1"/>
    <xf numFmtId="164" fontId="5" fillId="4" borderId="1" xfId="2" applyNumberFormat="1" applyFont="1" applyFill="1" applyBorder="1"/>
    <xf numFmtId="164" fontId="2" fillId="0" borderId="1" xfId="2" applyNumberFormat="1" applyFont="1" applyBorder="1"/>
    <xf numFmtId="0" fontId="5" fillId="2" borderId="1" xfId="0" applyFont="1" applyFill="1" applyBorder="1"/>
    <xf numFmtId="0" fontId="5" fillId="4" borderId="1" xfId="0" applyFont="1" applyFill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left" indent="1"/>
    </xf>
    <xf numFmtId="0" fontId="8" fillId="0" borderId="1" xfId="0" applyFont="1" applyBorder="1"/>
    <xf numFmtId="0" fontId="2" fillId="0" borderId="1" xfId="0" applyFont="1" applyBorder="1" applyAlignment="1">
      <alignment wrapText="1"/>
    </xf>
    <xf numFmtId="0" fontId="10" fillId="0" borderId="0" xfId="0" applyFont="1"/>
    <xf numFmtId="0" fontId="10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166" fontId="8" fillId="0" borderId="1" xfId="0" applyNumberFormat="1" applyFont="1" applyBorder="1"/>
    <xf numFmtId="0" fontId="11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indent="1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right" vertical="center"/>
    </xf>
    <xf numFmtId="0" fontId="9" fillId="7" borderId="2" xfId="0" applyFont="1" applyFill="1" applyBorder="1" applyAlignment="1">
      <alignment wrapText="1"/>
    </xf>
    <xf numFmtId="0" fontId="10" fillId="0" borderId="0" xfId="0" applyFont="1" applyAlignment="1">
      <alignment horizontal="right" indent="1"/>
    </xf>
    <xf numFmtId="0" fontId="11" fillId="0" borderId="1" xfId="0" applyFont="1" applyBorder="1" applyAlignment="1" applyProtection="1">
      <alignment horizontal="left" vertical="center" indent="1"/>
      <protection locked="0"/>
    </xf>
    <xf numFmtId="0" fontId="2" fillId="0" borderId="7" xfId="0" applyFont="1" applyBorder="1" applyAlignment="1">
      <alignment wrapText="1"/>
    </xf>
    <xf numFmtId="0" fontId="10" fillId="0" borderId="0" xfId="0" applyFont="1" applyAlignment="1">
      <alignment horizontal="right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67" fontId="10" fillId="0" borderId="0" xfId="0" applyNumberFormat="1" applyFont="1" applyAlignment="1">
      <alignment horizontal="left" indent="1"/>
    </xf>
    <xf numFmtId="0" fontId="9" fillId="7" borderId="2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2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</cellXfs>
  <cellStyles count="3">
    <cellStyle name="Comma 4" xfId="2" xr:uid="{3C456B04-2302-47A1-81B2-CED617570B80}"/>
    <cellStyle name="Normal" xfId="0" builtinId="0"/>
    <cellStyle name="Normal 3" xfId="1" xr:uid="{D6D312E5-FD04-4555-A282-623E66EC5C7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74"/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723900</xdr:colOff>
          <xdr:row>90</xdr:row>
          <xdr:rowOff>38100</xdr:rowOff>
        </xdr:from>
        <xdr:to>
          <xdr:col>17</xdr:col>
          <xdr:colOff>1038225</xdr:colOff>
          <xdr:row>91</xdr:row>
          <xdr:rowOff>295275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91</xdr:row>
          <xdr:rowOff>9525</xdr:rowOff>
        </xdr:from>
        <xdr:to>
          <xdr:col>9</xdr:col>
          <xdr:colOff>666750</xdr:colOff>
          <xdr:row>91</xdr:row>
          <xdr:rowOff>257175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2095500</xdr:colOff>
          <xdr:row>91</xdr:row>
          <xdr:rowOff>9525</xdr:rowOff>
        </xdr:from>
        <xdr:to>
          <xdr:col>11</xdr:col>
          <xdr:colOff>161925</xdr:colOff>
          <xdr:row>91</xdr:row>
          <xdr:rowOff>257175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91</xdr:row>
          <xdr:rowOff>9525</xdr:rowOff>
        </xdr:from>
        <xdr:to>
          <xdr:col>9</xdr:col>
          <xdr:colOff>1828800</xdr:colOff>
          <xdr:row>91</xdr:row>
          <xdr:rowOff>257175</xdr:rowOff>
        </xdr:to>
        <xdr:sp macro="" textlink="">
          <xdr:nvSpPr>
            <xdr:cNvPr id="1032" name="TIButton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1857375</xdr:colOff>
          <xdr:row>91</xdr:row>
          <xdr:rowOff>9525</xdr:rowOff>
        </xdr:from>
        <xdr:to>
          <xdr:col>10</xdr:col>
          <xdr:colOff>495300</xdr:colOff>
          <xdr:row>91</xdr:row>
          <xdr:rowOff>257175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514350</xdr:colOff>
          <xdr:row>91</xdr:row>
          <xdr:rowOff>9525</xdr:rowOff>
        </xdr:from>
        <xdr:to>
          <xdr:col>10</xdr:col>
          <xdr:colOff>2066925</xdr:colOff>
          <xdr:row>91</xdr:row>
          <xdr:rowOff>257175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0</xdr:colOff>
      <xdr:row>0</xdr:row>
      <xdr:rowOff>0</xdr:rowOff>
    </xdr:from>
    <xdr:to>
      <xdr:col>9</xdr:col>
      <xdr:colOff>1849455</xdr:colOff>
      <xdr:row>90</xdr:row>
      <xdr:rowOff>1091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49455" cy="500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D2CA-ED33-4DB3-A7E7-169F8573C526}">
  <sheetPr codeName="Sheet1">
    <outlinePr showOutlineSymbols="0"/>
    <pageSetUpPr fitToPage="1"/>
  </sheetPr>
  <dimension ref="A1:R105"/>
  <sheetViews>
    <sheetView showGridLines="0" tabSelected="1" showOutlineSymbols="0" topLeftCell="I90" zoomScaleNormal="100" workbookViewId="0">
      <pane ySplit="15" topLeftCell="A105" activePane="bottomLeft" state="frozen"/>
      <selection activeCell="I90" sqref="I90"/>
      <selection pane="bottomLeft"/>
    </sheetView>
  </sheetViews>
  <sheetFormatPr defaultColWidth="8.85546875" defaultRowHeight="12" outlineLevelRow="1" outlineLevelCol="1" x14ac:dyDescent="0.2"/>
  <cols>
    <col min="1" max="1" width="2.28515625" style="1" hidden="1" customWidth="1" outlineLevel="1"/>
    <col min="2" max="8" width="20.85546875" style="1" hidden="1" customWidth="1" outlineLevel="1"/>
    <col min="9" max="9" width="0.85546875" style="1" customWidth="1" collapsed="1"/>
    <col min="10" max="10" width="40.7109375" style="4" customWidth="1"/>
    <col min="11" max="11" width="40.7109375" style="1" customWidth="1"/>
    <col min="12" max="12" width="52.7109375" style="1" customWidth="1"/>
    <col min="13" max="18" width="15.7109375" style="1" customWidth="1"/>
    <col min="19" max="16384" width="8.85546875" style="1"/>
  </cols>
  <sheetData>
    <row r="1" spans="2:18" hidden="1" outlineLevel="1" x14ac:dyDescent="0.2">
      <c r="B1" s="1" t="s">
        <v>15</v>
      </c>
    </row>
    <row r="2" spans="2:18" hidden="1" outlineLevel="1" x14ac:dyDescent="0.2">
      <c r="B2" s="1">
        <f>0</f>
        <v>0</v>
      </c>
      <c r="J2" s="20"/>
      <c r="K2" s="20"/>
      <c r="L2" s="20"/>
      <c r="M2" s="17"/>
      <c r="N2" s="17"/>
      <c r="O2" s="17"/>
      <c r="P2" s="17"/>
      <c r="Q2" s="17"/>
      <c r="R2" s="17"/>
    </row>
    <row r="3" spans="2:18" hidden="1" outlineLevel="1" x14ac:dyDescent="0.2">
      <c r="B3" s="1">
        <f>1</f>
        <v>1</v>
      </c>
      <c r="J3" s="21"/>
      <c r="K3" s="21"/>
      <c r="L3" s="21"/>
      <c r="M3" s="18"/>
      <c r="N3" s="18"/>
      <c r="O3" s="18"/>
      <c r="P3" s="18"/>
      <c r="Q3" s="18"/>
      <c r="R3" s="18"/>
    </row>
    <row r="4" spans="2:18" hidden="1" outlineLevel="1" x14ac:dyDescent="0.2">
      <c r="B4" s="1">
        <f>2</f>
        <v>2</v>
      </c>
      <c r="J4" s="22"/>
      <c r="K4" s="22"/>
      <c r="L4" s="22"/>
      <c r="M4" s="19"/>
      <c r="N4" s="19"/>
      <c r="O4" s="19"/>
      <c r="P4" s="19"/>
      <c r="Q4" s="19"/>
      <c r="R4" s="19"/>
    </row>
    <row r="5" spans="2:18" hidden="1" outlineLevel="1" x14ac:dyDescent="0.2">
      <c r="B5" s="1">
        <f>3</f>
        <v>3</v>
      </c>
      <c r="J5" s="22"/>
      <c r="K5" s="22"/>
      <c r="L5" s="22"/>
      <c r="M5" s="19"/>
      <c r="N5" s="19"/>
      <c r="O5" s="19"/>
      <c r="P5" s="19"/>
      <c r="Q5" s="19"/>
      <c r="R5" s="19"/>
    </row>
    <row r="6" spans="2:18" hidden="1" outlineLevel="1" x14ac:dyDescent="0.2">
      <c r="B6" s="1" t="s">
        <v>13</v>
      </c>
      <c r="J6" s="22"/>
      <c r="K6" s="22"/>
      <c r="L6" s="22"/>
      <c r="M6" s="19"/>
      <c r="N6" s="19"/>
      <c r="O6" s="19"/>
      <c r="P6" s="19"/>
      <c r="Q6" s="19"/>
      <c r="R6" s="19"/>
    </row>
    <row r="7" spans="2:18" hidden="1" outlineLevel="1" x14ac:dyDescent="0.2">
      <c r="B7" s="1" t="s">
        <v>14</v>
      </c>
      <c r="J7" s="24"/>
      <c r="K7" s="24"/>
      <c r="L7" s="22"/>
      <c r="M7" s="19"/>
      <c r="N7" s="19"/>
      <c r="O7" s="19"/>
      <c r="P7" s="19"/>
      <c r="Q7" s="19"/>
      <c r="R7" s="19"/>
    </row>
    <row r="8" spans="2:18" hidden="1" outlineLevel="1" x14ac:dyDescent="0.2">
      <c r="B8" s="1" t="s">
        <v>16</v>
      </c>
    </row>
    <row r="9" spans="2:18" hidden="1" outlineLevel="1" x14ac:dyDescent="0.2"/>
    <row r="10" spans="2:18" hidden="1" outlineLevel="1" x14ac:dyDescent="0.2"/>
    <row r="11" spans="2:18" ht="15" hidden="1" outlineLevel="1" x14ac:dyDescent="0.25">
      <c r="B11" s="51" t="s">
        <v>50</v>
      </c>
      <c r="C11" s="51"/>
    </row>
    <row r="12" spans="2:18" hidden="1" outlineLevel="1" x14ac:dyDescent="0.2">
      <c r="B12" s="22" t="s">
        <v>51</v>
      </c>
      <c r="C12" s="22" t="s">
        <v>95</v>
      </c>
    </row>
    <row r="13" spans="2:18" hidden="1" outlineLevel="1" x14ac:dyDescent="0.2">
      <c r="B13" s="22" t="s">
        <v>52</v>
      </c>
      <c r="C13" s="22" t="str">
        <f>_xll.VIEW(db_name&amp;":}ElementAttributes_}Clients","!","!")</f>
        <v>dcceew_geus:}ElementAttributes_}Clients</v>
      </c>
    </row>
    <row r="14" spans="2:18" hidden="1" outlineLevel="1" x14ac:dyDescent="0.2">
      <c r="B14" s="22" t="s">
        <v>53</v>
      </c>
      <c r="C14" s="22" t="str">
        <f ca="1">_xll.TM1USER(db_name)</f>
        <v>RECALC_0_26</v>
      </c>
    </row>
    <row r="15" spans="2:18" hidden="1" outlineLevel="1" x14ac:dyDescent="0.2">
      <c r="B15" s="22" t="s">
        <v>54</v>
      </c>
      <c r="C15" s="22" t="str">
        <f ca="1">_xll.DBR($C$13,$C$14,$B15)</f>
        <v>RECALC_1_33</v>
      </c>
    </row>
    <row r="16" spans="2:18" hidden="1" outlineLevel="1" x14ac:dyDescent="0.2">
      <c r="B16" s="22" t="s">
        <v>55</v>
      </c>
      <c r="C16" s="22" t="str">
        <f ca="1">_xll.DBR($C$13,$C$14,$B16)</f>
        <v>RECALC_1_45</v>
      </c>
    </row>
    <row r="17" spans="2:18" hidden="1" outlineLevel="1" x14ac:dyDescent="0.2">
      <c r="B17" s="22" t="s">
        <v>56</v>
      </c>
      <c r="C17" s="22" t="str">
        <f ca="1">IF(LEFT($C$15,6)="CAM_AD",$C$16,$C$15)</f>
        <v>RECALC_1_33</v>
      </c>
    </row>
    <row r="18" spans="2:18" ht="12.75" hidden="1" outlineLevel="1" thickBot="1" x14ac:dyDescent="0.25"/>
    <row r="19" spans="2:18" ht="15" hidden="1" outlineLevel="1" x14ac:dyDescent="0.25">
      <c r="B19" s="52" t="s">
        <v>57</v>
      </c>
      <c r="C19" s="53"/>
      <c r="M19" s="15" t="str">
        <f ca="1">RIGHT(psHLYear,9)</f>
        <v>CALC_1_21</v>
      </c>
      <c r="N19" s="15"/>
      <c r="O19" s="15"/>
      <c r="P19" s="15"/>
      <c r="Q19" s="15"/>
      <c r="R19" s="15"/>
    </row>
    <row r="20" spans="2:18" ht="15" hidden="1" outlineLevel="1" x14ac:dyDescent="0.25">
      <c r="B20" s="28" t="s">
        <v>58</v>
      </c>
      <c r="C20" s="28" t="str">
        <f>_xll.VIEW(db_name&amp;":}ElementAttributes_variables","!","!")</f>
        <v>dcceew_geus:}ElementAttributes_variables</v>
      </c>
      <c r="M20" s="15" t="e">
        <f ca="1">_xll.DIMNM(db_name&amp;":period",_xll.DIMIX(db_name&amp;":period",$M$19)+M21)</f>
        <v>#VALUE!</v>
      </c>
      <c r="N20" s="15" t="e">
        <f ca="1">_xll.DIMNM(db_name&amp;":period",_xll.DIMIX(db_name&amp;":period",$M$19)+N21)</f>
        <v>#VALUE!</v>
      </c>
      <c r="O20" s="15" t="e">
        <f ca="1">_xll.DIMNM(db_name&amp;":period",_xll.DIMIX(db_name&amp;":period",$M$19)+O21)</f>
        <v>#VALUE!</v>
      </c>
      <c r="P20" s="15" t="e">
        <f ca="1">_xll.DIMNM(db_name&amp;":period",_xll.DIMIX(db_name&amp;":period",$M$19)+P21)</f>
        <v>#VALUE!</v>
      </c>
      <c r="Q20" s="15" t="e">
        <f ca="1">_xll.DIMNM(db_name&amp;":period",_xll.DIMIX(db_name&amp;":period",$M$19)+Q21)</f>
        <v>#VALUE!</v>
      </c>
      <c r="R20" s="15" t="e">
        <f ca="1">_xll.DIMNM(db_name&amp;":period",_xll.DIMIX(db_name&amp;":period",$M$19)+R21)</f>
        <v>#VALUE!</v>
      </c>
    </row>
    <row r="21" spans="2:18" ht="15" hidden="1" outlineLevel="1" x14ac:dyDescent="0.25">
      <c r="B21" s="28" t="s">
        <v>0</v>
      </c>
      <c r="C21" s="28" t="str">
        <f ca="1">_xll.DBR($C$20,$B21,"value")</f>
        <v>RECALC_0_15</v>
      </c>
      <c r="M21" s="15">
        <v>-2</v>
      </c>
      <c r="N21" s="15">
        <v>-1</v>
      </c>
      <c r="O21" s="15">
        <v>0</v>
      </c>
      <c r="P21" s="15">
        <v>1</v>
      </c>
      <c r="Q21" s="15">
        <v>2</v>
      </c>
      <c r="R21" s="15">
        <v>3</v>
      </c>
    </row>
    <row r="22" spans="2:18" ht="15" hidden="1" outlineLevel="1" x14ac:dyDescent="0.25">
      <c r="B22" s="28" t="s">
        <v>59</v>
      </c>
      <c r="C22" s="28" t="str">
        <f ca="1">_xll.DBR($C$20,$B22,"value")</f>
        <v>RECALC_0_28</v>
      </c>
      <c r="J22" s="1"/>
      <c r="M22" s="15" t="s">
        <v>40</v>
      </c>
      <c r="N22" s="15" t="s">
        <v>39</v>
      </c>
      <c r="O22" s="15" t="s">
        <v>41</v>
      </c>
      <c r="P22" s="15" t="s">
        <v>44</v>
      </c>
      <c r="Q22" s="15" t="s">
        <v>42</v>
      </c>
      <c r="R22" s="15" t="s">
        <v>45</v>
      </c>
    </row>
    <row r="23" spans="2:18" ht="15" hidden="1" outlineLevel="1" x14ac:dyDescent="0.25">
      <c r="B23" s="28" t="s">
        <v>60</v>
      </c>
      <c r="C23" s="28" t="str">
        <f ca="1">_xll.DBR($C$20,$B23,"value")</f>
        <v>RECALC_0_6</v>
      </c>
    </row>
    <row r="24" spans="2:18" hidden="1" outlineLevel="1" x14ac:dyDescent="0.2">
      <c r="J24" s="1"/>
    </row>
    <row r="25" spans="2:18" ht="15" hidden="1" outlineLevel="1" x14ac:dyDescent="0.25">
      <c r="B25" s="47" t="s">
        <v>77</v>
      </c>
      <c r="C25" s="48"/>
      <c r="D25" s="49"/>
      <c r="E25"/>
      <c r="F25"/>
      <c r="G25"/>
      <c r="H25"/>
      <c r="J25" s="1"/>
    </row>
    <row r="26" spans="2:18" ht="15" hidden="1" outlineLevel="1" x14ac:dyDescent="0.25">
      <c r="B26" s="27" t="s">
        <v>63</v>
      </c>
      <c r="C26" s="28" t="str">
        <f>_xll.VIEW(db_name&amp;":sys_application","!","!")</f>
        <v>dcceew_geus:sys_application</v>
      </c>
      <c r="D26" s="28"/>
      <c r="E26"/>
      <c r="F26"/>
      <c r="G26"/>
      <c r="H26"/>
      <c r="J26" s="1"/>
    </row>
    <row r="27" spans="2:18" ht="15" hidden="1" outlineLevel="1" x14ac:dyDescent="0.25">
      <c r="B27" s="27" t="s">
        <v>78</v>
      </c>
      <c r="C27" t="s">
        <v>89</v>
      </c>
      <c r="D27" s="28"/>
      <c r="E27"/>
      <c r="F27"/>
      <c r="G27"/>
      <c r="H27"/>
      <c r="J27" s="1"/>
    </row>
    <row r="28" spans="2:18" ht="15" hidden="1" outlineLevel="1" x14ac:dyDescent="0.25">
      <c r="B28" s="28"/>
      <c r="C28" s="27" t="s">
        <v>79</v>
      </c>
      <c r="D28" s="27" t="s">
        <v>80</v>
      </c>
      <c r="E28" s="27" t="s">
        <v>81</v>
      </c>
      <c r="F28" s="27" t="s">
        <v>82</v>
      </c>
      <c r="G28" s="27" t="s">
        <v>83</v>
      </c>
      <c r="H28" s="27" t="s">
        <v>84</v>
      </c>
      <c r="J28" s="1"/>
    </row>
    <row r="29" spans="2:18" ht="15" hidden="1" outlineLevel="1" x14ac:dyDescent="0.25">
      <c r="B29" s="28" t="s">
        <v>85</v>
      </c>
      <c r="C29" s="28" t="str">
        <f ca="1">_xll.DBR($C$26,$B29,C$28)</f>
        <v>RECALC_0_50</v>
      </c>
      <c r="D29" s="28" t="str">
        <f ca="1">_xll.DBR($C$26,$B29,D$28)</f>
        <v>RECALC_0_44</v>
      </c>
      <c r="E29" s="28" t="str">
        <f ca="1">_xll.DBR($C$26,$B29,E$28)</f>
        <v>RECALC_0_37</v>
      </c>
      <c r="F29" s="28" t="str">
        <f ca="1">_xll.DBR($C$26,$B29,F$28)</f>
        <v>RECALC_0_32</v>
      </c>
      <c r="G29" s="28" t="str">
        <f ca="1">_xll.DBR($C$26,$B29,G$28)</f>
        <v>RECALC_0_25</v>
      </c>
      <c r="H29" s="28" t="str">
        <f ca="1">_xll.DBR($C$26,$B29,H$28)</f>
        <v>RECALC_0_19</v>
      </c>
      <c r="J29" s="1"/>
    </row>
    <row r="30" spans="2:18" ht="15" hidden="1" outlineLevel="1" x14ac:dyDescent="0.25">
      <c r="B30" s="28" t="s">
        <v>86</v>
      </c>
      <c r="C30" s="28" t="str">
        <f ca="1">_xll.DBR($C$26,$B30,C$28)</f>
        <v>RECALC_0_10</v>
      </c>
      <c r="D30" s="28" t="str">
        <f ca="1">_xll.DBR($C$26,$B30,D$28)</f>
        <v>RECALC_0_5</v>
      </c>
      <c r="E30" s="28" t="str">
        <f ca="1">_xll.DBR($C$26,$B30,E$28)</f>
        <v>RECALC_0_49</v>
      </c>
      <c r="F30" s="28" t="str">
        <f ca="1">_xll.DBR($C$26,$B30,F$28)</f>
        <v>RECALC_0_43</v>
      </c>
      <c r="G30" s="28" t="str">
        <f ca="1">_xll.DBR($C$26,$B30,G$28)</f>
        <v>RECALC_0_12</v>
      </c>
      <c r="H30" s="28" t="str">
        <f ca="1">_xll.DBR($C$26,$B30,H$28)</f>
        <v>RECALC_0_31</v>
      </c>
      <c r="J30" s="1"/>
    </row>
    <row r="31" spans="2:18" ht="15" hidden="1" outlineLevel="1" x14ac:dyDescent="0.25">
      <c r="B31" s="28" t="s">
        <v>87</v>
      </c>
      <c r="C31" s="28" t="str">
        <f ca="1">_xll.DBR($C$26,$B31,C$28)</f>
        <v>RECALC_0_24</v>
      </c>
      <c r="D31" s="28" t="str">
        <f ca="1">_xll.DBR($C$26,$B31,D$28)</f>
        <v>RECALC_0_18</v>
      </c>
      <c r="E31" s="28" t="str">
        <f ca="1">_xll.DBR($C$26,$B31,E$28)</f>
        <v>RECALC_0_9</v>
      </c>
      <c r="F31" s="28" t="str">
        <f ca="1">_xll.DBR($C$26,$B31,F$28)</f>
        <v>RECALC_0_4</v>
      </c>
      <c r="G31" s="28" t="str">
        <f ca="1">_xll.DBR($C$26,$B31,G$28)</f>
        <v>RECALC_0_48</v>
      </c>
      <c r="H31" s="28" t="str">
        <f ca="1">_xll.DBR($C$26,$B31,H$28)</f>
        <v>RECALC_0_42</v>
      </c>
      <c r="J31" s="1"/>
    </row>
    <row r="32" spans="2:18" ht="15" hidden="1" outlineLevel="1" x14ac:dyDescent="0.25">
      <c r="B32" s="28" t="s">
        <v>88</v>
      </c>
      <c r="C32" s="28" t="str">
        <f ca="1">_xll.DBR($C$26,$B32,C$28)</f>
        <v>RECALC_0_36</v>
      </c>
      <c r="D32" s="28" t="str">
        <f ca="1">_xll.DBR($C$26,$B32,D$28)</f>
        <v>RECALC_0_30</v>
      </c>
      <c r="E32" s="28" t="str">
        <f ca="1">_xll.DBR($C$26,$B32,E$28)</f>
        <v>RECALC_0_23</v>
      </c>
      <c r="F32" s="28" t="str">
        <f ca="1">_xll.DBR($C$26,$B32,F$28)</f>
        <v>RECALC_0_17</v>
      </c>
      <c r="G32" s="28" t="str">
        <f ca="1">_xll.DBR($C$26,$B32,G$28)</f>
        <v>RECALC_0_8</v>
      </c>
      <c r="H32" s="28" t="str">
        <f ca="1">_xll.DBR($C$26,$B32,H$28)</f>
        <v>RECALC_0_3</v>
      </c>
      <c r="J32" s="1"/>
    </row>
    <row r="33" spans="2:10" ht="15" hidden="1" outlineLevel="1" x14ac:dyDescent="0.25">
      <c r="B33" s="28" t="s">
        <v>94</v>
      </c>
      <c r="C33" s="28" t="str">
        <f ca="1">_xll.DBR($C$26,$B33,C$28)</f>
        <v>RECALC_0_34</v>
      </c>
      <c r="D33" s="28" t="str">
        <f ca="1">_xll.DBR($C$26,$B33,D$28)</f>
        <v>RECALC_0_27</v>
      </c>
      <c r="E33" s="28" t="str">
        <f ca="1">_xll.DBR($C$26,$B33,E$28)</f>
        <v>RECALC_0_20</v>
      </c>
      <c r="F33" s="28" t="str">
        <f ca="1">_xll.DBR($C$26,$B33,F$28)</f>
        <v>RECALC_0_14</v>
      </c>
      <c r="G33" s="28" t="str">
        <f ca="1">_xll.DBR($C$26,$B33,G$28)</f>
        <v>RECALC_0_13</v>
      </c>
      <c r="H33" s="28" t="str">
        <f ca="1">_xll.DBR($C$26,$B33,H$28)</f>
        <v>RECALC_0_0</v>
      </c>
      <c r="J33" s="1"/>
    </row>
    <row r="34" spans="2:10" hidden="1" outlineLevel="1" x14ac:dyDescent="0.2">
      <c r="J34" s="1"/>
    </row>
    <row r="35" spans="2:10" ht="15" hidden="1" outlineLevel="1" x14ac:dyDescent="0.25">
      <c r="B35" s="51" t="s">
        <v>61</v>
      </c>
      <c r="C35" s="51"/>
    </row>
    <row r="36" spans="2:10" hidden="1" outlineLevel="1" x14ac:dyDescent="0.2">
      <c r="B36" s="1" t="s">
        <v>62</v>
      </c>
      <c r="C36" s="1" t="str">
        <f ca="1">_xll.TM1RPTVIEW(db_name&amp;":AE adjustments:3",$C$58, _xll.TM1RPTTITLE(db_name&amp;":headline year",$K$96), _xll.TM1RPTTITLE(db_name&amp;":scenario",$K$97), _xll.TM1RPTTITLE(db_name&amp;":status",$K$98), _xll.TM1RPTTITLE(db_name&amp;":outcome",$C$65), _xll.TM1RPTTITLE(db_name&amp;":related entity",$C$66), _xll.TM1RPTTITLE(db_name&amp;":function",$C$67), _xll.TM1RPTTITLE(db_name&amp;":reason",$C$68), _xll.TM1RPTTITLE(db_name&amp;":spp",$C$69), _xll.TM1RPTTITLE(db_name&amp;":measure code",$C$70), _xll.TM1RPTTITLE(db_name&amp;":appropriation type",$C$71), _xll.TM1RPTTITLE(db_name&amp;":movement account",$C$72), _xll.TM1RPTTITLE(db_name&amp;":id",$C$75), _xll.TM1RPTTITLE(db_name&amp;":jurisdiction",$C$76),TM1RPTFMTRNG,TM1RPTFMTIDCOL)</f>
        <v>dcceew_geus:AE adjustments:3</v>
      </c>
    </row>
    <row r="37" spans="2:10" hidden="1" outlineLevel="1" x14ac:dyDescent="0.2">
      <c r="B37" s="1" t="s">
        <v>63</v>
      </c>
    </row>
    <row r="38" spans="2:10" hidden="1" outlineLevel="1" x14ac:dyDescent="0.2"/>
    <row r="39" spans="2:10" hidden="1" outlineLevel="1" x14ac:dyDescent="0.2">
      <c r="B39" s="29" t="s">
        <v>22</v>
      </c>
      <c r="C39" s="22" t="str">
        <f ca="1">IF(N96="Collapse",C41,C42)</f>
        <v>{TM1SORTBYINDEX( {TM1FILTERBYLEVEL( {TM1DRILLDOWNMEMBER( {[RECALC_0_6].[RECALC_1_52]}, ALL, RECURSIVE )}, 0,4)}, DESC)}</v>
      </c>
      <c r="D39" s="22"/>
      <c r="E39" s="22"/>
    </row>
    <row r="40" spans="2:10" ht="24" hidden="1" outlineLevel="1" x14ac:dyDescent="0.2">
      <c r="B40" s="29" t="s">
        <v>37</v>
      </c>
      <c r="C40" s="30"/>
      <c r="D40" s="22"/>
      <c r="E40" s="22"/>
    </row>
    <row r="41" spans="2:10" hidden="1" outlineLevel="1" x14ac:dyDescent="0.2">
      <c r="B41" s="29" t="s">
        <v>66</v>
      </c>
      <c r="C41" s="30" t="str">
        <f ca="1">"{HIERARCHIZE ({["&amp; psProgDimName &amp; "].["&amp;$K$99&amp;"]})}"</f>
        <v>{HIERARCHIZE ({[RECALC_0_6].[RECALC_1_52]})}</v>
      </c>
      <c r="D41" s="22"/>
      <c r="E41" s="22"/>
    </row>
    <row r="42" spans="2:10" hidden="1" outlineLevel="1" x14ac:dyDescent="0.2">
      <c r="B42" s="22" t="s">
        <v>67</v>
      </c>
      <c r="C42" s="30" t="str">
        <f ca="1">"{TM1SORTBYINDEX( {TM1FILTERBYLEVEL( {TM1DRILLDOWNMEMBER( {["&amp; psProgDimName &amp; "].["&amp;$K$99&amp;"]}, ALL, RECURSIVE )}, 0,4)}, DESC)}"</f>
        <v>{TM1SORTBYINDEX( {TM1FILTERBYLEVEL( {TM1DRILLDOWNMEMBER( {[RECALC_0_6].[RECALC_1_52]}, ALL, RECURSIVE )}, 0,4)}, DESC)}</v>
      </c>
      <c r="D42" s="22"/>
      <c r="E42" s="22"/>
    </row>
    <row r="43" spans="2:10" hidden="1" outlineLevel="1" x14ac:dyDescent="0.2">
      <c r="B43" s="29" t="s">
        <v>35</v>
      </c>
      <c r="C43" s="30" t="str">
        <f ca="1">IF(N96="Collapse",C45,C46)</f>
        <v>{TM1SORT( {TM1FILTERBYLEVEL( {TM1DRILLDOWNMEMBER( {[appropriation item].[200],[300]}, ALL, RECURSIVE )}, 0)}, ASC)}</v>
      </c>
      <c r="D43" s="22"/>
      <c r="E43" s="22"/>
    </row>
    <row r="44" spans="2:10" ht="24" hidden="1" outlineLevel="1" x14ac:dyDescent="0.2">
      <c r="B44" s="29" t="s">
        <v>38</v>
      </c>
      <c r="C44" s="30"/>
      <c r="D44" s="22"/>
      <c r="E44" s="22"/>
    </row>
    <row r="45" spans="2:10" hidden="1" outlineLevel="1" x14ac:dyDescent="0.2">
      <c r="B45" s="29" t="s">
        <v>66</v>
      </c>
      <c r="C45" s="30" t="s">
        <v>36</v>
      </c>
      <c r="D45" s="22"/>
      <c r="E45" s="22"/>
    </row>
    <row r="46" spans="2:10" hidden="1" outlineLevel="1" x14ac:dyDescent="0.2">
      <c r="B46" s="22" t="s">
        <v>67</v>
      </c>
      <c r="C46" s="22" t="s">
        <v>21</v>
      </c>
      <c r="D46" s="22"/>
      <c r="E46" s="22"/>
    </row>
    <row r="47" spans="2:10" hidden="1" outlineLevel="1" x14ac:dyDescent="0.2">
      <c r="B47" s="29"/>
      <c r="C47" s="22">
        <v>9000851</v>
      </c>
      <c r="D47" s="22"/>
      <c r="E47" s="22"/>
    </row>
    <row r="48" spans="2:10" hidden="1" outlineLevel="1" x14ac:dyDescent="0.2">
      <c r="B48" s="29" t="s">
        <v>20</v>
      </c>
      <c r="C48" s="22" t="s">
        <v>64</v>
      </c>
      <c r="D48" s="22"/>
      <c r="E48" s="22"/>
    </row>
    <row r="49" spans="2:10" hidden="1" outlineLevel="1" x14ac:dyDescent="0.2">
      <c r="B49" s="25"/>
      <c r="C49" s="22" t="str">
        <f>"{TM1DRILLDOWNMEMBER( {[account].["&amp;C47&amp;"].Children}, ALL, RECURSIVE )}"</f>
        <v>{TM1DRILLDOWNMEMBER( {[account].[9000851].Children}, ALL, RECURSIVE )}</v>
      </c>
      <c r="D49" s="22"/>
      <c r="E49" s="22"/>
    </row>
    <row r="50" spans="2:10" hidden="1" outlineLevel="1" x14ac:dyDescent="0.2">
      <c r="J50" s="1"/>
    </row>
    <row r="51" spans="2:10" ht="12.75" hidden="1" outlineLevel="1" thickBot="1" x14ac:dyDescent="0.25">
      <c r="J51" s="1"/>
    </row>
    <row r="52" spans="2:10" hidden="1" outlineLevel="1" x14ac:dyDescent="0.2">
      <c r="B52" s="8" t="s">
        <v>26</v>
      </c>
      <c r="C52" s="9" t="s">
        <v>24</v>
      </c>
      <c r="J52" s="1"/>
    </row>
    <row r="53" spans="2:10" ht="12.75" hidden="1" outlineLevel="1" thickBot="1" x14ac:dyDescent="0.25">
      <c r="B53" s="10"/>
      <c r="C53" s="11" t="s">
        <v>27</v>
      </c>
      <c r="J53" s="1"/>
    </row>
    <row r="54" spans="2:10" hidden="1" outlineLevel="1" x14ac:dyDescent="0.2">
      <c r="B54" s="8" t="s">
        <v>29</v>
      </c>
      <c r="C54" s="9" t="s">
        <v>25</v>
      </c>
      <c r="J54" s="1"/>
    </row>
    <row r="55" spans="2:10" ht="12.75" hidden="1" outlineLevel="1" thickBot="1" x14ac:dyDescent="0.25">
      <c r="B55" s="10"/>
      <c r="C55" s="11" t="s">
        <v>28</v>
      </c>
      <c r="J55" s="1"/>
    </row>
    <row r="56" spans="2:10" hidden="1" outlineLevel="1" x14ac:dyDescent="0.2">
      <c r="B56" s="8" t="s">
        <v>30</v>
      </c>
      <c r="C56" s="9" t="s">
        <v>31</v>
      </c>
      <c r="J56" s="1"/>
    </row>
    <row r="57" spans="2:10" hidden="1" outlineLevel="1" x14ac:dyDescent="0.2">
      <c r="B57" s="40"/>
      <c r="C57" s="14" t="s">
        <v>32</v>
      </c>
      <c r="J57" s="1"/>
    </row>
    <row r="58" spans="2:10" ht="15" hidden="1" outlineLevel="1" x14ac:dyDescent="0.25">
      <c r="B58" s="22" t="s">
        <v>33</v>
      </c>
      <c r="C58" s="28">
        <f ca="1">IF($N$98="Yes",1,0)</f>
        <v>0</v>
      </c>
      <c r="J58" s="1"/>
    </row>
    <row r="59" spans="2:10" ht="15" hidden="1" outlineLevel="1" x14ac:dyDescent="0.25">
      <c r="B59" s="22" t="s">
        <v>34</v>
      </c>
      <c r="C59" s="28">
        <f ca="1">IF($N$97="Yes",1,0)</f>
        <v>0</v>
      </c>
      <c r="J59" s="1"/>
    </row>
    <row r="60" spans="2:10" hidden="1" outlineLevel="1" x14ac:dyDescent="0.2">
      <c r="J60" s="1"/>
    </row>
    <row r="61" spans="2:10" ht="15" hidden="1" outlineLevel="1" x14ac:dyDescent="0.25">
      <c r="B61" s="51" t="s">
        <v>65</v>
      </c>
      <c r="C61" s="51"/>
      <c r="J61" s="1"/>
    </row>
    <row r="62" spans="2:10" hidden="1" outlineLevel="1" x14ac:dyDescent="0.2">
      <c r="B62" s="5" t="s">
        <v>0</v>
      </c>
      <c r="J62" s="1"/>
    </row>
    <row r="63" spans="2:10" hidden="1" outlineLevel="1" x14ac:dyDescent="0.2">
      <c r="B63" s="5" t="s">
        <v>1</v>
      </c>
      <c r="J63" s="1"/>
    </row>
    <row r="64" spans="2:10" hidden="1" outlineLevel="1" x14ac:dyDescent="0.2">
      <c r="B64" s="5" t="s">
        <v>2</v>
      </c>
      <c r="J64" s="1"/>
    </row>
    <row r="65" spans="2:14" hidden="1" outlineLevel="1" x14ac:dyDescent="0.2">
      <c r="B65" s="5" t="s">
        <v>3</v>
      </c>
      <c r="C65" s="1" t="str">
        <f ca="1">_xll.SUBNM(db_name&amp;":outcome","","Total outcomes")</f>
        <v>RECALC_0_46</v>
      </c>
      <c r="J65" s="1"/>
    </row>
    <row r="66" spans="2:14" hidden="1" outlineLevel="1" x14ac:dyDescent="0.2">
      <c r="B66" s="5" t="s">
        <v>4</v>
      </c>
      <c r="C66" s="1" t="str">
        <f ca="1">_xll.SUBNM(db_name&amp;":related entity","","Total related entity","code and description")</f>
        <v>RECALC_0_1</v>
      </c>
      <c r="J66" s="5"/>
    </row>
    <row r="67" spans="2:14" hidden="1" outlineLevel="1" x14ac:dyDescent="0.2">
      <c r="B67" s="5" t="s">
        <v>5</v>
      </c>
      <c r="C67" s="1" t="str">
        <f ca="1">_xll.SUBNM(db_name&amp;":function","","Total functions")</f>
        <v>RECALC_0_7</v>
      </c>
      <c r="J67" s="5"/>
    </row>
    <row r="68" spans="2:14" hidden="1" outlineLevel="1" x14ac:dyDescent="0.2">
      <c r="B68" s="5" t="s">
        <v>6</v>
      </c>
      <c r="C68" s="1" t="str">
        <f ca="1">_xll.SUBNM(db_name&amp;":reason","","Total reason")</f>
        <v>RECALC_0_16</v>
      </c>
      <c r="J68" s="1"/>
    </row>
    <row r="69" spans="2:14" hidden="1" outlineLevel="1" x14ac:dyDescent="0.2">
      <c r="B69" s="5" t="s">
        <v>7</v>
      </c>
      <c r="C69" s="1" t="str">
        <f ca="1">_xll.SUBNM(db_name&amp;":spp","","Total SPP")</f>
        <v>RECALC_0_22</v>
      </c>
      <c r="J69" s="1"/>
    </row>
    <row r="70" spans="2:14" hidden="1" outlineLevel="1" x14ac:dyDescent="0.2">
      <c r="B70" s="5" t="s">
        <v>8</v>
      </c>
      <c r="C70" s="1" t="str">
        <f ca="1">_xll.SUBNM(db_name&amp;":measure code","","Total Measures","CBMS")</f>
        <v>RECALC_0_29</v>
      </c>
      <c r="J70" s="1"/>
    </row>
    <row r="71" spans="2:14" hidden="1" outlineLevel="1" x14ac:dyDescent="0.2">
      <c r="B71" s="5" t="s">
        <v>9</v>
      </c>
      <c r="C71" s="1" t="str">
        <f ca="1">_xll.SUBNM(db_name&amp;":appropriation type","","Total approp types")</f>
        <v>RECALC_0_11</v>
      </c>
      <c r="J71" s="1"/>
    </row>
    <row r="72" spans="2:14" hidden="1" outlineLevel="1" x14ac:dyDescent="0.2">
      <c r="B72" s="5" t="s">
        <v>10</v>
      </c>
      <c r="C72" s="1" t="str">
        <f ca="1">_xll.SUBNM(db_name&amp;":movement account","","Total movement","code and description")</f>
        <v>RECALC_0_40</v>
      </c>
      <c r="J72" s="1"/>
      <c r="K72" s="13"/>
    </row>
    <row r="73" spans="2:14" hidden="1" outlineLevel="1" x14ac:dyDescent="0.2">
      <c r="B73" s="5" t="s">
        <v>17</v>
      </c>
      <c r="C73" s="12"/>
      <c r="J73" s="1"/>
    </row>
    <row r="74" spans="2:14" hidden="1" outlineLevel="1" x14ac:dyDescent="0.2">
      <c r="B74" s="5" t="s">
        <v>18</v>
      </c>
      <c r="C74" s="12"/>
      <c r="J74" s="1"/>
    </row>
    <row r="75" spans="2:14" hidden="1" outlineLevel="1" x14ac:dyDescent="0.2">
      <c r="B75" s="5" t="s">
        <v>11</v>
      </c>
      <c r="C75" s="1" t="str">
        <f ca="1">_xll.SUBNM(db_name&amp;":id","","Total IDs")</f>
        <v>RECALC_0_47</v>
      </c>
      <c r="J75" s="1"/>
    </row>
    <row r="76" spans="2:14" hidden="1" outlineLevel="1" x14ac:dyDescent="0.2">
      <c r="B76" s="5" t="s">
        <v>12</v>
      </c>
      <c r="C76" s="1" t="str">
        <f ca="1">_xll.SUBNM(db_name&amp;":jurisdiction","","Total jurisdictions")</f>
        <v>RECALC_0_2</v>
      </c>
      <c r="J76" s="1"/>
    </row>
    <row r="77" spans="2:14" hidden="1" outlineLevel="1" x14ac:dyDescent="0.2">
      <c r="B77" s="5" t="s">
        <v>19</v>
      </c>
      <c r="C77" s="12"/>
      <c r="J77" s="1"/>
    </row>
    <row r="78" spans="2:14" hidden="1" outlineLevel="1" x14ac:dyDescent="0.2">
      <c r="J78" s="1"/>
    </row>
    <row r="79" spans="2:14" ht="12.75" hidden="1" outlineLevel="1" x14ac:dyDescent="0.2">
      <c r="B79" s="6" t="s">
        <v>48</v>
      </c>
      <c r="C79" s="50" t="s">
        <v>23</v>
      </c>
      <c r="D79" s="50"/>
      <c r="J79" s="1"/>
      <c r="N79" s="1" t="s">
        <v>47</v>
      </c>
    </row>
    <row r="80" spans="2:14" hidden="1" outlineLevel="1" x14ac:dyDescent="0.2">
      <c r="J80" s="1"/>
    </row>
    <row r="81" spans="9:18" hidden="1" outlineLevel="1" x14ac:dyDescent="0.2">
      <c r="J81" s="1"/>
    </row>
    <row r="82" spans="9:18" hidden="1" outlineLevel="1" x14ac:dyDescent="0.2">
      <c r="J82" s="1"/>
    </row>
    <row r="83" spans="9:18" hidden="1" outlineLevel="1" x14ac:dyDescent="0.2">
      <c r="J83" s="1"/>
    </row>
    <row r="84" spans="9:18" hidden="1" outlineLevel="1" x14ac:dyDescent="0.2">
      <c r="J84" s="1"/>
    </row>
    <row r="85" spans="9:18" hidden="1" outlineLevel="1" x14ac:dyDescent="0.2">
      <c r="J85" s="1"/>
    </row>
    <row r="86" spans="9:18" hidden="1" outlineLevel="1" x14ac:dyDescent="0.2">
      <c r="J86" s="1"/>
    </row>
    <row r="87" spans="9:18" hidden="1" outlineLevel="1" x14ac:dyDescent="0.2">
      <c r="J87" s="1"/>
    </row>
    <row r="88" spans="9:18" hidden="1" outlineLevel="1" x14ac:dyDescent="0.2"/>
    <row r="89" spans="9:18" hidden="1" outlineLevel="1" x14ac:dyDescent="0.2"/>
    <row r="90" spans="9:18" ht="40.15" customHeight="1" collapsed="1" x14ac:dyDescent="0.2">
      <c r="I90" s="36"/>
      <c r="J90" s="36"/>
      <c r="K90" s="36"/>
      <c r="L90" s="36"/>
      <c r="M90" s="36"/>
      <c r="N90" s="36"/>
      <c r="O90" s="36"/>
      <c r="P90" s="36"/>
      <c r="Q90" s="36"/>
      <c r="R90" s="36" t="s">
        <v>68</v>
      </c>
    </row>
    <row r="91" spans="9:18" customFormat="1" ht="4.5" customHeight="1" x14ac:dyDescent="0.25"/>
    <row r="92" spans="9:18" customFormat="1" ht="24" customHeight="1" x14ac:dyDescent="0.25">
      <c r="J92" s="26"/>
    </row>
    <row r="93" spans="9:18" ht="1.5" customHeight="1" x14ac:dyDescent="0.2">
      <c r="I93" s="35"/>
      <c r="J93" s="35"/>
      <c r="K93" s="35"/>
      <c r="L93" s="35"/>
      <c r="M93" s="35"/>
      <c r="N93" s="35"/>
      <c r="O93" s="35"/>
      <c r="P93" s="35"/>
      <c r="Q93" s="35"/>
      <c r="R93" s="35"/>
    </row>
    <row r="94" spans="9:18" ht="4.5" customHeight="1" x14ac:dyDescent="0.2">
      <c r="J94" s="1"/>
    </row>
    <row r="95" spans="9:18" ht="15" x14ac:dyDescent="0.25">
      <c r="J95" s="1"/>
      <c r="K95" s="37" t="s">
        <v>69</v>
      </c>
      <c r="M95" s="45" t="s">
        <v>70</v>
      </c>
      <c r="N95" s="46"/>
    </row>
    <row r="96" spans="9:18" ht="15" x14ac:dyDescent="0.25">
      <c r="J96" s="38" t="s">
        <v>73</v>
      </c>
      <c r="K96" s="39" t="str">
        <f ca="1">_xll.SUBNM(db_name&amp;":headline year","",$C$21)</f>
        <v>RECALC_1_21</v>
      </c>
      <c r="M96" s="38" t="s">
        <v>49</v>
      </c>
      <c r="N96" s="32" t="str">
        <f ca="1">_xll.SUBNM(db_name&amp;":sys_ReportDisplay","","Collapse")</f>
        <v>RECALC_0_41</v>
      </c>
    </row>
    <row r="97" spans="2:18" ht="15" x14ac:dyDescent="0.25">
      <c r="J97" s="38" t="s">
        <v>74</v>
      </c>
      <c r="K97" s="39" t="str">
        <f ca="1">_xll.SUBNM(db_name&amp;":scenario","",$C$22)</f>
        <v>RECALC_1_35</v>
      </c>
      <c r="M97" s="38" t="s">
        <v>71</v>
      </c>
      <c r="N97" s="32" t="str">
        <f ca="1">_xll.SUBNM(db_name&amp;":sys_YesNo","","Yes")</f>
        <v>RECALC_0_38</v>
      </c>
    </row>
    <row r="98" spans="2:18" ht="15" x14ac:dyDescent="0.25">
      <c r="J98" s="38" t="s">
        <v>76</v>
      </c>
      <c r="K98" s="39" t="str">
        <f ca="1">_xll.SUBNM(db_name&amp;":status","","Total approved")</f>
        <v>RECALC_0_39</v>
      </c>
      <c r="M98" s="38" t="s">
        <v>72</v>
      </c>
      <c r="N98" s="32" t="str">
        <f ca="1">_xll.SUBNM(db_name&amp;":sys_YesNo","","Yes")</f>
        <v>RECALC_0_38</v>
      </c>
    </row>
    <row r="99" spans="2:18" ht="15" customHeight="1" x14ac:dyDescent="0.25">
      <c r="J99" s="38" t="s">
        <v>75</v>
      </c>
      <c r="K99" s="39" t="str">
        <f ca="1">_xll.SUBNM(db_name&amp;":"&amp; psProgDimName,"","Administered Programmes","code and description")</f>
        <v>RECALC_1_52</v>
      </c>
      <c r="P99" s="41" t="s">
        <v>90</v>
      </c>
      <c r="Q99" s="44">
        <f ca="1">NOW()</f>
        <v>45630.566984259262</v>
      </c>
      <c r="R99" s="44"/>
    </row>
    <row r="100" spans="2:18" ht="4.5" customHeight="1" x14ac:dyDescent="0.2">
      <c r="J100" s="7"/>
      <c r="K100" s="33"/>
      <c r="L100" s="6"/>
      <c r="M100" s="34"/>
      <c r="N100" s="2"/>
      <c r="O100" s="2"/>
    </row>
    <row r="101" spans="2:18" customFormat="1" ht="15" x14ac:dyDescent="0.25">
      <c r="J101" s="42"/>
      <c r="K101" s="42"/>
      <c r="L101" s="42"/>
      <c r="M101" s="43" t="e">
        <f t="shared" ref="M101:R101" ca="1" si="0">+M20</f>
        <v>#VALUE!</v>
      </c>
      <c r="N101" s="43" t="e">
        <f t="shared" ca="1" si="0"/>
        <v>#VALUE!</v>
      </c>
      <c r="O101" s="43" t="e">
        <f t="shared" ca="1" si="0"/>
        <v>#VALUE!</v>
      </c>
      <c r="P101" s="43" t="e">
        <f t="shared" ca="1" si="0"/>
        <v>#VALUE!</v>
      </c>
      <c r="Q101" s="43" t="e">
        <f t="shared" ca="1" si="0"/>
        <v>#VALUE!</v>
      </c>
      <c r="R101" s="43" t="e">
        <f t="shared" ca="1" si="0"/>
        <v>#VALUE!</v>
      </c>
    </row>
    <row r="102" spans="2:18" customFormat="1" ht="15" x14ac:dyDescent="0.25">
      <c r="J102" s="42"/>
      <c r="K102" s="42"/>
      <c r="L102" s="42"/>
      <c r="M102" s="43" t="str">
        <f t="shared" ref="M102:R102" si="1">+M22</f>
        <v>PA</v>
      </c>
      <c r="N102" s="43" t="str">
        <f t="shared" si="1"/>
        <v>RB</v>
      </c>
      <c r="O102" s="43" t="str">
        <f t="shared" si="1"/>
        <v>NB</v>
      </c>
      <c r="P102" s="43" t="str">
        <f t="shared" si="1"/>
        <v>FE1</v>
      </c>
      <c r="Q102" s="43" t="str">
        <f t="shared" si="1"/>
        <v>FE2</v>
      </c>
      <c r="R102" s="43" t="str">
        <f t="shared" si="1"/>
        <v>FE3</v>
      </c>
    </row>
    <row r="103" spans="2:18" customFormat="1" ht="15" x14ac:dyDescent="0.25">
      <c r="J103" s="42" t="s">
        <v>91</v>
      </c>
      <c r="K103" s="42" t="s">
        <v>92</v>
      </c>
      <c r="L103" s="42" t="s">
        <v>93</v>
      </c>
      <c r="M103" s="43" t="s">
        <v>43</v>
      </c>
      <c r="N103" s="43" t="s">
        <v>43</v>
      </c>
      <c r="O103" s="43" t="s">
        <v>43</v>
      </c>
      <c r="P103" s="43" t="s">
        <v>43</v>
      </c>
      <c r="Q103" s="43" t="s">
        <v>43</v>
      </c>
      <c r="R103" s="43" t="s">
        <v>43</v>
      </c>
    </row>
    <row r="104" spans="2:18" ht="4.5" customHeight="1" x14ac:dyDescent="0.25">
      <c r="B104" s="16" t="s">
        <v>46</v>
      </c>
      <c r="C104"/>
      <c r="D104"/>
      <c r="E104"/>
      <c r="F104"/>
      <c r="G104"/>
      <c r="H104"/>
      <c r="I104"/>
      <c r="M104" s="3"/>
      <c r="N104" s="3"/>
      <c r="O104" s="3"/>
      <c r="P104" s="3"/>
      <c r="Q104" s="3"/>
      <c r="R104" s="3"/>
    </row>
    <row r="105" spans="2:18" x14ac:dyDescent="0.2">
      <c r="B105" s="1" t="e">
        <f ca="1">IF(_xll.TM1RPTELISCONSOLIDATED($L$105,$L105),IF(_xll.TM1RPTELLEV($L$105,$L105)&lt;=3,_xll.TM1RPTELLEV($L$105,$L105),"D"),"N")</f>
        <v>#VALUE!</v>
      </c>
      <c r="J105" s="31" t="str">
        <f ca="1">_xll.TM1RPTROW($C$36,db_name&amp;":"&amp; psProgDimName,"",,"code and description",0,C39)</f>
        <v>pending__Reports - Special Accounts.xlsx:report:TM1RPTDATARNG:3</v>
      </c>
      <c r="K105" s="31" t="str">
        <f ca="1">_xll.TM1RPTROW($C$36,db_name&amp;":appropriation item","",,"code and description",,C43)</f>
        <v>pending__Reports - Special Accounts.xlsx:report:TM1RPTDATARNG:3</v>
      </c>
      <c r="L105" s="23" t="str">
        <f ca="1">_xll.TM1RPTROW($C$36,db_name&amp;":account",,,"code and description",C59,C49)</f>
        <v>pending__Reports - Special Accounts.xlsx:report:TM1RPTDATARNG:3</v>
      </c>
      <c r="M105" s="19" t="e">
        <f ca="1">_xll.DBRW($C$36,$K$96,$K$97,$K$98,$C$65,$C$66,$C$67,$C$68,$C$69,$C$70,$C$71,$C$72,$K105,$J105,$L105,$C$75,$C$76,M$101)</f>
        <v>#VALUE!</v>
      </c>
      <c r="N105" s="19" t="e">
        <f ca="1">_xll.DBRW($C$36,$K$96,$K$97,$K$98,$C$65,$C$66,$C$67,$C$68,$C$69,$C$70,$C$71,$C$72,$K105,$J105,$L105,$C$75,$C$76,N$101)</f>
        <v>#VALUE!</v>
      </c>
      <c r="O105" s="19" t="e">
        <f ca="1">_xll.DBRW($C$36,$K$96,$K$97,$K$98,$C$65,$C$66,$C$67,$C$68,$C$69,$C$70,$C$71,$C$72,$K105,$J105,$L105,$C$75,$C$76,O$101)</f>
        <v>#VALUE!</v>
      </c>
      <c r="P105" s="19" t="e">
        <f ca="1">_xll.DBRW($C$36,$K$96,$K$97,$K$98,$C$65,$C$66,$C$67,$C$68,$C$69,$C$70,$C$71,$C$72,$K105,$J105,$L105,$C$75,$C$76,P$101)</f>
        <v>#VALUE!</v>
      </c>
      <c r="Q105" s="19" t="e">
        <f ca="1">_xll.DBRW($C$36,$K$96,$K$97,$K$98,$C$65,$C$66,$C$67,$C$68,$C$69,$C$70,$C$71,$C$72,$K105,$J105,$L105,$C$75,$C$76,Q$101)</f>
        <v>#VALUE!</v>
      </c>
      <c r="R105" s="19" t="e">
        <f ca="1">_xll.DBRW($C$36,$K$96,$K$97,$K$98,$C$65,$C$66,$C$67,$C$68,$C$69,$C$70,$C$71,$C$72,$K105,$J105,$L105,$C$75,$C$76,R$101)</f>
        <v>#VALUE!</v>
      </c>
    </row>
  </sheetData>
  <sheetProtection sheet="1" objects="1" scenarios="1"/>
  <mergeCells count="8">
    <mergeCell ref="Q99:R99"/>
    <mergeCell ref="M95:N95"/>
    <mergeCell ref="B25:D25"/>
    <mergeCell ref="C79:D79"/>
    <mergeCell ref="B11:C11"/>
    <mergeCell ref="B19:C19"/>
    <mergeCell ref="B35:C35"/>
    <mergeCell ref="B61:C61"/>
  </mergeCells>
  <dataValidations disablePrompts="1" count="1">
    <dataValidation type="list" allowBlank="1" showInputMessage="1" showErrorMessage="1" sqref="C79:D79" xr:uid="{44DA7C18-A966-49B2-B1F3-A38DA421908D}">
      <formula1>Acc_display_list</formula1>
    </dataValidation>
  </dataValidations>
  <pageMargins left="0.70866141732283472" right="0.70866141732283472" top="0.74803149606299213" bottom="0.74803149606299213" header="0.31496062992125984" footer="0.31496062992125984"/>
  <pageSetup paperSize="9" scale="57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3" r:id="rId4" name="TIButton5">
          <controlPr defaultSize="0" print="0" autoLine="0" r:id="rId5">
            <anchor moveWithCells="1" sizeWithCells="1">
              <from>
                <xdr:col>9</xdr:col>
                <xdr:colOff>1857375</xdr:colOff>
                <xdr:row>91</xdr:row>
                <xdr:rowOff>9525</xdr:rowOff>
              </from>
              <to>
                <xdr:col>10</xdr:col>
                <xdr:colOff>495300</xdr:colOff>
                <xdr:row>91</xdr:row>
                <xdr:rowOff>257175</xdr:rowOff>
              </to>
            </anchor>
          </controlPr>
        </control>
      </mc:Choice>
      <mc:Fallback>
        <control shapeId="1033" r:id="rId4" name="TIButton5"/>
      </mc:Fallback>
    </mc:AlternateContent>
    <mc:AlternateContent xmlns:mc="http://schemas.openxmlformats.org/markup-compatibility/2006">
      <mc:Choice Requires="x14">
        <control shapeId="1032" r:id="rId6" name="TIButton1">
          <controlPr defaultSize="0" print="0" autoLine="0" r:id="rId7">
            <anchor moveWithCells="1" sizeWithCells="1">
              <from>
                <xdr:col>9</xdr:col>
                <xdr:colOff>704850</xdr:colOff>
                <xdr:row>91</xdr:row>
                <xdr:rowOff>9525</xdr:rowOff>
              </from>
              <to>
                <xdr:col>9</xdr:col>
                <xdr:colOff>1828800</xdr:colOff>
                <xdr:row>91</xdr:row>
                <xdr:rowOff>257175</xdr:rowOff>
              </to>
            </anchor>
          </controlPr>
        </control>
      </mc:Choice>
      <mc:Fallback>
        <control shapeId="1032" r:id="rId6" name="TIButton1"/>
      </mc:Fallback>
    </mc:AlternateContent>
    <mc:AlternateContent xmlns:mc="http://schemas.openxmlformats.org/markup-compatibility/2006">
      <mc:Choice Requires="x14">
        <control shapeId="1031" r:id="rId8" name="TIButton3">
          <controlPr defaultSize="0" print="0" autoLine="0" r:id="rId9">
            <anchor moveWithCells="1" sizeWithCells="1">
              <from>
                <xdr:col>10</xdr:col>
                <xdr:colOff>2095500</xdr:colOff>
                <xdr:row>91</xdr:row>
                <xdr:rowOff>9525</xdr:rowOff>
              </from>
              <to>
                <xdr:col>11</xdr:col>
                <xdr:colOff>161925</xdr:colOff>
                <xdr:row>91</xdr:row>
                <xdr:rowOff>257175</xdr:rowOff>
              </to>
            </anchor>
          </controlPr>
        </control>
      </mc:Choice>
      <mc:Fallback>
        <control shapeId="1031" r:id="rId8" name="TIButton3"/>
      </mc:Fallback>
    </mc:AlternateContent>
    <mc:AlternateContent xmlns:mc="http://schemas.openxmlformats.org/markup-compatibility/2006">
      <mc:Choice Requires="x14">
        <control shapeId="1030" r:id="rId10" name="TIButton2">
          <controlPr defaultSize="0" print="0" autoLine="0" r:id="rId11">
            <anchor moveWithCells="1" sizeWithCells="1">
              <from>
                <xdr:col>9</xdr:col>
                <xdr:colOff>28575</xdr:colOff>
                <xdr:row>91</xdr:row>
                <xdr:rowOff>9525</xdr:rowOff>
              </from>
              <to>
                <xdr:col>9</xdr:col>
                <xdr:colOff>666750</xdr:colOff>
                <xdr:row>91</xdr:row>
                <xdr:rowOff>257175</xdr:rowOff>
              </to>
            </anchor>
          </controlPr>
        </control>
      </mc:Choice>
      <mc:Fallback>
        <control shapeId="1030" r:id="rId10" name="TIButton2"/>
      </mc:Fallback>
    </mc:AlternateContent>
    <mc:AlternateContent xmlns:mc="http://schemas.openxmlformats.org/markup-compatibility/2006">
      <mc:Choice Requires="x14">
        <control shapeId="1029" r:id="rId12" name="TIButton4">
          <controlPr defaultSize="0" print="0" autoLine="0" r:id="rId13">
            <anchor moveWithCells="1" sizeWithCells="1">
              <from>
                <xdr:col>17</xdr:col>
                <xdr:colOff>723900</xdr:colOff>
                <xdr:row>90</xdr:row>
                <xdr:rowOff>38100</xdr:rowOff>
              </from>
              <to>
                <xdr:col>17</xdr:col>
                <xdr:colOff>1038225</xdr:colOff>
                <xdr:row>91</xdr:row>
                <xdr:rowOff>295275</xdr:rowOff>
              </to>
            </anchor>
          </controlPr>
        </control>
      </mc:Choice>
      <mc:Fallback>
        <control shapeId="1029" r:id="rId12" name="TIButton4"/>
      </mc:Fallback>
    </mc:AlternateContent>
    <mc:AlternateContent xmlns:mc="http://schemas.openxmlformats.org/markup-compatibility/2006">
      <mc:Choice Requires="x14">
        <control shapeId="1034" r:id="rId14" name="TIButton6">
          <controlPr defaultSize="0" print="0" autoLine="0" r:id="rId15">
            <anchor moveWithCells="1" sizeWithCells="1">
              <from>
                <xdr:col>10</xdr:col>
                <xdr:colOff>514350</xdr:colOff>
                <xdr:row>91</xdr:row>
                <xdr:rowOff>9525</xdr:rowOff>
              </from>
              <to>
                <xdr:col>10</xdr:col>
                <xdr:colOff>2066925</xdr:colOff>
                <xdr:row>91</xdr:row>
                <xdr:rowOff>257175</xdr:rowOff>
              </to>
            </anchor>
          </controlPr>
        </control>
      </mc:Choice>
      <mc:Fallback>
        <control shapeId="1034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report</vt:lpstr>
      <vt:lpstr>Acc_display_list</vt:lpstr>
      <vt:lpstr>db_name</vt:lpstr>
      <vt:lpstr>Freeze_HERE</vt:lpstr>
      <vt:lpstr>psApp</vt:lpstr>
      <vt:lpstr>psHLYear</vt:lpstr>
      <vt:lpstr>psProgDimName</vt:lpstr>
      <vt:lpstr>psUser</vt:lpstr>
      <vt:lpstr>Report_type_table</vt:lpstr>
      <vt:lpstr>sys_disprep_list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report!TM1RPTDATARNG3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Khristian Gimena</cp:lastModifiedBy>
  <cp:lastPrinted>2019-09-11T02:46:54Z</cp:lastPrinted>
  <dcterms:created xsi:type="dcterms:W3CDTF">2019-03-07T00:10:17Z</dcterms:created>
  <dcterms:modified xsi:type="dcterms:W3CDTF">2024-12-04T02:38:35Z</dcterms:modified>
</cp:coreProperties>
</file>