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F3D6F745-738F-46C6-A518-CC569DE996A5}" xr6:coauthVersionLast="47" xr6:coauthVersionMax="47" xr10:uidLastSave="{00000000-0000-0000-0000-000000000000}"/>
  <bookViews>
    <workbookView xWindow="57480" yWindow="-1965" windowWidth="29040" windowHeight="15840" xr2:uid="{78B8C818-6103-44F1-B575-3553E9E9F4A1}"/>
  </bookViews>
  <sheets>
    <sheet name="report" sheetId="1" r:id="rId1"/>
  </sheets>
  <definedNames>
    <definedName name="db_name">report!$C$12</definedName>
    <definedName name="psApp">report!$C$29</definedName>
    <definedName name="psUser">report!$C$14</definedName>
    <definedName name="TM1GrpViewAdj01HeaderCAP">report!$D$40</definedName>
    <definedName name="TM1GrpViewAdj01HeaderWB">report!$F$40</definedName>
    <definedName name="TM1GrpViewAdj01HeaderWS">report!$H$40</definedName>
    <definedName name="TM1HomeAdminCAP">report!$D$34</definedName>
    <definedName name="TM1HomeAdminWB">report!$F$34</definedName>
    <definedName name="TM1HomeAdminWS">report!$H$34</definedName>
    <definedName name="TM1HomeAECAP">report!$D$32</definedName>
    <definedName name="TM1HomeAEWB">report!$F$32</definedName>
    <definedName name="TM1HomeAEWS">report!$H$32</definedName>
    <definedName name="TM1HomeCAP">report!$D$31</definedName>
    <definedName name="TM1HomeRepAnalyticalCAP">report!$D$36</definedName>
    <definedName name="TM1HomeRepAnalyticalWB">report!$F$36</definedName>
    <definedName name="TM1HomeRepAnalyticalWS">report!$H$36</definedName>
    <definedName name="TM1HomeRepCAP">report!$D$33</definedName>
    <definedName name="TM1HomeRepOtherCAP">report!$D$35</definedName>
    <definedName name="TM1HomeRepOtherWB">report!$F$35</definedName>
    <definedName name="TM1HomeRepOtherWS">report!$H$35</definedName>
    <definedName name="TM1HomeRepWB">report!$F$33</definedName>
    <definedName name="TM1HomeRepWS">report!$H$33</definedName>
    <definedName name="TM1HomeWB">report!$F$31</definedName>
    <definedName name="TM1HomeWS">report!$H$31</definedName>
    <definedName name="TM1OthRprTBalCAP">report!$D$37</definedName>
    <definedName name="TM1OthRprTBalWB">report!$F$37</definedName>
    <definedName name="TM1OthRprTBalWS">report!$H$37</definedName>
    <definedName name="TM1OthRprTxnByReasonCAP">report!$D$38</definedName>
    <definedName name="TM1OthRprTxnByReasonWB">report!$F$38</definedName>
    <definedName name="TM1OthRprTxnByReasonWS">report!$H$38</definedName>
    <definedName name="TM1REBUILDOPTION">0</definedName>
    <definedName name="TM1RPTDATARNG1" localSheetId="0">report!$93:$93</definedName>
    <definedName name="TM1RPTFMTIDCOL" localSheetId="0">report!$A$1:$A$8</definedName>
    <definedName name="TM1RPTFMTRNG" localSheetId="0">report!$B$1:$AL$8</definedName>
    <definedName name="TM1ViewAdj01HeaderCAP">report!$D$39</definedName>
    <definedName name="TM1ViewAdj01HeaderWB">report!$F$39</definedName>
    <definedName name="TM1ViewAdj01HeaderWS">report!$H$39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 a="1"/>
  <c r="C20" i="1"/>
  <c r="C21" i="1" a="1"/>
  <c r="C21" i="1"/>
  <c r="AA80" i="1" a="1"/>
  <c r="AA80" i="1"/>
  <c r="C22" i="1" a="1"/>
  <c r="C22" i="1"/>
  <c r="AA81" i="1" a="1"/>
  <c r="AA81" i="1"/>
  <c r="C58" i="1"/>
  <c r="C43" i="1" a="1"/>
  <c r="C43" i="1"/>
  <c r="C54" i="1"/>
  <c r="D93" i="1"/>
  <c r="E93" i="1"/>
  <c r="Y93" i="1"/>
  <c r="AA82" i="1" a="1"/>
  <c r="AA86" i="1" a="1"/>
  <c r="C48" i="1" a="1"/>
  <c r="C49" i="1" a="1"/>
  <c r="C50" i="1" a="1"/>
  <c r="AA87" i="1" a="1"/>
  <c r="C53" i="1" a="1"/>
  <c r="AA84" i="1" a="1"/>
  <c r="C51" i="1" a="1"/>
  <c r="AA83" i="1" a="1"/>
  <c r="C52" i="1" a="1"/>
  <c r="AA82" i="1"/>
  <c r="AA86" i="1"/>
  <c r="C48" i="1"/>
  <c r="C49" i="1"/>
  <c r="C50" i="1"/>
  <c r="AA87" i="1"/>
  <c r="C53" i="1"/>
  <c r="AA84" i="1"/>
  <c r="C51" i="1"/>
  <c r="AA83" i="1"/>
  <c r="C52" i="1"/>
  <c r="C44" i="1" a="1"/>
  <c r="C44" i="1"/>
  <c r="AA85" i="1" a="1"/>
  <c r="AA85" i="1"/>
  <c r="B96" i="1"/>
  <c r="AC70" i="1"/>
  <c r="AL71" i="1" a="1"/>
  <c r="AL71" i="1"/>
  <c r="AL92" i="1"/>
  <c r="AL96" i="1" a="1"/>
  <c r="AL96" i="1"/>
  <c r="AK71" i="1" a="1"/>
  <c r="AK71" i="1"/>
  <c r="AK92" i="1"/>
  <c r="AK96" i="1" a="1"/>
  <c r="AK96" i="1"/>
  <c r="AJ71" i="1" a="1"/>
  <c r="AJ71" i="1"/>
  <c r="AJ92" i="1"/>
  <c r="AJ96" i="1" a="1"/>
  <c r="AJ96" i="1"/>
  <c r="AI71" i="1" a="1"/>
  <c r="AI71" i="1"/>
  <c r="AI92" i="1"/>
  <c r="AI96" i="1" a="1"/>
  <c r="AI96" i="1"/>
  <c r="AH71" i="1" a="1"/>
  <c r="AH71" i="1"/>
  <c r="AH92" i="1"/>
  <c r="AH96" i="1" a="1"/>
  <c r="AH96" i="1"/>
  <c r="AG71" i="1" a="1"/>
  <c r="AG71" i="1"/>
  <c r="AG92" i="1"/>
  <c r="AG96" i="1" a="1"/>
  <c r="AG96" i="1"/>
  <c r="AF71" i="1" a="1"/>
  <c r="AF71" i="1"/>
  <c r="AF92" i="1"/>
  <c r="AF96" i="1" a="1"/>
  <c r="AF96" i="1"/>
  <c r="AE71" i="1" a="1"/>
  <c r="AE71" i="1"/>
  <c r="AE92" i="1"/>
  <c r="AE96" i="1" a="1"/>
  <c r="AE96" i="1"/>
  <c r="AL95" i="1"/>
  <c r="AK95" i="1"/>
  <c r="AJ95" i="1"/>
  <c r="AI95" i="1"/>
  <c r="AH95" i="1"/>
  <c r="AG95" i="1"/>
  <c r="AF95" i="1"/>
  <c r="AE95" i="1"/>
  <c r="N95" i="1"/>
  <c r="M95" i="1"/>
  <c r="L95" i="1"/>
  <c r="K95" i="1"/>
  <c r="J95" i="1"/>
  <c r="I95" i="1"/>
  <c r="H95" i="1"/>
  <c r="G95" i="1"/>
  <c r="B90" i="1"/>
  <c r="AL90" i="1" a="1"/>
  <c r="AL90" i="1"/>
  <c r="AK90" i="1" a="1"/>
  <c r="AK90" i="1"/>
  <c r="AJ90" i="1" a="1"/>
  <c r="AJ90" i="1"/>
  <c r="AI90" i="1" a="1"/>
  <c r="AI90" i="1"/>
  <c r="AH90" i="1" a="1"/>
  <c r="AH90" i="1"/>
  <c r="AG90" i="1" a="1"/>
  <c r="AG90" i="1"/>
  <c r="AF90" i="1" a="1"/>
  <c r="AF90" i="1"/>
  <c r="AE90" i="1" a="1"/>
  <c r="AE90" i="1"/>
  <c r="AL89" i="1"/>
  <c r="AK89" i="1"/>
  <c r="AJ89" i="1"/>
  <c r="AI89" i="1"/>
  <c r="AH89" i="1"/>
  <c r="AG89" i="1"/>
  <c r="AF89" i="1"/>
  <c r="AE89" i="1"/>
  <c r="N89" i="1"/>
  <c r="M89" i="1"/>
  <c r="L89" i="1"/>
  <c r="K89" i="1"/>
  <c r="J89" i="1"/>
  <c r="I89" i="1"/>
  <c r="H89" i="1"/>
  <c r="G89" i="1"/>
  <c r="Q93" i="1"/>
  <c r="C61" i="1"/>
  <c r="R93" i="1"/>
  <c r="AB93" i="1"/>
  <c r="C47" i="1"/>
  <c r="C93" i="1"/>
  <c r="AA93" i="1"/>
  <c r="X93" i="1"/>
  <c r="C45" i="1"/>
  <c r="B93" i="1" a="1"/>
  <c r="B93" i="1"/>
  <c r="AL93" i="1" a="1"/>
  <c r="AL93" i="1"/>
  <c r="AK93" i="1" a="1"/>
  <c r="AK93" i="1"/>
  <c r="AJ93" i="1" a="1"/>
  <c r="AJ93" i="1"/>
  <c r="AI93" i="1" a="1"/>
  <c r="AI93" i="1"/>
  <c r="AH93" i="1" a="1"/>
  <c r="AH93" i="1"/>
  <c r="AG93" i="1" a="1"/>
  <c r="AG93" i="1"/>
  <c r="AF93" i="1" a="1"/>
  <c r="AF93" i="1"/>
  <c r="AE93" i="1" a="1"/>
  <c r="AE93" i="1"/>
  <c r="S93" i="1"/>
  <c r="P93" i="1"/>
  <c r="N92" i="1"/>
  <c r="N93" i="1" a="1"/>
  <c r="N93" i="1"/>
  <c r="M92" i="1"/>
  <c r="M93" i="1" a="1"/>
  <c r="M93" i="1"/>
  <c r="L92" i="1"/>
  <c r="L93" i="1" a="1"/>
  <c r="L93" i="1"/>
  <c r="K92" i="1"/>
  <c r="K93" i="1" a="1"/>
  <c r="K93" i="1"/>
  <c r="J92" i="1"/>
  <c r="J93" i="1" a="1"/>
  <c r="J93" i="1"/>
  <c r="I92" i="1"/>
  <c r="I93" i="1" a="1"/>
  <c r="I93" i="1"/>
  <c r="H92" i="1"/>
  <c r="H93" i="1" a="1"/>
  <c r="H93" i="1"/>
  <c r="G92" i="1"/>
  <c r="G93" i="1" a="1"/>
  <c r="G93" i="1"/>
  <c r="AC93" i="1"/>
  <c r="Z93" i="1"/>
  <c r="V93" i="1"/>
  <c r="F93" i="1" a="1"/>
  <c r="F93" i="1"/>
  <c r="U93" i="1"/>
  <c r="C28" i="1" a="1"/>
  <c r="C28" i="1"/>
  <c r="AE9" i="1" a="1"/>
  <c r="AE9" i="1"/>
  <c r="AK87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25" i="1" a="1"/>
  <c r="C25" i="1"/>
  <c r="C24" i="1" a="1"/>
  <c r="C24" i="1"/>
  <c r="C23" i="1" a="1"/>
  <c r="C23" i="1"/>
  <c r="C13" i="1" a="1"/>
  <c r="C13" i="1"/>
  <c r="C14" i="1" a="1"/>
  <c r="C14" i="1"/>
  <c r="C16" i="1" a="1"/>
  <c r="C16" i="1"/>
  <c r="C15" i="1" a="1"/>
  <c r="C15" i="1"/>
  <c r="C17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<sst xmlns="http://schemas.openxmlformats.org/spreadsheetml/2006/main" count="120" uniqueCount="85">
  <si>
    <t>[Begin Format Range]</t>
  </si>
  <si>
    <t>D</t>
  </si>
  <si>
    <t>N</t>
  </si>
  <si>
    <t>[End Format Range]</t>
  </si>
  <si>
    <t>Current HLYear</t>
  </si>
  <si>
    <t>Active Form View</t>
  </si>
  <si>
    <t>Slice View</t>
  </si>
  <si>
    <t>Year</t>
  </si>
  <si>
    <t>Programme MDX</t>
  </si>
  <si>
    <t>Reason MDX</t>
  </si>
  <si>
    <t>{{ EXCEPT( {TM1SUBSETALL( [reason] )}, { [reason].[sys_Total Reason], [reason].[sys_Policy Decisions], [reason].[sys_Economic Parameters], [reason].[sys_Public Dept Interest], [reason].[sys_Program Specific Parameter Variations], [reason].[sys_Other Variations], [reason].[sys_Actuals], [reason].[sys_Other], [reason].[Total changes in price &amp; wage indices], [reason].[Total Program specific - beneficiary or rate changes], [reason].[Total Program Specific - Other], [reason].[CBMS 1 reason codes] }) }, {[reason].[Total reason]}}</t>
  </si>
  <si>
    <t>Related Entity</t>
  </si>
  <si>
    <t>Function</t>
  </si>
  <si>
    <t>SPP</t>
  </si>
  <si>
    <t>Appropriation Item</t>
  </si>
  <si>
    <t>Jurisdiction</t>
  </si>
  <si>
    <t>Appropriation Type</t>
  </si>
  <si>
    <t>Reason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</si>
  <si>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</si>
  <si>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</si>
  <si>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</si>
  <si>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</si>
  <si>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</si>
  <si>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</si>
  <si>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</si>
  <si>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</si>
  <si>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</si>
  <si>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</si>
  <si>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</si>
  <si>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</si>
  <si>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</si>
  <si>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current budget round</t>
  </si>
  <si>
    <t>sys_application</t>
  </si>
  <si>
    <t>Current Workbook</t>
  </si>
  <si>
    <t>Other Reports - Transactions By Reason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</si>
  <si>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</si>
  <si>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</si>
  <si>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</si>
  <si>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</si>
  <si>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</si>
  <si>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</si>
  <si>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</si>
  <si>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</si>
  <si>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</si>
  <si>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</si>
  <si>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Reports - Other</t>
  </si>
  <si>
    <t>Other Reports - Trial Balance</t>
  </si>
  <si>
    <t>Data Entry - View Adj 01 - Header Details</t>
  </si>
  <si>
    <t>Group Data Entry - View Adj 01 - Header Details</t>
  </si>
  <si>
    <t>AE Adjustments</t>
  </si>
  <si>
    <t xml:space="preserve">Headline Year : </t>
  </si>
  <si>
    <t xml:space="preserve">Scenario : </t>
  </si>
  <si>
    <t xml:space="preserve">Status : </t>
  </si>
  <si>
    <t xml:space="preserve">Account : </t>
  </si>
  <si>
    <t xml:space="preserve">Movement Account : </t>
  </si>
  <si>
    <t xml:space="preserve">Program : </t>
  </si>
  <si>
    <t xml:space="preserve">Outcome : </t>
  </si>
  <si>
    <t xml:space="preserve">Measure Code : </t>
  </si>
  <si>
    <t>Period</t>
  </si>
  <si>
    <t>GEUS Sub Program</t>
  </si>
  <si>
    <t>Parent Program</t>
  </si>
  <si>
    <t>REPORT PARAMETERS</t>
  </si>
  <si>
    <t>Homepage - Reports - Analytical</t>
  </si>
  <si>
    <t>{{[reason].[Total reason]},{TM1FILTERBYLEVEL( {TM1SUBSETALL( [reason] )}, 0)},{[reason].[Total reason]}}</t>
  </si>
  <si>
    <t>As at</t>
  </si>
  <si>
    <t>ID</t>
  </si>
  <si>
    <t>Measure</t>
  </si>
  <si>
    <t>AE ID Details</t>
  </si>
  <si>
    <t>Title</t>
  </si>
  <si>
    <t>Measure Code</t>
  </si>
  <si>
    <t>}ElementAttributes_measure code</t>
  </si>
  <si>
    <t>CBMS Code and Description</t>
  </si>
  <si>
    <t>ID Title</t>
  </si>
  <si>
    <t>SubFunction</t>
  </si>
  <si>
    <t xml:space="preserve">ID MDX </t>
  </si>
  <si>
    <t>Reason MDX - 2</t>
  </si>
  <si>
    <t xml:space="preserve">Opening Balance </t>
  </si>
  <si>
    <t>Total Reason</t>
  </si>
  <si>
    <t>00000</t>
  </si>
  <si>
    <t>Total IDs</t>
  </si>
  <si>
    <t xml:space="preserve">Closing Balance </t>
  </si>
  <si>
    <t>Details Movement by Program and Reason Code</t>
  </si>
  <si>
    <t>CBMS ID</t>
  </si>
  <si>
    <t>Note : Click along these columns to view an adjustment.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</si>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</sst>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* \(#,##0\)_-;_-* &quot;-&quot;??_-;_-@_-"/>
    <numFmt numFmtId="166" formatCode="&quot;- &quot;@"/>
    <numFmt numFmtId="167" formatCode="_(* #,##0_);[Red]_(* \(#,##0\);_(* &quot;-&quot;??_);_(@_)"/>
    <numFmt numFmtId="168" formatCode="dd\ mmmm\ yyyy\ h:mm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55">
    <xf numFmtId="0" fontId="0" fillId="0" borderId="0" xfId="0"/>
    <xf numFmtId="0" fontId="2" fillId="0" borderId="1" xfId="0" applyFont="1" applyBorder="1"/>
    <xf numFmtId="165" fontId="4" fillId="0" borderId="0" xfId="1" applyNumberFormat="1" applyFont="1"/>
    <xf numFmtId="0" fontId="0" fillId="0" borderId="1" xfId="0" applyBorder="1"/>
    <xf numFmtId="0" fontId="4" fillId="0" borderId="2" xfId="0" applyFont="1" applyBorder="1"/>
    <xf numFmtId="0" fontId="4" fillId="0" borderId="0" xfId="0" applyFont="1"/>
    <xf numFmtId="0" fontId="4" fillId="0" borderId="0" xfId="0" applyFont="1" applyAlignment="1">
      <alignment horizontal="right" indent="1"/>
    </xf>
    <xf numFmtId="0" fontId="4" fillId="0" borderId="3" xfId="0" applyFont="1" applyBorder="1"/>
    <xf numFmtId="0" fontId="0" fillId="0" borderId="0" xfId="0" quotePrefix="1"/>
    <xf numFmtId="165" fontId="4" fillId="0" borderId="4" xfId="1" applyNumberFormat="1" applyFont="1" applyBorder="1"/>
    <xf numFmtId="0" fontId="0" fillId="0" borderId="4" xfId="0" applyBorder="1"/>
    <xf numFmtId="0" fontId="5" fillId="0" borderId="0" xfId="0" applyFont="1"/>
    <xf numFmtId="0" fontId="6" fillId="3" borderId="0" xfId="0" applyFont="1" applyFill="1"/>
    <xf numFmtId="0" fontId="7" fillId="0" borderId="0" xfId="0" applyFont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8" xfId="0" applyBorder="1"/>
    <xf numFmtId="0" fontId="0" fillId="0" borderId="4" xfId="0" applyBorder="1" applyAlignment="1">
      <alignment horizontal="left"/>
    </xf>
    <xf numFmtId="0" fontId="1" fillId="0" borderId="4" xfId="2" applyBorder="1"/>
    <xf numFmtId="0" fontId="5" fillId="0" borderId="4" xfId="0" applyFont="1" applyBorder="1"/>
    <xf numFmtId="0" fontId="2" fillId="0" borderId="0" xfId="0" applyFont="1" applyAlignment="1">
      <alignment horizontal="right" indent="1"/>
    </xf>
    <xf numFmtId="49" fontId="2" fillId="0" borderId="1" xfId="0" applyNumberFormat="1" applyFont="1" applyBorder="1"/>
    <xf numFmtId="0" fontId="8" fillId="4" borderId="0" xfId="0" applyFont="1" applyFill="1" applyAlignment="1">
      <alignment horizontal="center" vertical="center"/>
    </xf>
    <xf numFmtId="167" fontId="3" fillId="2" borderId="4" xfId="1" applyNumberFormat="1" applyFont="1" applyFill="1" applyBorder="1"/>
    <xf numFmtId="167" fontId="2" fillId="2" borderId="4" xfId="1" applyNumberFormat="1" applyFont="1" applyFill="1" applyBorder="1"/>
    <xf numFmtId="167" fontId="4" fillId="0" borderId="0" xfId="1" applyNumberFormat="1" applyFont="1"/>
    <xf numFmtId="167" fontId="0" fillId="0" borderId="0" xfId="1" applyNumberFormat="1" applyFont="1"/>
    <xf numFmtId="167" fontId="4" fillId="0" borderId="4" xfId="1" applyNumberFormat="1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right" indent="1"/>
    </xf>
    <xf numFmtId="0" fontId="4" fillId="2" borderId="1" xfId="0" applyFont="1" applyFill="1" applyBorder="1"/>
    <xf numFmtId="0" fontId="3" fillId="2" borderId="9" xfId="0" applyFont="1" applyFill="1" applyBorder="1"/>
    <xf numFmtId="0" fontId="3" fillId="2" borderId="9" xfId="0" applyFont="1" applyFill="1" applyBorder="1" applyAlignment="1">
      <alignment horizontal="right" indent="1"/>
    </xf>
    <xf numFmtId="0" fontId="4" fillId="2" borderId="9" xfId="0" applyFont="1" applyFill="1" applyBorder="1"/>
    <xf numFmtId="0" fontId="4" fillId="0" borderId="1" xfId="0" applyFont="1" applyBorder="1"/>
    <xf numFmtId="0" fontId="2" fillId="0" borderId="4" xfId="0" applyFont="1" applyBorder="1" applyAlignment="1">
      <alignment horizontal="right"/>
    </xf>
    <xf numFmtId="0" fontId="9" fillId="4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/>
    <xf numFmtId="166" fontId="4" fillId="2" borderId="1" xfId="0" applyNumberFormat="1" applyFont="1" applyFill="1" applyBorder="1"/>
    <xf numFmtId="0" fontId="4" fillId="0" borderId="4" xfId="0" applyFont="1" applyBorder="1" applyAlignment="1">
      <alignment horizontal="right" indent="1"/>
    </xf>
    <xf numFmtId="0" fontId="4" fillId="0" borderId="4" xfId="0" applyFont="1" applyBorder="1" applyAlignment="1">
      <alignment horizontal="left" indent="1"/>
    </xf>
    <xf numFmtId="0" fontId="4" fillId="0" borderId="4" xfId="0" applyFont="1" applyBorder="1"/>
    <xf numFmtId="0" fontId="2" fillId="0" borderId="0" xfId="0" quotePrefix="1" applyFont="1"/>
    <xf numFmtId="0" fontId="3" fillId="0" borderId="6" xfId="0" applyFont="1" applyBorder="1"/>
    <xf numFmtId="0" fontId="2" fillId="0" borderId="7" xfId="0" applyFont="1" applyBorder="1"/>
    <xf numFmtId="0" fontId="3" fillId="0" borderId="4" xfId="0" applyFont="1" applyBorder="1" applyAlignment="1">
      <alignment horizontal="right"/>
    </xf>
    <xf numFmtId="167" fontId="3" fillId="0" borderId="4" xfId="1" applyNumberFormat="1" applyFont="1" applyBorder="1"/>
    <xf numFmtId="0" fontId="8" fillId="5" borderId="5" xfId="0" applyFont="1" applyFill="1" applyBorder="1"/>
    <xf numFmtId="0" fontId="3" fillId="0" borderId="7" xfId="0" applyFont="1" applyBorder="1"/>
    <xf numFmtId="0" fontId="10" fillId="0" borderId="0" xfId="0" applyFont="1" applyAlignment="1">
      <alignment horizontal="left" indent="2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8" fontId="2" fillId="0" borderId="0" xfId="0" applyNumberFormat="1" applyFont="1" applyAlignment="1">
      <alignment horizontal="left" indent="1"/>
    </xf>
  </cellXfs>
  <cellStyles count="3">
    <cellStyle name="Comma" xfId="1" builtinId="3"/>
    <cellStyle name="Normal" xfId="0" builtinId="0"/>
    <cellStyle name="Normal 3" xfId="2" xr:uid="{7598E2AA-BAEE-4742-A3EC-CFE3218D42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2.emf"/><Relationship Id="rId5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476250</xdr:colOff>
      <xdr:row>74</xdr:row>
      <xdr:rowOff>0</xdr:rowOff>
    </xdr:from>
    <xdr:ext cx="0" cy="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238625" y="742950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23</xdr:col>
      <xdr:colOff>0</xdr:colOff>
      <xdr:row>74</xdr:row>
      <xdr:rowOff>0</xdr:rowOff>
    </xdr:from>
    <xdr:ext cx="57150" cy="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762375" y="742950"/>
          <a:ext cx="571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Home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23</xdr:col>
      <xdr:colOff>485775</xdr:colOff>
      <xdr:row>74</xdr:row>
      <xdr:rowOff>0</xdr:rowOff>
    </xdr:from>
    <xdr:ext cx="0" cy="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248150" y="742950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23</xdr:col>
      <xdr:colOff>476250</xdr:colOff>
      <xdr:row>74</xdr:row>
      <xdr:rowOff>0</xdr:rowOff>
    </xdr:from>
    <xdr:ext cx="0" cy="0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238625" y="742950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23</xdr:col>
      <xdr:colOff>0</xdr:colOff>
      <xdr:row>74</xdr:row>
      <xdr:rowOff>0</xdr:rowOff>
    </xdr:from>
    <xdr:ext cx="57150" cy="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762375" y="742950"/>
          <a:ext cx="571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Home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23</xdr:col>
      <xdr:colOff>485775</xdr:colOff>
      <xdr:row>74</xdr:row>
      <xdr:rowOff>0</xdr:rowOff>
    </xdr:from>
    <xdr:ext cx="0" cy="0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248150" y="742950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11</xdr:col>
      <xdr:colOff>466725</xdr:colOff>
      <xdr:row>74</xdr:row>
      <xdr:rowOff>0</xdr:rowOff>
    </xdr:from>
    <xdr:to>
      <xdr:col>23</xdr:col>
      <xdr:colOff>96338</xdr:colOff>
      <xdr:row>74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742950"/>
          <a:ext cx="14015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74</xdr:row>
      <xdr:rowOff>0</xdr:rowOff>
    </xdr:from>
    <xdr:to>
      <xdr:col>23</xdr:col>
      <xdr:colOff>91440</xdr:colOff>
      <xdr:row>74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742950"/>
          <a:ext cx="14287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26</xdr:col>
      <xdr:colOff>476250</xdr:colOff>
      <xdr:row>74</xdr:row>
      <xdr:rowOff>0</xdr:rowOff>
    </xdr:from>
    <xdr:ext cx="0" cy="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91125" y="742950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26</xdr:col>
      <xdr:colOff>0</xdr:colOff>
      <xdr:row>74</xdr:row>
      <xdr:rowOff>0</xdr:rowOff>
    </xdr:from>
    <xdr:ext cx="57150" cy="0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714875" y="742950"/>
          <a:ext cx="571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Home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26</xdr:col>
      <xdr:colOff>485775</xdr:colOff>
      <xdr:row>74</xdr:row>
      <xdr:rowOff>0</xdr:rowOff>
    </xdr:from>
    <xdr:ext cx="0" cy="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200650" y="742950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26</xdr:col>
      <xdr:colOff>476250</xdr:colOff>
      <xdr:row>74</xdr:row>
      <xdr:rowOff>0</xdr:rowOff>
    </xdr:from>
    <xdr:ext cx="0" cy="0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91125" y="742950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26</xdr:col>
      <xdr:colOff>0</xdr:colOff>
      <xdr:row>74</xdr:row>
      <xdr:rowOff>0</xdr:rowOff>
    </xdr:from>
    <xdr:ext cx="57150" cy="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714875" y="742950"/>
          <a:ext cx="571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Home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26</xdr:col>
      <xdr:colOff>485775</xdr:colOff>
      <xdr:row>74</xdr:row>
      <xdr:rowOff>0</xdr:rowOff>
    </xdr:from>
    <xdr:ext cx="0" cy="0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200650" y="742950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23</xdr:col>
      <xdr:colOff>0</xdr:colOff>
      <xdr:row>73</xdr:row>
      <xdr:rowOff>57150</xdr:rowOff>
    </xdr:from>
    <xdr:to>
      <xdr:col>24</xdr:col>
      <xdr:colOff>857250</xdr:colOff>
      <xdr:row>74</xdr:row>
      <xdr:rowOff>0</xdr:rowOff>
    </xdr:to>
    <xdr:pic>
      <xdr:nvPicPr>
        <xdr:cNvPr id="16" name="Pictur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57150"/>
          <a:ext cx="1809750" cy="445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60960</xdr:colOff>
          <xdr:row>75</xdr:row>
          <xdr:rowOff>0</xdr:rowOff>
        </xdr:from>
        <xdr:to>
          <xdr:col>23</xdr:col>
          <xdr:colOff>693420</xdr:colOff>
          <xdr:row>75</xdr:row>
          <xdr:rowOff>251460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716280</xdr:colOff>
          <xdr:row>75</xdr:row>
          <xdr:rowOff>0</xdr:rowOff>
        </xdr:from>
        <xdr:to>
          <xdr:col>24</xdr:col>
          <xdr:colOff>579120</xdr:colOff>
          <xdr:row>75</xdr:row>
          <xdr:rowOff>251460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609600</xdr:colOff>
          <xdr:row>75</xdr:row>
          <xdr:rowOff>0</xdr:rowOff>
        </xdr:from>
        <xdr:to>
          <xdr:col>25</xdr:col>
          <xdr:colOff>1013460</xdr:colOff>
          <xdr:row>75</xdr:row>
          <xdr:rowOff>251460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3352800</xdr:colOff>
          <xdr:row>75</xdr:row>
          <xdr:rowOff>0</xdr:rowOff>
        </xdr:from>
        <xdr:to>
          <xdr:col>25</xdr:col>
          <xdr:colOff>4137660</xdr:colOff>
          <xdr:row>75</xdr:row>
          <xdr:rowOff>251460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37</xdr:col>
          <xdr:colOff>518160</xdr:colOff>
          <xdr:row>74</xdr:row>
          <xdr:rowOff>38100</xdr:rowOff>
        </xdr:from>
        <xdr:to>
          <xdr:col>37</xdr:col>
          <xdr:colOff>830580</xdr:colOff>
          <xdr:row>75</xdr:row>
          <xdr:rowOff>297180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1051560</xdr:colOff>
          <xdr:row>75</xdr:row>
          <xdr:rowOff>0</xdr:rowOff>
        </xdr:from>
        <xdr:to>
          <xdr:col>25</xdr:col>
          <xdr:colOff>2407920</xdr:colOff>
          <xdr:row>75</xdr:row>
          <xdr:rowOff>251460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oneCellAnchor>
    <xdr:from>
      <xdr:col>27</xdr:col>
      <xdr:colOff>476250</xdr:colOff>
      <xdr:row>74</xdr:row>
      <xdr:rowOff>0</xdr:rowOff>
    </xdr:from>
    <xdr:ext cx="0" cy="0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38652450" y="13839825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27</xdr:col>
      <xdr:colOff>0</xdr:colOff>
      <xdr:row>74</xdr:row>
      <xdr:rowOff>0</xdr:rowOff>
    </xdr:from>
    <xdr:ext cx="57150" cy="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8176200" y="13839825"/>
          <a:ext cx="571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Home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27</xdr:col>
      <xdr:colOff>485775</xdr:colOff>
      <xdr:row>74</xdr:row>
      <xdr:rowOff>0</xdr:rowOff>
    </xdr:from>
    <xdr:ext cx="0" cy="0"/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38661975" y="13839825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27</xdr:col>
      <xdr:colOff>476250</xdr:colOff>
      <xdr:row>74</xdr:row>
      <xdr:rowOff>0</xdr:rowOff>
    </xdr:from>
    <xdr:ext cx="0" cy="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38652450" y="13839825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27</xdr:col>
      <xdr:colOff>0</xdr:colOff>
      <xdr:row>74</xdr:row>
      <xdr:rowOff>0</xdr:rowOff>
    </xdr:from>
    <xdr:ext cx="57150" cy="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38176200" y="13839825"/>
          <a:ext cx="571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Home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27</xdr:col>
      <xdr:colOff>485775</xdr:colOff>
      <xdr:row>74</xdr:row>
      <xdr:rowOff>0</xdr:rowOff>
    </xdr:from>
    <xdr:ext cx="0" cy="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38661975" y="13839825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28</xdr:col>
      <xdr:colOff>476250</xdr:colOff>
      <xdr:row>74</xdr:row>
      <xdr:rowOff>0</xdr:rowOff>
    </xdr:from>
    <xdr:ext cx="0" cy="0"/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41205150" y="13839825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28</xdr:col>
      <xdr:colOff>0</xdr:colOff>
      <xdr:row>74</xdr:row>
      <xdr:rowOff>0</xdr:rowOff>
    </xdr:from>
    <xdr:ext cx="57150" cy="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40728900" y="13839825"/>
          <a:ext cx="571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Home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28</xdr:col>
      <xdr:colOff>485775</xdr:colOff>
      <xdr:row>74</xdr:row>
      <xdr:rowOff>0</xdr:rowOff>
    </xdr:from>
    <xdr:ext cx="0" cy="0"/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1214675" y="13839825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28</xdr:col>
      <xdr:colOff>476250</xdr:colOff>
      <xdr:row>74</xdr:row>
      <xdr:rowOff>0</xdr:rowOff>
    </xdr:from>
    <xdr:ext cx="0" cy="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41205150" y="13839825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28</xdr:col>
      <xdr:colOff>0</xdr:colOff>
      <xdr:row>74</xdr:row>
      <xdr:rowOff>0</xdr:rowOff>
    </xdr:from>
    <xdr:ext cx="57150" cy="0"/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40728900" y="13839825"/>
          <a:ext cx="571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Home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28</xdr:col>
      <xdr:colOff>485775</xdr:colOff>
      <xdr:row>74</xdr:row>
      <xdr:rowOff>0</xdr:rowOff>
    </xdr:from>
    <xdr:ext cx="0" cy="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41214675" y="13839825"/>
          <a:ext cx="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000" b="1" baseline="0">
              <a:solidFill>
                <a:sysClr val="windowText" lastClr="000000"/>
              </a:solidFill>
            </a:rPr>
            <a:t>Menu |</a:t>
          </a:r>
          <a:endParaRPr lang="en-AU" sz="1000" b="1">
            <a:solidFill>
              <a:sysClr val="windowText" lastClr="000000"/>
            </a:solidFill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2438400</xdr:colOff>
          <xdr:row>75</xdr:row>
          <xdr:rowOff>0</xdr:rowOff>
        </xdr:from>
        <xdr:to>
          <xdr:col>25</xdr:col>
          <xdr:colOff>3322320</xdr:colOff>
          <xdr:row>75</xdr:row>
          <xdr:rowOff>251460</xdr:rowOff>
        </xdr:to>
        <xdr:sp macro="" textlink="">
          <xdr:nvSpPr>
            <xdr:cNvPr id="1031" name="TIButton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8A4C-05D3-444D-8D56-5E1946B9C96D}">
  <sheetPr codeName="Sheet47">
    <outlinePr showOutlineSymbols="0"/>
    <pageSetUpPr fitToPage="1"/>
  </sheetPr>
  <dimension ref="A1:AM96"/>
  <sheetViews>
    <sheetView showGridLines="0" showRowColHeaders="0" tabSelected="1" showOutlineSymbols="0" topLeftCell="A74" zoomScaleNormal="100" workbookViewId="0">
      <pane xSplit="30" ySplit="16" topLeftCell="AE90" activePane="bottomRight" state="frozen"/>
      <selection activeCell="W74" sqref="W74"/>
      <selection pane="topRight" activeCell="AE74" sqref="AE74"/>
      <selection pane="bottomLeft" activeCell="W90" sqref="W90"/>
      <selection pane="bottomRight"/>
    </sheetView>
  </sheetViews>
  <sheetFormatPr defaultRowHeight="14.4" outlineLevelRow="1" outlineLevelCol="1" x14ac:dyDescent="0.3"/>
  <cols>
    <col min="1" max="1" width="2.6640625" hidden="1" customWidth="1" outlineLevel="1"/>
    <col min="2" max="2" width="37.44140625" hidden="1" customWidth="1" outlineLevel="1"/>
    <col min="3" max="3" width="38.33203125" hidden="1" customWidth="1" outlineLevel="1"/>
    <col min="4" max="4" width="8.44140625" hidden="1" customWidth="1" outlineLevel="1"/>
    <col min="5" max="5" width="17" hidden="1" customWidth="1" outlineLevel="1"/>
    <col min="6" max="6" width="43.5546875" hidden="1" customWidth="1" outlineLevel="1"/>
    <col min="7" max="19" width="20.6640625" hidden="1" customWidth="1" outlineLevel="1"/>
    <col min="20" max="20" width="0.88671875" hidden="1" customWidth="1" outlineLevel="1"/>
    <col min="21" max="21" width="43.109375" hidden="1" customWidth="1" outlineLevel="1"/>
    <col min="22" max="22" width="25.33203125" hidden="1" customWidth="1" outlineLevel="1"/>
    <col min="23" max="23" width="0.88671875" customWidth="1" collapsed="1"/>
    <col min="24" max="24" width="14.33203125" bestFit="1" customWidth="1"/>
    <col min="25" max="25" width="14.33203125" customWidth="1"/>
    <col min="26" max="26" width="65.5546875" customWidth="1"/>
    <col min="27" max="28" width="38.33203125" customWidth="1"/>
    <col min="29" max="29" width="11.5546875" customWidth="1"/>
    <col min="30" max="30" width="0.88671875" customWidth="1"/>
    <col min="31" max="38" width="12.6640625" customWidth="1"/>
  </cols>
  <sheetData>
    <row r="1" spans="1:39" hidden="1" outlineLevel="1" x14ac:dyDescent="0.3">
      <c r="A1" t="s">
        <v>0</v>
      </c>
    </row>
    <row r="2" spans="1:39" hidden="1" outlineLevel="1" x14ac:dyDescent="0.3">
      <c r="A2">
        <f>0</f>
        <v>0</v>
      </c>
      <c r="B2" s="1"/>
      <c r="U2" s="28"/>
      <c r="V2" s="28"/>
      <c r="X2" s="29"/>
      <c r="Y2" s="29"/>
      <c r="Z2" s="29"/>
      <c r="AA2" s="30"/>
      <c r="AB2" s="30"/>
      <c r="AC2" s="30"/>
      <c r="AD2" s="2"/>
      <c r="AE2" s="23"/>
      <c r="AF2" s="23"/>
      <c r="AG2" s="23"/>
      <c r="AH2" s="23"/>
      <c r="AI2" s="23"/>
      <c r="AJ2" s="23"/>
      <c r="AK2" s="23"/>
      <c r="AL2" s="23"/>
      <c r="AM2" s="24"/>
    </row>
    <row r="3" spans="1:39" hidden="1" outlineLevel="1" x14ac:dyDescent="0.3">
      <c r="A3">
        <f>1</f>
        <v>1</v>
      </c>
      <c r="B3" s="3"/>
      <c r="U3" s="31"/>
      <c r="V3" s="31"/>
      <c r="X3" s="32"/>
      <c r="Y3" s="32"/>
      <c r="Z3" s="32"/>
      <c r="AA3" s="33"/>
      <c r="AB3" s="33"/>
      <c r="AC3" s="33"/>
      <c r="AD3" s="2"/>
      <c r="AE3" s="23"/>
      <c r="AF3" s="23"/>
      <c r="AG3" s="23"/>
      <c r="AH3" s="23"/>
      <c r="AI3" s="23"/>
      <c r="AJ3" s="23"/>
      <c r="AK3" s="23"/>
      <c r="AL3" s="23"/>
      <c r="AM3" s="24"/>
    </row>
    <row r="4" spans="1:39" hidden="1" outlineLevel="1" x14ac:dyDescent="0.3">
      <c r="A4">
        <f>2</f>
        <v>2</v>
      </c>
      <c r="B4" s="3"/>
      <c r="U4" s="4"/>
      <c r="V4" s="5"/>
      <c r="X4" s="6"/>
      <c r="Y4" s="6"/>
      <c r="Z4" s="6"/>
      <c r="AA4" s="7"/>
      <c r="AB4" s="7"/>
      <c r="AC4" s="7"/>
      <c r="AD4" s="2"/>
      <c r="AE4" s="25"/>
      <c r="AF4" s="25"/>
      <c r="AG4" s="25"/>
      <c r="AH4" s="25"/>
      <c r="AI4" s="25"/>
      <c r="AJ4" s="25"/>
      <c r="AK4" s="25"/>
      <c r="AL4" s="25"/>
      <c r="AM4" s="26"/>
    </row>
    <row r="5" spans="1:39" hidden="1" outlineLevel="1" x14ac:dyDescent="0.3">
      <c r="A5">
        <f>3</f>
        <v>3</v>
      </c>
      <c r="B5" s="3"/>
      <c r="U5" s="4"/>
      <c r="V5" s="5"/>
      <c r="X5" s="6"/>
      <c r="Y5" s="6"/>
      <c r="Z5" s="6"/>
      <c r="AA5" s="7"/>
      <c r="AB5" s="7"/>
      <c r="AC5" s="7"/>
      <c r="AD5" s="2"/>
      <c r="AE5" s="25"/>
      <c r="AF5" s="25"/>
      <c r="AG5" s="25"/>
      <c r="AH5" s="25"/>
      <c r="AI5" s="25"/>
      <c r="AJ5" s="25"/>
      <c r="AK5" s="25"/>
      <c r="AL5" s="25"/>
      <c r="AM5" s="26"/>
    </row>
    <row r="6" spans="1:39" hidden="1" outlineLevel="1" x14ac:dyDescent="0.3">
      <c r="A6" t="s">
        <v>1</v>
      </c>
      <c r="B6" s="3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4"/>
      <c r="V6" s="5"/>
      <c r="W6" s="8"/>
      <c r="X6" s="6"/>
      <c r="Y6" s="6"/>
      <c r="Z6" s="6"/>
      <c r="AA6" s="7"/>
      <c r="AB6" s="7"/>
      <c r="AC6" s="7"/>
      <c r="AD6" s="2"/>
      <c r="AE6" s="25"/>
      <c r="AF6" s="25"/>
      <c r="AG6" s="25"/>
      <c r="AH6" s="25"/>
      <c r="AI6" s="25"/>
      <c r="AJ6" s="25"/>
      <c r="AK6" s="25"/>
      <c r="AL6" s="25"/>
      <c r="AM6" s="26"/>
    </row>
    <row r="7" spans="1:39" hidden="1" outlineLevel="1" x14ac:dyDescent="0.3">
      <c r="A7" t="s">
        <v>2</v>
      </c>
      <c r="B7" s="3"/>
      <c r="U7" s="34"/>
      <c r="V7" s="34"/>
      <c r="X7" s="40"/>
      <c r="Y7" s="40"/>
      <c r="Z7" s="41"/>
      <c r="AA7" s="42"/>
      <c r="AB7" s="42"/>
      <c r="AC7" s="42"/>
      <c r="AE7" s="27"/>
      <c r="AF7" s="27"/>
      <c r="AG7" s="27"/>
      <c r="AH7" s="27"/>
      <c r="AI7" s="27"/>
      <c r="AJ7" s="27"/>
      <c r="AK7" s="27"/>
      <c r="AL7" s="27"/>
      <c r="AM7" s="27"/>
    </row>
    <row r="8" spans="1:39" hidden="1" outlineLevel="1" x14ac:dyDescent="0.3">
      <c r="A8" t="s">
        <v>3</v>
      </c>
    </row>
    <row r="9" spans="1:39" hidden="1" outlineLevel="1" x14ac:dyDescent="0.3">
      <c r="AA9" s="5" t="s">
        <v>4</v>
      </c>
      <c r="AB9" s="5" t="s">
        <v>4</v>
      </c>
      <c r="AC9" s="5" t="s">
        <v>4</v>
      </c>
      <c r="AD9" s="5"/>
      <c r="AE9" s="5" t="str" cm="1">
        <f t="array" aca="1" ref="AE9" ca="1">_xll.DBRA(db_name&amp;":variables","headline year","value")</f>
        <v/>
      </c>
    </row>
    <row r="10" spans="1:39" hidden="1" outlineLevel="1" x14ac:dyDescent="0.3">
      <c r="AA10" s="5"/>
      <c r="AB10" s="5"/>
      <c r="AC10" s="5"/>
      <c r="AD10" s="5"/>
      <c r="AE10" s="5"/>
    </row>
    <row r="11" spans="1:39" hidden="1" outlineLevel="1" x14ac:dyDescent="0.3">
      <c r="B11" s="51" t="s">
        <v>18</v>
      </c>
      <c r="C11" s="52"/>
      <c r="D11" s="53"/>
      <c r="AA11" s="5"/>
      <c r="AB11" s="5"/>
      <c r="AC11" s="5"/>
      <c r="AD11" s="5"/>
      <c r="AE11" s="5"/>
    </row>
    <row r="12" spans="1:39" hidden="1" outlineLevel="1" x14ac:dyDescent="0.3">
      <c r="B12" s="14" t="s">
        <v>19</v>
      </c>
      <c r="C12" s="15" t="s">
        <v>84</v>
      </c>
      <c r="D12" s="16"/>
      <c r="AA12" s="5"/>
      <c r="AB12" s="5"/>
      <c r="AC12" s="5"/>
      <c r="AD12" s="5"/>
      <c r="AE12" s="5"/>
    </row>
    <row r="13" spans="1:39" hidden="1" outlineLevel="1" x14ac:dyDescent="0.3">
      <c r="B13" s="14" t="s">
        <v>20</v>
      </c>
      <c r="C13" s="17" t="str" cm="1">
        <f t="array" aca="1" ref="C13" ca="1">_xll.VIEW(db_name&amp;":}ElementAttributes_}Clients","!","!")</f>
        <v>dcceew_geus:}ElementAttributes_}Clients</v>
      </c>
      <c r="D13" s="16"/>
      <c r="AA13" s="5"/>
      <c r="AB13" s="5"/>
      <c r="AC13" s="5"/>
      <c r="AD13" s="5"/>
      <c r="AE13" s="5"/>
    </row>
    <row r="14" spans="1:39" hidden="1" outlineLevel="1" x14ac:dyDescent="0.3">
      <c r="B14" s="14" t="s">
        <v>21</v>
      </c>
      <c r="C14" s="15" t="str" cm="1">
        <f t="array" aca="1" ref="C14" ca="1">_xll.TM1USER(db_name)</f>
        <v/>
      </c>
      <c r="D14" s="16"/>
      <c r="AA14" s="5"/>
      <c r="AB14" s="5"/>
      <c r="AC14" s="5"/>
      <c r="AD14" s="5"/>
      <c r="AE14" s="5"/>
    </row>
    <row r="15" spans="1:39" hidden="1" outlineLevel="1" x14ac:dyDescent="0.3">
      <c r="B15" s="14" t="s">
        <v>22</v>
      </c>
      <c r="C15" s="15" t="str" cm="1">
        <f t="array" aca="1" ref="C15" ca="1">_xll.DBR($C$13,$C$14,$B15)</f>
        <v>*KEY_ERR</v>
      </c>
      <c r="D15" s="16"/>
      <c r="AA15" s="5"/>
      <c r="AB15" s="5"/>
      <c r="AC15" s="5"/>
      <c r="AD15" s="5"/>
      <c r="AE15" s="5"/>
    </row>
    <row r="16" spans="1:39" hidden="1" outlineLevel="1" x14ac:dyDescent="0.3">
      <c r="B16" s="14" t="s">
        <v>23</v>
      </c>
      <c r="C16" s="15" t="str" cm="1">
        <f t="array" aca="1" ref="C16" ca="1">_xll.DBR($C$13,$C$14,$B16)</f>
        <v>*KEY_ERR</v>
      </c>
      <c r="D16" s="16"/>
      <c r="AA16" s="5"/>
      <c r="AB16" s="5"/>
      <c r="AC16" s="5"/>
      <c r="AD16" s="5"/>
      <c r="AE16" s="5"/>
    </row>
    <row r="17" spans="2:31" hidden="1" outlineLevel="1" x14ac:dyDescent="0.3">
      <c r="B17" s="14" t="s">
        <v>24</v>
      </c>
      <c r="C17" s="15" t="str">
        <f ca="1">IF(LEFT($C$15,6)="CAM_AD",$C$16,$C$15)</f>
        <v>*KEY_ERR</v>
      </c>
      <c r="D17" s="10"/>
      <c r="AA17" s="5"/>
      <c r="AB17" s="5"/>
      <c r="AC17" s="5"/>
      <c r="AD17" s="5"/>
      <c r="AE17" s="5"/>
    </row>
    <row r="18" spans="2:31" hidden="1" outlineLevel="1" x14ac:dyDescent="0.3">
      <c r="AA18" s="5"/>
      <c r="AB18" s="5"/>
      <c r="AC18" s="5"/>
      <c r="AD18" s="5"/>
      <c r="AE18" s="5"/>
    </row>
    <row r="19" spans="2:31" hidden="1" outlineLevel="1" x14ac:dyDescent="0.3">
      <c r="B19" s="51" t="s">
        <v>25</v>
      </c>
      <c r="C19" s="52"/>
      <c r="D19" s="53"/>
      <c r="AA19" s="5"/>
      <c r="AB19" s="5"/>
      <c r="AC19" s="5"/>
      <c r="AD19" s="5"/>
      <c r="AE19" s="5"/>
    </row>
    <row r="20" spans="2:31" hidden="1" outlineLevel="1" x14ac:dyDescent="0.3">
      <c r="B20" s="14" t="s">
        <v>26</v>
      </c>
      <c r="C20" s="10" t="str" cm="1">
        <f t="array" aca="1" ref="C20" ca="1">_xll.VIEW(db_name&amp;":}ElementAttributes_variables","!","!")</f>
        <v>dcceew_geus:}ElementAttributes_variables</v>
      </c>
      <c r="D20" s="10"/>
      <c r="AA20" s="5"/>
      <c r="AB20" s="5"/>
      <c r="AC20" s="5"/>
      <c r="AD20" s="5"/>
      <c r="AE20" s="5"/>
    </row>
    <row r="21" spans="2:31" hidden="1" outlineLevel="1" x14ac:dyDescent="0.3">
      <c r="B21" s="14" t="s">
        <v>27</v>
      </c>
      <c r="C21" s="10" t="str" cm="1">
        <f t="array" aca="1" ref="C21" ca="1">_xll.DBR($C$20,$B21,"value")</f>
        <v>*KEY_ERR</v>
      </c>
      <c r="D21" s="10"/>
      <c r="AA21" s="5"/>
      <c r="AB21" s="5"/>
      <c r="AC21" s="5"/>
      <c r="AD21" s="5"/>
      <c r="AE21" s="5"/>
    </row>
    <row r="22" spans="2:31" hidden="1" outlineLevel="1" x14ac:dyDescent="0.3">
      <c r="B22" s="14" t="s">
        <v>28</v>
      </c>
      <c r="C22" s="10" t="str" cm="1">
        <f t="array" aca="1" ref="C22" ca="1">_xll.DBR($C$20,$B22,"value")</f>
        <v>*KEY_ERR</v>
      </c>
      <c r="D22" s="10"/>
      <c r="AA22" s="5"/>
      <c r="AB22" s="5"/>
      <c r="AC22" s="5"/>
      <c r="AD22" s="5"/>
      <c r="AE22" s="5"/>
    </row>
    <row r="23" spans="2:31" hidden="1" outlineLevel="1" x14ac:dyDescent="0.3">
      <c r="B23" s="14" t="s">
        <v>29</v>
      </c>
      <c r="C23" s="10" t="str" cm="1">
        <f t="array" aca="1" ref="C23" ca="1">_xll.DBR($C$20,$B23,"value")</f>
        <v>*KEY_ERR</v>
      </c>
      <c r="D23" s="10"/>
      <c r="AA23" s="5"/>
      <c r="AB23" s="5"/>
      <c r="AC23" s="5"/>
      <c r="AD23" s="5"/>
      <c r="AE23" s="5"/>
    </row>
    <row r="24" spans="2:31" hidden="1" outlineLevel="1" x14ac:dyDescent="0.3">
      <c r="B24" s="14" t="s">
        <v>30</v>
      </c>
      <c r="C24" s="10" t="str" cm="1">
        <f t="array" aca="1" ref="C24" ca="1">_xll.DBR($C$20,$B24,"value")</f>
        <v>*KEY_ERR</v>
      </c>
      <c r="D24" s="10"/>
      <c r="AA24" s="5"/>
      <c r="AB24" s="5"/>
      <c r="AC24" s="5"/>
      <c r="AD24" s="5"/>
      <c r="AE24" s="5"/>
    </row>
    <row r="25" spans="2:31" hidden="1" outlineLevel="1" x14ac:dyDescent="0.3">
      <c r="B25" s="14" t="s">
        <v>31</v>
      </c>
      <c r="C25" s="10" t="str" cm="1">
        <f t="array" aca="1" ref="C25" ca="1">_xll.DBR($C$20,$B25,"value")</f>
        <v>*KEY_ERR</v>
      </c>
      <c r="D25" s="10"/>
      <c r="AA25" s="5"/>
      <c r="AB25" s="5"/>
      <c r="AC25" s="5"/>
      <c r="AD25" s="5"/>
      <c r="AE25" s="5"/>
    </row>
    <row r="26" spans="2:31" hidden="1" outlineLevel="1" x14ac:dyDescent="0.3">
      <c r="AA26" s="5"/>
      <c r="AB26" s="5"/>
      <c r="AC26" s="5"/>
      <c r="AD26" s="5"/>
      <c r="AE26" s="5"/>
    </row>
    <row r="27" spans="2:31" hidden="1" outlineLevel="1" x14ac:dyDescent="0.3">
      <c r="B27" s="51" t="s">
        <v>32</v>
      </c>
      <c r="C27" s="52"/>
      <c r="D27" s="53"/>
      <c r="AA27" s="5"/>
      <c r="AB27" s="5"/>
      <c r="AC27" s="5"/>
      <c r="AD27" s="5"/>
      <c r="AE27" s="5"/>
    </row>
    <row r="28" spans="2:31" hidden="1" outlineLevel="1" x14ac:dyDescent="0.3">
      <c r="B28" s="14" t="s">
        <v>6</v>
      </c>
      <c r="C28" s="10" t="str" cm="1">
        <f t="array" aca="1" ref="C28" ca="1">_xll.VIEW(db_name&amp;":sys_application","!","!")</f>
        <v>dcceew_geus:sys_application</v>
      </c>
      <c r="D28" s="10"/>
      <c r="AA28" s="5"/>
      <c r="AB28" s="5"/>
      <c r="AC28" s="5"/>
      <c r="AD28" s="5"/>
      <c r="AE28" s="5"/>
    </row>
    <row r="29" spans="2:31" hidden="1" outlineLevel="1" x14ac:dyDescent="0.3">
      <c r="B29" s="14" t="s">
        <v>33</v>
      </c>
      <c r="C29" t="s">
        <v>34</v>
      </c>
      <c r="D29" s="10"/>
      <c r="AA29" s="5"/>
      <c r="AB29" s="5"/>
      <c r="AC29" s="5"/>
      <c r="AD29" s="5"/>
      <c r="AE29" s="5"/>
    </row>
    <row r="30" spans="2:31" hidden="1" outlineLevel="1" x14ac:dyDescent="0.3">
      <c r="B30" s="10"/>
      <c r="C30" s="14" t="s">
        <v>35</v>
      </c>
      <c r="D30" s="14" t="s">
        <v>36</v>
      </c>
      <c r="E30" s="14" t="s">
        <v>37</v>
      </c>
      <c r="F30" s="14" t="s">
        <v>38</v>
      </c>
      <c r="G30" s="14" t="s">
        <v>39</v>
      </c>
      <c r="H30" s="14" t="s">
        <v>40</v>
      </c>
      <c r="AA30" s="5"/>
      <c r="AB30" s="5"/>
      <c r="AC30" s="5"/>
      <c r="AD30" s="5"/>
      <c r="AE30" s="5"/>
    </row>
    <row r="31" spans="2:31" hidden="1" outlineLevel="1" x14ac:dyDescent="0.3">
      <c r="B31" s="10" t="s">
        <v>41</v>
      </c>
      <c r="C31" s="10" t="str" cm="1">
        <f t="array" aca="1" ref="C31" ca="1">_xll.DBR($C$28,$B31,C$30)</f>
        <v>*KEY_ERR</v>
      </c>
      <c r="D31" s="10" t="str" cm="1">
        <f t="array" aca="1" ref="D31" ca="1">_xll.DBR($C$28,$B31,D$30)</f>
        <v>*KEY_ERR</v>
      </c>
      <c r="E31" s="10" t="str" cm="1">
        <f t="array" aca="1" ref="E31" ca="1">_xll.DBR($C$28,$B31,E$30)</f>
        <v>*KEY_ERR</v>
      </c>
      <c r="F31" s="10" t="str" cm="1">
        <f t="array" aca="1" ref="F31" ca="1">_xll.DBR($C$28,$B31,F$30)</f>
        <v>*KEY_ERR</v>
      </c>
      <c r="G31" s="10" t="str" cm="1">
        <f t="array" aca="1" ref="G31" ca="1">_xll.DBR($C$28,$B31,G$30)</f>
        <v>*KEY_ERR</v>
      </c>
      <c r="H31" s="10" t="str" cm="1">
        <f t="array" aca="1" ref="H31" ca="1">_xll.DBR($C$28,$B31,H$30)</f>
        <v>*KEY_ERR</v>
      </c>
      <c r="AA31" s="5"/>
      <c r="AB31" s="5"/>
      <c r="AC31" s="5"/>
      <c r="AD31" s="5"/>
      <c r="AE31" s="5"/>
    </row>
    <row r="32" spans="2:31" hidden="1" outlineLevel="1" x14ac:dyDescent="0.3">
      <c r="B32" s="10" t="s">
        <v>42</v>
      </c>
      <c r="C32" s="10" t="str" cm="1">
        <f t="array" aca="1" ref="C32" ca="1">_xll.DBR($C$28,$B32,C$30)</f>
        <v>*KEY_ERR</v>
      </c>
      <c r="D32" s="10" t="str" cm="1">
        <f t="array" aca="1" ref="D32" ca="1">_xll.DBR($C$28,$B32,D$30)</f>
        <v>*KEY_ERR</v>
      </c>
      <c r="E32" s="10" t="str" cm="1">
        <f t="array" aca="1" ref="E32" ca="1">_xll.DBR($C$28,$B32,E$30)</f>
        <v>*KEY_ERR</v>
      </c>
      <c r="F32" s="10" t="str" cm="1">
        <f t="array" aca="1" ref="F32" ca="1">_xll.DBR($C$28,$B32,F$30)</f>
        <v>*KEY_ERR</v>
      </c>
      <c r="G32" s="10" t="str" cm="1">
        <f t="array" aca="1" ref="G32" ca="1">_xll.DBR($C$28,$B32,G$30)</f>
        <v>*KEY_ERR</v>
      </c>
      <c r="H32" s="10" t="str" cm="1">
        <f t="array" aca="1" ref="H32" ca="1">_xll.DBR($C$28,$B32,H$30)</f>
        <v>*KEY_ERR</v>
      </c>
      <c r="AA32" s="5"/>
      <c r="AB32" s="5"/>
      <c r="AC32" s="5"/>
      <c r="AD32" s="5"/>
      <c r="AE32" s="5"/>
    </row>
    <row r="33" spans="2:31" hidden="1" outlineLevel="1" x14ac:dyDescent="0.3">
      <c r="B33" s="10" t="s">
        <v>43</v>
      </c>
      <c r="C33" s="10" t="str" cm="1">
        <f t="array" aca="1" ref="C33" ca="1">_xll.DBR($C$28,$B33,C$30)</f>
        <v>*KEY_ERR</v>
      </c>
      <c r="D33" s="10" t="str" cm="1">
        <f t="array" aca="1" ref="D33" ca="1">_xll.DBR($C$28,$B33,D$30)</f>
        <v>*KEY_ERR</v>
      </c>
      <c r="E33" s="10" t="str" cm="1">
        <f t="array" aca="1" ref="E33" ca="1">_xll.DBR($C$28,$B33,E$30)</f>
        <v>*KEY_ERR</v>
      </c>
      <c r="F33" s="10" t="str" cm="1">
        <f t="array" aca="1" ref="F33" ca="1">_xll.DBR($C$28,$B33,F$30)</f>
        <v>*KEY_ERR</v>
      </c>
      <c r="G33" s="10" t="str" cm="1">
        <f t="array" aca="1" ref="G33" ca="1">_xll.DBR($C$28,$B33,G$30)</f>
        <v>*KEY_ERR</v>
      </c>
      <c r="H33" s="10" t="str" cm="1">
        <f t="array" aca="1" ref="H33" ca="1">_xll.DBR($C$28,$B33,H$30)</f>
        <v>*KEY_ERR</v>
      </c>
      <c r="AA33" s="5"/>
      <c r="AB33" s="5"/>
      <c r="AC33" s="5"/>
      <c r="AD33" s="5"/>
      <c r="AE33" s="5"/>
    </row>
    <row r="34" spans="2:31" hidden="1" outlineLevel="1" x14ac:dyDescent="0.3">
      <c r="B34" s="10" t="s">
        <v>44</v>
      </c>
      <c r="C34" s="10" t="str" cm="1">
        <f t="array" aca="1" ref="C34" ca="1">_xll.DBR($C$28,$B34,C$30)</f>
        <v>*KEY_ERR</v>
      </c>
      <c r="D34" s="10" t="str" cm="1">
        <f t="array" aca="1" ref="D34" ca="1">_xll.DBR($C$28,$B34,D$30)</f>
        <v>*KEY_ERR</v>
      </c>
      <c r="E34" s="10" t="str" cm="1">
        <f t="array" aca="1" ref="E34" ca="1">_xll.DBR($C$28,$B34,E$30)</f>
        <v>*KEY_ERR</v>
      </c>
      <c r="F34" s="10" t="str" cm="1">
        <f t="array" aca="1" ref="F34" ca="1">_xll.DBR($C$28,$B34,F$30)</f>
        <v>*KEY_ERR</v>
      </c>
      <c r="G34" s="10" t="str" cm="1">
        <f t="array" aca="1" ref="G34" ca="1">_xll.DBR($C$28,$B34,G$30)</f>
        <v>*KEY_ERR</v>
      </c>
      <c r="H34" s="10" t="str" cm="1">
        <f t="array" aca="1" ref="H34" ca="1">_xll.DBR($C$28,$B34,H$30)</f>
        <v>*KEY_ERR</v>
      </c>
      <c r="AA34" s="5"/>
      <c r="AB34" s="5"/>
      <c r="AC34" s="5"/>
      <c r="AD34" s="5"/>
      <c r="AE34" s="5"/>
    </row>
    <row r="35" spans="2:31" hidden="1" outlineLevel="1" x14ac:dyDescent="0.3">
      <c r="B35" s="10" t="s">
        <v>45</v>
      </c>
      <c r="C35" s="10" t="str" cm="1">
        <f t="array" aca="1" ref="C35" ca="1">_xll.DBR($C$28,$B35,C$30)</f>
        <v>*KEY_ERR</v>
      </c>
      <c r="D35" s="10" t="str" cm="1">
        <f t="array" aca="1" ref="D35" ca="1">_xll.DBR($C$28,$B35,D$30)</f>
        <v>*KEY_ERR</v>
      </c>
      <c r="E35" s="10" t="str" cm="1">
        <f t="array" aca="1" ref="E35" ca="1">_xll.DBR($C$28,$B35,E$30)</f>
        <v>*KEY_ERR</v>
      </c>
      <c r="F35" s="10" t="str" cm="1">
        <f t="array" aca="1" ref="F35" ca="1">_xll.DBR($C$28,$B35,F$30)</f>
        <v>*KEY_ERR</v>
      </c>
      <c r="G35" s="10" t="str" cm="1">
        <f t="array" aca="1" ref="G35" ca="1">_xll.DBR($C$28,$B35,G$30)</f>
        <v>*KEY_ERR</v>
      </c>
      <c r="H35" s="10" t="str" cm="1">
        <f t="array" aca="1" ref="H35" ca="1">_xll.DBR($C$28,$B35,H$30)</f>
        <v>*KEY_ERR</v>
      </c>
      <c r="AA35" s="5"/>
      <c r="AB35" s="5"/>
      <c r="AC35" s="5"/>
      <c r="AD35" s="5"/>
      <c r="AE35" s="5"/>
    </row>
    <row r="36" spans="2:31" hidden="1" outlineLevel="1" x14ac:dyDescent="0.3">
      <c r="B36" s="10" t="s">
        <v>62</v>
      </c>
      <c r="C36" s="10" t="str" cm="1">
        <f t="array" aca="1" ref="C36" ca="1">_xll.DBR($C$28,$B36,C$30)</f>
        <v>*KEY_ERR</v>
      </c>
      <c r="D36" s="10" t="str" cm="1">
        <f t="array" aca="1" ref="D36" ca="1">_xll.DBR($C$28,$B36,D$30)</f>
        <v>*KEY_ERR</v>
      </c>
      <c r="E36" s="10" t="str" cm="1">
        <f t="array" aca="1" ref="E36" ca="1">_xll.DBR($C$28,$B36,E$30)</f>
        <v>*KEY_ERR</v>
      </c>
      <c r="F36" s="10" t="str" cm="1">
        <f t="array" aca="1" ref="F36" ca="1">_xll.DBR($C$28,$B36,F$30)</f>
        <v>*KEY_ERR</v>
      </c>
      <c r="G36" s="10" t="str" cm="1">
        <f t="array" aca="1" ref="G36" ca="1">_xll.DBR($C$28,$B36,G$30)</f>
        <v>*KEY_ERR</v>
      </c>
      <c r="H36" s="10" t="str" cm="1">
        <f t="array" aca="1" ref="H36" ca="1">_xll.DBR($C$28,$B36,H$30)</f>
        <v>*KEY_ERR</v>
      </c>
      <c r="AA36" s="5"/>
      <c r="AB36" s="5"/>
      <c r="AC36" s="5"/>
      <c r="AD36" s="5"/>
      <c r="AE36" s="5"/>
    </row>
    <row r="37" spans="2:31" hidden="1" outlineLevel="1" x14ac:dyDescent="0.3">
      <c r="B37" s="10" t="s">
        <v>46</v>
      </c>
      <c r="C37" s="10" t="str" cm="1">
        <f t="array" aca="1" ref="C37" ca="1">_xll.DBR($C$28,$B37,C$30)</f>
        <v>*KEY_ERR</v>
      </c>
      <c r="D37" s="10" t="str" cm="1">
        <f t="array" aca="1" ref="D37" ca="1">_xll.DBR($C$28,$B37,D$30)</f>
        <v>*KEY_ERR</v>
      </c>
      <c r="E37" s="10" t="str" cm="1">
        <f t="array" aca="1" ref="E37" ca="1">_xll.DBR($C$28,$B37,E$30)</f>
        <v>*KEY_ERR</v>
      </c>
      <c r="F37" s="10" t="str" cm="1">
        <f t="array" aca="1" ref="F37" ca="1">_xll.DBR($C$28,$B37,F$30)</f>
        <v>*KEY_ERR</v>
      </c>
      <c r="G37" s="10" t="str" cm="1">
        <f t="array" aca="1" ref="G37" ca="1">_xll.DBR($C$28,$B37,G$30)</f>
        <v>*KEY_ERR</v>
      </c>
      <c r="H37" s="10" t="str" cm="1">
        <f t="array" aca="1" ref="H37" ca="1">_xll.DBR($C$28,$B37,H$30)</f>
        <v>*KEY_ERR</v>
      </c>
      <c r="AA37" s="5"/>
      <c r="AB37" s="5"/>
      <c r="AC37" s="5"/>
      <c r="AD37" s="5"/>
      <c r="AE37" s="5"/>
    </row>
    <row r="38" spans="2:31" hidden="1" outlineLevel="1" x14ac:dyDescent="0.3">
      <c r="B38" s="10" t="s">
        <v>34</v>
      </c>
      <c r="C38" s="10" t="str" cm="1">
        <f t="array" aca="1" ref="C38" ca="1">_xll.DBR($C$28,$B38,C$30)</f>
        <v>*KEY_ERR</v>
      </c>
      <c r="D38" s="10" t="str" cm="1">
        <f t="array" aca="1" ref="D38" ca="1">_xll.DBR($C$28,$B38,D$30)</f>
        <v>*KEY_ERR</v>
      </c>
      <c r="E38" s="10" t="str" cm="1">
        <f t="array" aca="1" ref="E38" ca="1">_xll.DBR($C$28,$B38,E$30)</f>
        <v>*KEY_ERR</v>
      </c>
      <c r="F38" s="10" t="str" cm="1">
        <f t="array" aca="1" ref="F38" ca="1">_xll.DBR($C$28,$B38,F$30)</f>
        <v>*KEY_ERR</v>
      </c>
      <c r="G38" s="10" t="str" cm="1">
        <f t="array" aca="1" ref="G38" ca="1">_xll.DBR($C$28,$B38,G$30)</f>
        <v>*KEY_ERR</v>
      </c>
      <c r="H38" s="10" t="str" cm="1">
        <f t="array" aca="1" ref="H38" ca="1">_xll.DBR($C$28,$B38,H$30)</f>
        <v>*KEY_ERR</v>
      </c>
      <c r="AA38" s="5"/>
      <c r="AB38" s="5"/>
      <c r="AC38" s="5"/>
      <c r="AD38" s="5"/>
      <c r="AE38" s="5"/>
    </row>
    <row r="39" spans="2:31" hidden="1" outlineLevel="1" x14ac:dyDescent="0.3">
      <c r="B39" s="10" t="s">
        <v>47</v>
      </c>
      <c r="C39" s="10" t="str" cm="1">
        <f t="array" aca="1" ref="C39" ca="1">_xll.DBR($C$28,$B39,C$30)</f>
        <v>*KEY_ERR</v>
      </c>
      <c r="D39" s="10" t="str" cm="1">
        <f t="array" aca="1" ref="D39" ca="1">_xll.DBR($C$28,$B39,D$30)</f>
        <v>*KEY_ERR</v>
      </c>
      <c r="E39" s="10" t="str" cm="1">
        <f t="array" aca="1" ref="E39" ca="1">_xll.DBR($C$28,$B39,E$30)</f>
        <v>*KEY_ERR</v>
      </c>
      <c r="F39" s="10" t="str" cm="1">
        <f t="array" aca="1" ref="F39" ca="1">_xll.DBR($C$28,$B39,F$30)</f>
        <v>*KEY_ERR</v>
      </c>
      <c r="G39" s="10" t="str" cm="1">
        <f t="array" aca="1" ref="G39" ca="1">_xll.DBR($C$28,$B39,G$30)</f>
        <v>*KEY_ERR</v>
      </c>
      <c r="H39" s="10" t="str" cm="1">
        <f t="array" aca="1" ref="H39" ca="1">_xll.DBR($C$28,$B39,H$30)</f>
        <v>*KEY_ERR</v>
      </c>
      <c r="AA39" s="5"/>
      <c r="AB39" s="5"/>
      <c r="AC39" s="5"/>
      <c r="AD39" s="5"/>
      <c r="AE39" s="5"/>
    </row>
    <row r="40" spans="2:31" hidden="1" outlineLevel="1" x14ac:dyDescent="0.3">
      <c r="B40" s="18" t="s">
        <v>48</v>
      </c>
      <c r="C40" s="10" t="str" cm="1">
        <f t="array" aca="1" ref="C40" ca="1">_xll.DBR($C$28,$B40,C$30)</f>
        <v>*KEY_ERR</v>
      </c>
      <c r="D40" s="10" t="str" cm="1">
        <f t="array" aca="1" ref="D40" ca="1">_xll.DBR($C$28,$B40,D$30)</f>
        <v>*KEY_ERR</v>
      </c>
      <c r="E40" s="10" t="str" cm="1">
        <f t="array" aca="1" ref="E40" ca="1">_xll.DBR($C$28,$B40,E$30)</f>
        <v>*KEY_ERR</v>
      </c>
      <c r="F40" s="10" t="str" cm="1">
        <f t="array" aca="1" ref="F40" ca="1">_xll.DBR($C$28,$B40,F$30)</f>
        <v>*KEY_ERR</v>
      </c>
      <c r="G40" s="10" t="str" cm="1">
        <f t="array" aca="1" ref="G40" ca="1">_xll.DBR($C$28,$B40,G$30)</f>
        <v>*KEY_ERR</v>
      </c>
      <c r="H40" s="10" t="str" cm="1">
        <f t="array" aca="1" ref="H40" ca="1">_xll.DBR($C$28,$B40,H$30)</f>
        <v>*KEY_ERR</v>
      </c>
      <c r="AA40" s="5"/>
      <c r="AB40" s="5"/>
      <c r="AC40" s="5"/>
      <c r="AD40" s="5"/>
      <c r="AE40" s="5"/>
    </row>
    <row r="41" spans="2:31" hidden="1" outlineLevel="1" x14ac:dyDescent="0.3">
      <c r="AA41" s="5"/>
      <c r="AB41" s="5"/>
      <c r="AC41" s="5"/>
      <c r="AD41" s="5"/>
      <c r="AE41" s="5"/>
    </row>
    <row r="42" spans="2:31" hidden="1" outlineLevel="1" x14ac:dyDescent="0.3">
      <c r="B42" s="51" t="s">
        <v>49</v>
      </c>
      <c r="C42" s="52"/>
      <c r="D42" s="53"/>
      <c r="AA42" s="5"/>
      <c r="AB42" s="5"/>
      <c r="AC42" s="5"/>
      <c r="AD42" s="5"/>
      <c r="AE42" s="5"/>
    </row>
    <row r="43" spans="2:31" hidden="1" outlineLevel="1" x14ac:dyDescent="0.3">
      <c r="B43" s="14" t="s">
        <v>5</v>
      </c>
      <c r="C43" s="10" t="str" cm="1">
        <f t="array" aca="1" ref="C43" ca="1">_xll.TM1RPTVIEW(db_name&amp;":AE adjustments:1", 1, _xll.TM1RPTTITLE(db_name&amp;":headline year",$AA$80), _xll.TM1RPTTITLE(db_name&amp;":scenario",$AA$81), _xll.TM1RPTTITLE(db_name&amp;":status",$AA$82), _xll.TM1RPTTITLE(db_name&amp;":outcome",$AA$86), _xll.TM1RPTTITLE(db_name&amp;":related entity",$C$48), _xll.TM1RPTTITLE(db_name&amp;":function",$C$49), _xll.TM1RPTTITLE(db_name&amp;":spp",$C$50), _xll.TM1RPTTITLE(db_name&amp;":measure code",$AA$87), _xll.TM1RPTTITLE(db_name&amp;":appropriation type",$C$53), _xll.TM1RPTTITLE(db_name&amp;":movement account",$AA$84), _xll.TM1RPTTITLE(db_name&amp;":appropriation item",$C$51), _xll.TM1RPTTITLE(db_name&amp;":account",$AA$83), _xll.TM1RPTTITLE(db_name&amp;":jurisdiction",$C$52),TM1RPTFMTRNG,TM1RPTFMTIDCOL)</f>
        <v>dcceew_geus:AE adjustments:1</v>
      </c>
      <c r="AA43" s="5"/>
      <c r="AB43" s="5"/>
      <c r="AC43" s="5"/>
      <c r="AD43" s="5"/>
      <c r="AE43" s="5"/>
    </row>
    <row r="44" spans="2:31" hidden="1" outlineLevel="1" x14ac:dyDescent="0.3">
      <c r="B44" s="14" t="s">
        <v>6</v>
      </c>
      <c r="C44" s="10" t="str" cm="1">
        <f t="array" aca="1" ref="C44" ca="1">_xll.VIEW(db_name&amp;":AE adjustments",$AA$80,$AA$81,$AA$82,$AA$86,$C$48,$C$49,"!",$C$50,$AA$87,$C$53,$AA$84,$C$51,"!",$AA$83,"!",$C$52,"!")</f>
        <v>dcceew_geus:AE adjustments</v>
      </c>
      <c r="AA44" s="5"/>
      <c r="AB44" s="5"/>
      <c r="AC44" s="5"/>
      <c r="AD44" s="5"/>
      <c r="AE44" s="5"/>
    </row>
    <row r="45" spans="2:31" hidden="1" outlineLevel="1" x14ac:dyDescent="0.3">
      <c r="B45" s="14" t="s">
        <v>8</v>
      </c>
      <c r="C45" s="10" t="str">
        <f ca="1">"{TM1FILTERBYLEVEL( {TM1DRILLDOWNMEMBER( {[Programme].["&amp;$AA$85&amp;"]}, ALL, RECURSIVE )}, 0)}"</f>
        <v>{TM1FILTERBYLEVEL( {TM1DRILLDOWNMEMBER( {[Programme].[]}, ALL, RECURSIVE )}, 0)}</v>
      </c>
      <c r="AA45" s="5"/>
      <c r="AB45" s="5"/>
      <c r="AC45" s="5"/>
      <c r="AD45" s="5"/>
      <c r="AE45" s="5"/>
    </row>
    <row r="46" spans="2:31" hidden="1" outlineLevel="1" x14ac:dyDescent="0.3">
      <c r="B46" s="14" t="s">
        <v>9</v>
      </c>
      <c r="C46" t="s">
        <v>63</v>
      </c>
      <c r="D46" s="10" t="s">
        <v>10</v>
      </c>
      <c r="AA46" s="5"/>
      <c r="AB46" s="5"/>
      <c r="AC46" s="5"/>
      <c r="AD46" s="5"/>
      <c r="AE46" s="5"/>
    </row>
    <row r="47" spans="2:31" hidden="1" outlineLevel="1" x14ac:dyDescent="0.3">
      <c r="B47" s="14" t="s">
        <v>75</v>
      </c>
      <c r="C47" s="19" t="str">
        <f>"{TM1FILTERBYLEVEL( {TM1DRILLDOWNMEMBER( {[Reason].[Total reason]}, ALL, RECURSIVE )}, 0)}"</f>
        <v>{TM1FILTERBYLEVEL( {TM1DRILLDOWNMEMBER( {[Reason].[Total reason]}, ALL, RECURSIVE )}, 0)}</v>
      </c>
      <c r="AA47" s="5"/>
      <c r="AB47" s="5"/>
      <c r="AC47" s="5"/>
      <c r="AD47" s="5"/>
      <c r="AE47" s="5"/>
    </row>
    <row r="48" spans="2:31" hidden="1" outlineLevel="1" x14ac:dyDescent="0.3">
      <c r="B48" s="14" t="s">
        <v>11</v>
      </c>
      <c r="C48" s="19" t="str" cm="1">
        <f t="array" aca="1" ref="C48" ca="1">_xll.SUBNM(db_name&amp;":related entity","","Total related entity")</f>
        <v/>
      </c>
      <c r="AA48" s="5"/>
      <c r="AB48" s="5"/>
      <c r="AC48" s="5"/>
      <c r="AD48" s="5"/>
      <c r="AE48" s="5"/>
    </row>
    <row r="49" spans="2:31" hidden="1" outlineLevel="1" x14ac:dyDescent="0.3">
      <c r="B49" s="14" t="s">
        <v>12</v>
      </c>
      <c r="C49" s="19" t="str" cm="1">
        <f t="array" aca="1" ref="C49" ca="1">_xll.SUBNM(db_name&amp;":function","","Total functions")</f>
        <v/>
      </c>
      <c r="AA49" s="5"/>
      <c r="AB49" s="5"/>
      <c r="AC49" s="5"/>
      <c r="AD49" s="5"/>
      <c r="AE49" s="5"/>
    </row>
    <row r="50" spans="2:31" hidden="1" outlineLevel="1" x14ac:dyDescent="0.3">
      <c r="B50" s="14" t="s">
        <v>13</v>
      </c>
      <c r="C50" s="19" t="str" cm="1">
        <f t="array" aca="1" ref="C50" ca="1">_xll.SUBNM(db_name&amp;":spp","","Total SPP")</f>
        <v/>
      </c>
      <c r="AA50" s="5"/>
      <c r="AB50" s="5"/>
      <c r="AC50" s="5"/>
      <c r="AD50" s="5"/>
      <c r="AE50" s="5"/>
    </row>
    <row r="51" spans="2:31" hidden="1" outlineLevel="1" x14ac:dyDescent="0.3">
      <c r="B51" s="14" t="s">
        <v>14</v>
      </c>
      <c r="C51" s="19" t="str" cm="1">
        <f t="array" aca="1" ref="C51" ca="1">_xll.SUBNM(db_name&amp;":appropriation item","","Total approp item")</f>
        <v/>
      </c>
      <c r="AA51" s="5"/>
      <c r="AB51" s="5"/>
      <c r="AC51" s="5"/>
      <c r="AD51" s="5"/>
      <c r="AE51" s="5"/>
    </row>
    <row r="52" spans="2:31" hidden="1" outlineLevel="1" x14ac:dyDescent="0.3">
      <c r="B52" s="14" t="s">
        <v>15</v>
      </c>
      <c r="C52" s="19" t="str" cm="1">
        <f t="array" aca="1" ref="C52" ca="1">_xll.SUBNM(db_name&amp;":jurisdiction","","Total jurisdictions")</f>
        <v/>
      </c>
      <c r="AA52" s="5"/>
      <c r="AB52" s="5"/>
      <c r="AC52" s="5"/>
      <c r="AD52" s="5"/>
      <c r="AE52" s="5"/>
    </row>
    <row r="53" spans="2:31" hidden="1" outlineLevel="1" x14ac:dyDescent="0.3">
      <c r="B53" s="14" t="s">
        <v>16</v>
      </c>
      <c r="C53" s="19" t="str" cm="1">
        <f t="array" aca="1" ref="C53" ca="1">_xll.SUBNM(db_name&amp;":appropriation type","Default","Total approp types")</f>
        <v/>
      </c>
      <c r="AA53" s="5"/>
      <c r="AB53" s="5"/>
      <c r="AC53" s="5"/>
      <c r="AD53" s="5"/>
      <c r="AE53" s="5"/>
    </row>
    <row r="54" spans="2:31" hidden="1" outlineLevel="1" x14ac:dyDescent="0.3">
      <c r="B54" s="14" t="s">
        <v>74</v>
      </c>
      <c r="C54" s="19" t="str">
        <f>"{TM1FILTERBYLEVEL( {TM1DRILLDOWNMEMBER( {[ID].[New Adjustments]}, ALL, RECURSIVE )}, 0)}"</f>
        <v>{TM1FILTERBYLEVEL( {TM1DRILLDOWNMEMBER( {[ID].[New Adjustments]}, ALL, RECURSIVE )}, 0)}</v>
      </c>
      <c r="AA54" s="5"/>
      <c r="AB54" s="5"/>
      <c r="AC54" s="5"/>
      <c r="AD54" s="5"/>
      <c r="AE54" s="5"/>
    </row>
    <row r="55" spans="2:31" hidden="1" outlineLevel="1" x14ac:dyDescent="0.3">
      <c r="B55" s="38"/>
      <c r="C55" s="11"/>
      <c r="AA55" s="5"/>
      <c r="AB55" s="5"/>
      <c r="AC55" s="5"/>
      <c r="AD55" s="5"/>
      <c r="AE55" s="5"/>
    </row>
    <row r="56" spans="2:31" hidden="1" outlineLevel="1" x14ac:dyDescent="0.3">
      <c r="AA56" s="5"/>
      <c r="AB56" s="5"/>
      <c r="AC56" s="5"/>
      <c r="AD56" s="5"/>
      <c r="AE56" s="5"/>
    </row>
    <row r="57" spans="2:31" hidden="1" outlineLevel="1" x14ac:dyDescent="0.3">
      <c r="B57" s="51" t="s">
        <v>67</v>
      </c>
      <c r="C57" s="52"/>
      <c r="D57" s="53"/>
      <c r="AA57" s="5"/>
      <c r="AB57" s="5"/>
      <c r="AC57" s="5"/>
      <c r="AD57" s="5"/>
      <c r="AE57" s="5"/>
    </row>
    <row r="58" spans="2:31" hidden="1" outlineLevel="1" x14ac:dyDescent="0.3">
      <c r="B58" s="14" t="s">
        <v>6</v>
      </c>
      <c r="C58" s="10" t="str">
        <f ca="1">_xll.VIEW(db_name&amp;":AE ID Details",$AA$80,$AA$81,"!","!")</f>
        <v>dcceew_geus:AE ID Details</v>
      </c>
      <c r="AA58" s="5"/>
      <c r="AB58" s="5"/>
      <c r="AC58" s="5"/>
      <c r="AD58" s="5"/>
      <c r="AE58" s="5"/>
    </row>
    <row r="59" spans="2:31" hidden="1" outlineLevel="1" x14ac:dyDescent="0.3">
      <c r="AA59" s="5"/>
      <c r="AB59" s="5"/>
      <c r="AC59" s="5"/>
      <c r="AD59" s="5"/>
      <c r="AE59" s="5"/>
    </row>
    <row r="60" spans="2:31" hidden="1" outlineLevel="1" x14ac:dyDescent="0.3">
      <c r="B60" s="51" t="s">
        <v>70</v>
      </c>
      <c r="C60" s="52"/>
      <c r="D60" s="53"/>
      <c r="AA60" s="5"/>
      <c r="AB60" s="5"/>
      <c r="AC60" s="5"/>
      <c r="AD60" s="5"/>
      <c r="AE60" s="5"/>
    </row>
    <row r="61" spans="2:31" hidden="1" outlineLevel="1" x14ac:dyDescent="0.3">
      <c r="B61" s="14" t="s">
        <v>6</v>
      </c>
      <c r="C61" s="10" t="str">
        <f ca="1">_xll.VIEW(db_name&amp;":}ElementAttributes_measure code","!","!")</f>
        <v>dcceew_geus:}ElementAttributes_measure code</v>
      </c>
      <c r="AA61" s="5"/>
      <c r="AB61" s="5"/>
      <c r="AC61" s="5"/>
      <c r="AD61" s="5"/>
      <c r="AE61" s="5"/>
    </row>
    <row r="62" spans="2:31" hidden="1" outlineLevel="1" x14ac:dyDescent="0.3">
      <c r="B62" s="14" t="s">
        <v>71</v>
      </c>
      <c r="C62" s="10"/>
      <c r="AA62" s="5"/>
      <c r="AB62" s="5"/>
      <c r="AC62" s="5"/>
      <c r="AD62" s="5"/>
      <c r="AE62" s="5"/>
    </row>
    <row r="63" spans="2:31" hidden="1" outlineLevel="1" x14ac:dyDescent="0.3">
      <c r="AA63" s="5"/>
      <c r="AB63" s="5"/>
      <c r="AC63" s="5"/>
      <c r="AD63" s="5"/>
      <c r="AE63" s="5"/>
    </row>
    <row r="64" spans="2:31" hidden="1" outlineLevel="1" x14ac:dyDescent="0.3">
      <c r="AA64" s="5"/>
      <c r="AB64" s="5"/>
      <c r="AC64" s="5"/>
      <c r="AD64" s="5"/>
      <c r="AE64" s="5"/>
    </row>
    <row r="65" spans="7:38" hidden="1" outlineLevel="1" x14ac:dyDescent="0.3">
      <c r="AA65" s="5"/>
      <c r="AB65" s="5"/>
      <c r="AC65" s="5"/>
      <c r="AD65" s="5"/>
      <c r="AE65" s="5"/>
    </row>
    <row r="66" spans="7:38" hidden="1" outlineLevel="1" x14ac:dyDescent="0.3">
      <c r="AA66" s="5"/>
      <c r="AB66" s="5"/>
      <c r="AC66" s="5"/>
      <c r="AD66" s="5"/>
      <c r="AE66" s="5"/>
    </row>
    <row r="67" spans="7:38" hidden="1" outlineLevel="1" x14ac:dyDescent="0.3">
      <c r="AA67" s="5"/>
      <c r="AB67" s="5"/>
      <c r="AC67" s="5"/>
      <c r="AD67" s="5"/>
      <c r="AE67" s="5"/>
    </row>
    <row r="68" spans="7:38" hidden="1" outlineLevel="1" x14ac:dyDescent="0.3">
      <c r="AA68" s="5"/>
      <c r="AB68" s="5"/>
      <c r="AC68" s="5"/>
      <c r="AD68" s="5"/>
      <c r="AE68" s="5"/>
    </row>
    <row r="69" spans="7:38" hidden="1" outlineLevel="1" x14ac:dyDescent="0.3">
      <c r="AA69" s="5"/>
      <c r="AB69" s="5"/>
      <c r="AC69" s="5"/>
      <c r="AD69" s="5"/>
      <c r="AE69" s="5"/>
    </row>
    <row r="70" spans="7:38" hidden="1" outlineLevel="1" x14ac:dyDescent="0.3">
      <c r="AB70" s="10" t="s">
        <v>58</v>
      </c>
      <c r="AC70" s="10" t="str">
        <f ca="1">RIGHT(AA80,9)</f>
        <v/>
      </c>
      <c r="AD70" s="9"/>
      <c r="AE70" s="9">
        <v>-1</v>
      </c>
      <c r="AF70" s="9">
        <v>0</v>
      </c>
      <c r="AG70" s="9">
        <v>1</v>
      </c>
      <c r="AH70" s="9">
        <v>2</v>
      </c>
      <c r="AI70" s="9">
        <v>3</v>
      </c>
      <c r="AJ70" s="9">
        <v>4</v>
      </c>
      <c r="AK70" s="9">
        <v>5</v>
      </c>
      <c r="AL70" s="9">
        <v>6</v>
      </c>
    </row>
    <row r="71" spans="7:38" hidden="1" outlineLevel="1" x14ac:dyDescent="0.3">
      <c r="AB71" s="10"/>
      <c r="AC71" s="35" t="s">
        <v>7</v>
      </c>
      <c r="AD71" s="10"/>
      <c r="AE71" s="10" t="str" cm="1">
        <f t="array" aca="1" ref="AE71" ca="1">_xll.DIMNM(db_name&amp;":period",_xll.DIMIX(db_name&amp;":period",$AC$70)+AE$70)</f>
        <v/>
      </c>
      <c r="AF71" s="10" t="str" cm="1">
        <f t="array" aca="1" ref="AF71" ca="1">_xll.DIMNM(db_name&amp;":period",_xll.DIMIX(db_name&amp;":period",$AC$70)+AF$70)</f>
        <v/>
      </c>
      <c r="AG71" s="10" t="str" cm="1">
        <f t="array" aca="1" ref="AG71" ca="1">_xll.DIMNM(db_name&amp;":period",_xll.DIMIX(db_name&amp;":period",$AC$70)+AG$70)</f>
        <v/>
      </c>
      <c r="AH71" s="10" t="str" cm="1">
        <f t="array" aca="1" ref="AH71" ca="1">_xll.DIMNM(db_name&amp;":period",_xll.DIMIX(db_name&amp;":period",$AC$70)+AH$70)</f>
        <v/>
      </c>
      <c r="AI71" s="10" t="str" cm="1">
        <f t="array" aca="1" ref="AI71" ca="1">_xll.DIMNM(db_name&amp;":period",_xll.DIMIX(db_name&amp;":period",$AC$70)+AI$70)</f>
        <v/>
      </c>
      <c r="AJ71" s="10" t="str" cm="1">
        <f t="array" aca="1" ref="AJ71" ca="1">_xll.DIMNM(db_name&amp;":period",_xll.DIMIX(db_name&amp;":period",$AC$70)+AJ$70)</f>
        <v/>
      </c>
      <c r="AK71" s="10" t="str" cm="1">
        <f t="array" aca="1" ref="AK71" ca="1">_xll.DIMNM(db_name&amp;":period",_xll.DIMIX(db_name&amp;":period",$AC$70)+AK$70)</f>
        <v/>
      </c>
      <c r="AL71" s="10" t="str" cm="1">
        <f t="array" aca="1" ref="AL71" ca="1">_xll.DIMNM(db_name&amp;":period",_xll.DIMIX(db_name&amp;":period",$AC$70)+AL$70)</f>
        <v/>
      </c>
    </row>
    <row r="72" spans="7:38" hidden="1" outlineLevel="1" x14ac:dyDescent="0.3"/>
    <row r="73" spans="7:38" hidden="1" outlineLevel="1" x14ac:dyDescent="0.3"/>
    <row r="74" spans="7:38" ht="39.9" customHeight="1" collapsed="1" x14ac:dyDescent="0.3">
      <c r="T74" s="36"/>
      <c r="U74" s="36"/>
      <c r="V74" s="36"/>
      <c r="W74" s="36"/>
      <c r="X74" s="36"/>
      <c r="Y74" s="36"/>
      <c r="Z74" s="36"/>
      <c r="AA74" s="36"/>
      <c r="AB74" s="36"/>
      <c r="AC74" s="36" t="s">
        <v>81</v>
      </c>
      <c r="AD74" s="36"/>
      <c r="AE74" s="36"/>
      <c r="AF74" s="36"/>
      <c r="AG74" s="36"/>
      <c r="AH74" s="36"/>
      <c r="AI74" s="36"/>
      <c r="AJ74" s="36"/>
      <c r="AK74" s="36"/>
      <c r="AL74" s="36"/>
    </row>
    <row r="75" spans="7:38" ht="4.5" customHeight="1" x14ac:dyDescent="0.3"/>
    <row r="76" spans="7:38" ht="24" customHeight="1" x14ac:dyDescent="0.3"/>
    <row r="77" spans="7:38" ht="1.5" customHeight="1" x14ac:dyDescent="0.3"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</row>
    <row r="78" spans="7:38" ht="4.5" customHeight="1" x14ac:dyDescent="0.3"/>
    <row r="79" spans="7:38" x14ac:dyDescent="0.3">
      <c r="AA79" s="48" t="s">
        <v>61</v>
      </c>
    </row>
    <row r="80" spans="7:38" x14ac:dyDescent="0.3"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V80" s="8"/>
      <c r="W80" s="8"/>
      <c r="Z80" s="20" t="s">
        <v>50</v>
      </c>
      <c r="AA80" s="19" t="str" cm="1">
        <f t="array" aca="1" ref="AA80" ca="1">_xll.SUBNM(db_name&amp;":headline year","current",$C$21,"")</f>
        <v/>
      </c>
    </row>
    <row r="81" spans="1:38" x14ac:dyDescent="0.3">
      <c r="Z81" s="20" t="s">
        <v>51</v>
      </c>
      <c r="AA81" s="19" t="str" cm="1">
        <f t="array" aca="1" ref="AA81" ca="1">_xll.SUBNM(db_name&amp;":scenario","",$C$22,"")</f>
        <v/>
      </c>
    </row>
    <row r="82" spans="1:38" x14ac:dyDescent="0.3">
      <c r="Z82" s="20" t="s">
        <v>52</v>
      </c>
      <c r="AA82" s="19" t="str" cm="1">
        <f t="array" aca="1" ref="AA82" ca="1">_xll.SUBNM(db_name&amp;":status","","Total approved","")</f>
        <v/>
      </c>
    </row>
    <row r="83" spans="1:38" x14ac:dyDescent="0.3">
      <c r="Z83" s="20" t="s">
        <v>53</v>
      </c>
      <c r="AA83" s="19" t="str" cm="1">
        <f t="array" aca="1" ref="AA83" ca="1">_xll.SUBNM(db_name&amp;":account","","2000000","code and description")</f>
        <v/>
      </c>
    </row>
    <row r="84" spans="1:38" x14ac:dyDescent="0.3">
      <c r="Z84" s="20" t="s">
        <v>54</v>
      </c>
      <c r="AA84" s="19" t="str" cm="1">
        <f t="array" aca="1" ref="AA84" ca="1">_xll.SUBNM(db_name&amp;":movement account","","Total Movement","code and description")</f>
        <v/>
      </c>
    </row>
    <row r="85" spans="1:38" x14ac:dyDescent="0.3">
      <c r="Z85" s="20" t="s">
        <v>55</v>
      </c>
      <c r="AA85" s="19" t="str" cm="1">
        <f t="array" aca="1" ref="AA85" ca="1">_xll.SUBNM(db_name&amp;":programme","","Administered Programmes","code and description")</f>
        <v/>
      </c>
    </row>
    <row r="86" spans="1:38" x14ac:dyDescent="0.3">
      <c r="Z86" s="20" t="s">
        <v>56</v>
      </c>
      <c r="AA86" s="19" t="str" cm="1">
        <f t="array" aca="1" ref="AA86" ca="1">_xll.SUBNM(db_name&amp;":outcome","","Total outcomes","code and description")</f>
        <v/>
      </c>
    </row>
    <row r="87" spans="1:38" x14ac:dyDescent="0.3">
      <c r="Z87" s="20" t="s">
        <v>57</v>
      </c>
      <c r="AA87" s="19" t="str" cm="1">
        <f t="array" aca="1" ref="AA87" ca="1">_xll.SUBNM(db_name&amp;":measure code","","Total Measures","code and description")</f>
        <v/>
      </c>
      <c r="AE87" s="50" t="s">
        <v>83</v>
      </c>
      <c r="AJ87" s="37" t="s">
        <v>64</v>
      </c>
      <c r="AK87" s="54">
        <f ca="1">NOW()</f>
        <v>44972.397961111114</v>
      </c>
      <c r="AL87" s="54"/>
    </row>
    <row r="88" spans="1:38" ht="4.5" customHeight="1" x14ac:dyDescent="0.3"/>
    <row r="89" spans="1:38" s="11" customFormat="1" x14ac:dyDescent="0.3">
      <c r="G89" s="12" t="str">
        <f ca="1">AE$71</f>
        <v/>
      </c>
      <c r="H89" s="12" t="str">
        <f t="shared" ref="H89" ca="1" si="0">AF$71</f>
        <v/>
      </c>
      <c r="I89" s="12" t="str">
        <f t="shared" ref="I89" ca="1" si="1">AG$71</f>
        <v/>
      </c>
      <c r="J89" s="12" t="str">
        <f t="shared" ref="J89" ca="1" si="2">AH$71</f>
        <v/>
      </c>
      <c r="K89" s="12" t="str">
        <f t="shared" ref="K89" ca="1" si="3">AI$71</f>
        <v/>
      </c>
      <c r="L89" s="12" t="str">
        <f t="shared" ref="L89" ca="1" si="4">AJ$71</f>
        <v/>
      </c>
      <c r="M89" s="12" t="str">
        <f t="shared" ref="M89" ca="1" si="5">AK$71</f>
        <v/>
      </c>
      <c r="N89" s="12" t="str">
        <f t="shared" ref="N89" ca="1" si="6">AL$71</f>
        <v/>
      </c>
      <c r="O89" s="12"/>
      <c r="P89" s="12" t="s">
        <v>68</v>
      </c>
      <c r="Q89" s="12" t="s">
        <v>66</v>
      </c>
      <c r="R89" s="12" t="s">
        <v>69</v>
      </c>
      <c r="S89" s="12" t="s">
        <v>12</v>
      </c>
      <c r="T89" s="13"/>
      <c r="U89" s="22" t="s">
        <v>60</v>
      </c>
      <c r="V89" s="22" t="s">
        <v>59</v>
      </c>
      <c r="W89" s="13"/>
      <c r="X89" s="22" t="s">
        <v>65</v>
      </c>
      <c r="Y89" s="22" t="s">
        <v>82</v>
      </c>
      <c r="Z89" s="22" t="s">
        <v>72</v>
      </c>
      <c r="AA89" s="22" t="s">
        <v>17</v>
      </c>
      <c r="AB89" s="22" t="s">
        <v>66</v>
      </c>
      <c r="AC89" s="22" t="s">
        <v>73</v>
      </c>
      <c r="AD89" s="13"/>
      <c r="AE89" s="22" t="str">
        <f t="shared" ref="AE89:AL89" ca="1" si="7">AE$71</f>
        <v/>
      </c>
      <c r="AF89" s="22" t="str">
        <f t="shared" ca="1" si="7"/>
        <v/>
      </c>
      <c r="AG89" s="22" t="str">
        <f t="shared" ca="1" si="7"/>
        <v/>
      </c>
      <c r="AH89" s="22" t="str">
        <f t="shared" ca="1" si="7"/>
        <v/>
      </c>
      <c r="AI89" s="22" t="str">
        <f t="shared" ca="1" si="7"/>
        <v/>
      </c>
      <c r="AJ89" s="22" t="str">
        <f t="shared" ca="1" si="7"/>
        <v/>
      </c>
      <c r="AK89" s="22" t="str">
        <f t="shared" ca="1" si="7"/>
        <v/>
      </c>
      <c r="AL89" s="22" t="str">
        <f t="shared" ca="1" si="7"/>
        <v/>
      </c>
    </row>
    <row r="90" spans="1:38" s="38" customFormat="1" ht="15" customHeight="1" x14ac:dyDescent="0.3">
      <c r="B90" s="38" t="str">
        <f ca="1">$AA$85</f>
        <v/>
      </c>
      <c r="C90" s="38" t="s">
        <v>77</v>
      </c>
      <c r="D90" s="43" t="s">
        <v>78</v>
      </c>
      <c r="E90" s="38" t="s">
        <v>82</v>
      </c>
      <c r="X90" s="44"/>
      <c r="Y90" s="49"/>
      <c r="Z90" s="45"/>
      <c r="AA90" s="45"/>
      <c r="AB90" s="45"/>
      <c r="AC90" s="46" t="s">
        <v>76</v>
      </c>
      <c r="AE90" s="47" t="str">
        <f t="array" aca="1" ref="AE90" ca="1">_xll.DBRW($C$44,$AA$80,$AA$81,$AA$82,$AA$86,$C$48,$C$49,$C90,$C$50,$AA$87,$C$53,$AA$84,$C$51,$B90,$AA$83,$D90,$C$52,AE$92)</f>
        <v/>
      </c>
      <c r="AF90" s="47" t="str">
        <f t="array" aca="1" ref="AF90" ca="1">_xll.DBRW($C$44,$AA$80,$AA$81,$AA$82,$AA$86,$C$48,$C$49,$C90,$C$50,$AA$87,$C$53,$AA$84,$C$51,$B90,$AA$83,$D90,$C$52,AF$92)</f>
        <v/>
      </c>
      <c r="AG90" s="47" t="str">
        <f t="array" aca="1" ref="AG90" ca="1">_xll.DBRW($C$44,$AA$80,$AA$81,$AA$82,$AA$86,$C$48,$C$49,$C90,$C$50,$AA$87,$C$53,$AA$84,$C$51,$B90,$AA$83,$D90,$C$52,AG$92)</f>
        <v/>
      </c>
      <c r="AH90" s="47" t="str">
        <f t="array" aca="1" ref="AH90" ca="1">_xll.DBRW($C$44,$AA$80,$AA$81,$AA$82,$AA$86,$C$48,$C$49,$C90,$C$50,$AA$87,$C$53,$AA$84,$C$51,$B90,$AA$83,$D90,$C$52,AH$92)</f>
        <v/>
      </c>
      <c r="AI90" s="47" t="str">
        <f t="array" aca="1" ref="AI90" ca="1">_xll.DBRW($C$44,$AA$80,$AA$81,$AA$82,$AA$86,$C$48,$C$49,$C90,$C$50,$AA$87,$C$53,$AA$84,$C$51,$B90,$AA$83,$D90,$C$52,AI$92)</f>
        <v/>
      </c>
      <c r="AJ90" s="47" t="str">
        <f t="array" aca="1" ref="AJ90" ca="1">_xll.DBRW($C$44,$AA$80,$AA$81,$AA$82,$AA$86,$C$48,$C$49,$C90,$C$50,$AA$87,$C$53,$AA$84,$C$51,$B90,$AA$83,$D90,$C$52,AJ$92)</f>
        <v/>
      </c>
      <c r="AK90" s="47" t="str">
        <f t="array" aca="1" ref="AK90" ca="1">_xll.DBRW($C$44,$AA$80,$AA$81,$AA$82,$AA$86,$C$48,$C$49,$C90,$C$50,$AA$87,$C$53,$AA$84,$C$51,$B90,$AA$83,$D90,$C$52,AK$92)</f>
        <v/>
      </c>
      <c r="AL90" s="47" t="str">
        <f t="array" aca="1" ref="AL90" ca="1">_xll.DBRW($C$44,$AA$80,$AA$81,$AA$82,$AA$86,$C$48,$C$49,$C90,$C$50,$AA$87,$C$53,$AA$84,$C$51,$B90,$AA$83,$D90,$C$52,AL$92)</f>
        <v/>
      </c>
    </row>
    <row r="91" spans="1:38" ht="4.5" customHeight="1" x14ac:dyDescent="0.3"/>
    <row r="92" spans="1:38" s="11" customFormat="1" x14ac:dyDescent="0.3">
      <c r="G92" s="12" t="str">
        <f ca="1">AE$71</f>
        <v/>
      </c>
      <c r="H92" s="12" t="str">
        <f t="shared" ref="H92:N92" ca="1" si="8">AF$71</f>
        <v/>
      </c>
      <c r="I92" s="12" t="str">
        <f t="shared" ca="1" si="8"/>
        <v/>
      </c>
      <c r="J92" s="12" t="str">
        <f t="shared" ca="1" si="8"/>
        <v/>
      </c>
      <c r="K92" s="12" t="str">
        <f t="shared" ca="1" si="8"/>
        <v/>
      </c>
      <c r="L92" s="12" t="str">
        <f t="shared" ca="1" si="8"/>
        <v/>
      </c>
      <c r="M92" s="12" t="str">
        <f t="shared" ca="1" si="8"/>
        <v/>
      </c>
      <c r="N92" s="12" t="str">
        <f t="shared" ca="1" si="8"/>
        <v/>
      </c>
      <c r="O92" s="12"/>
      <c r="P92" s="12" t="s">
        <v>68</v>
      </c>
      <c r="Q92" s="12" t="s">
        <v>66</v>
      </c>
      <c r="R92" s="12" t="s">
        <v>69</v>
      </c>
      <c r="S92" s="12" t="s">
        <v>12</v>
      </c>
      <c r="T92" s="13"/>
      <c r="U92" s="22" t="s">
        <v>60</v>
      </c>
      <c r="V92" s="22" t="s">
        <v>59</v>
      </c>
      <c r="W92" s="13"/>
      <c r="X92" s="22" t="s">
        <v>65</v>
      </c>
      <c r="Y92" s="22" t="s">
        <v>82</v>
      </c>
      <c r="Z92" s="22" t="s">
        <v>72</v>
      </c>
      <c r="AA92" s="22" t="s">
        <v>17</v>
      </c>
      <c r="AB92" s="22" t="s">
        <v>66</v>
      </c>
      <c r="AC92" s="22" t="s">
        <v>73</v>
      </c>
      <c r="AD92" s="13"/>
      <c r="AE92" s="22" t="str">
        <f t="shared" ref="AE92:AL92" ca="1" si="9">AE$71</f>
        <v/>
      </c>
      <c r="AF92" s="22" t="str">
        <f t="shared" ca="1" si="9"/>
        <v/>
      </c>
      <c r="AG92" s="22" t="str">
        <f t="shared" ca="1" si="9"/>
        <v/>
      </c>
      <c r="AH92" s="22" t="str">
        <f t="shared" ca="1" si="9"/>
        <v/>
      </c>
      <c r="AI92" s="22" t="str">
        <f t="shared" ca="1" si="9"/>
        <v/>
      </c>
      <c r="AJ92" s="22" t="str">
        <f t="shared" ca="1" si="9"/>
        <v/>
      </c>
      <c r="AK92" s="22" t="str">
        <f t="shared" ca="1" si="9"/>
        <v/>
      </c>
      <c r="AL92" s="22" t="str">
        <f t="shared" ca="1" si="9"/>
        <v/>
      </c>
    </row>
    <row r="93" spans="1:38" x14ac:dyDescent="0.3">
      <c r="A93" t="s">
        <v>2</v>
      </c>
      <c r="B93" s="21" t="str" cm="1">
        <f t="array" aca="1" ref="B93" ca="1">_xll.TM1RPTROW($C$43,db_name&amp;":programme","","","code and description",0,$C$45)</f>
        <v/>
      </c>
      <c r="C93" t="str">
        <f ca="1">_xll.TM1RPTROW($C$43,db_name&amp;":reason","","","CBMS Code and Description",0,$C$47)</f>
        <v/>
      </c>
      <c r="D93" t="str">
        <f ca="1">_xll.TM1RPTROW($C$43,db_name&amp;":ID","","",,0,$C$54)</f>
        <v/>
      </c>
      <c r="E93" t="str">
        <f ca="1">_xll.DBR($C$58,$AA$80,$AA$81,$D93,$E$90)</f>
        <v>*KEY_ERR</v>
      </c>
      <c r="F93" t="str" cm="1">
        <f t="array" aca="1" ref="F93" ca="1">_xll.DBRA(db_name&amp;":programme",_xll.ELPAR(db_name&amp;":programme",_xll.ELPAR(db_name&amp;":programme",V93,1),1),"code and description")</f>
        <v/>
      </c>
      <c r="G93" t="str">
        <f t="array" aca="1" ref="G93" ca="1">_xll.DBRW($C$43,$AA$80,$AA$81,$AA$82,$AA$86,$C$48,$C$49,$C93,$C$50,$AA$87,$C$53,$AA$84,$C$51,$B93,$AA$83,$D93,$C$52,G$92)</f>
        <v/>
      </c>
      <c r="H93" t="str">
        <f t="array" aca="1" ref="H93" ca="1">_xll.DBRW($C$43,$AA$80,$AA$81,$AA$82,$AA$86,$C$48,$C$49,$C93,$C$50,$AA$87,$C$53,$AA$84,$C$51,$B93,$AA$83,$D93,$C$52,H$92)</f>
        <v/>
      </c>
      <c r="I93" t="str">
        <f t="array" aca="1" ref="I93" ca="1">_xll.DBRW($C$43,$AA$80,$AA$81,$AA$82,$AA$86,$C$48,$C$49,$C93,$C$50,$AA$87,$C$53,$AA$84,$C$51,$B93,$AA$83,$D93,$C$52,I$92)</f>
        <v/>
      </c>
      <c r="J93" t="str">
        <f t="array" aca="1" ref="J93" ca="1">_xll.DBRW($C$43,$AA$80,$AA$81,$AA$82,$AA$86,$C$48,$C$49,$C93,$C$50,$AA$87,$C$53,$AA$84,$C$51,$B93,$AA$83,$D93,$C$52,J$92)</f>
        <v/>
      </c>
      <c r="K93" t="str">
        <f t="array" aca="1" ref="K93" ca="1">_xll.DBRW($C$43,$AA$80,$AA$81,$AA$82,$AA$86,$C$48,$C$49,$C93,$C$50,$AA$87,$C$53,$AA$84,$C$51,$B93,$AA$83,$D93,$C$52,K$92)</f>
        <v/>
      </c>
      <c r="L93" t="str">
        <f t="array" aca="1" ref="L93" ca="1">_xll.DBRW($C$43,$AA$80,$AA$81,$AA$82,$AA$86,$C$48,$C$49,$C93,$C$50,$AA$87,$C$53,$AA$84,$C$51,$B93,$AA$83,$D93,$C$52,L$92)</f>
        <v/>
      </c>
      <c r="M93" t="str">
        <f t="array" aca="1" ref="M93" ca="1">_xll.DBRW($C$43,$AA$80,$AA$81,$AA$82,$AA$86,$C$48,$C$49,$C93,$C$50,$AA$87,$C$53,$AA$84,$C$51,$B93,$AA$83,$D93,$C$52,M$92)</f>
        <v/>
      </c>
      <c r="N93" t="str">
        <f t="array" aca="1" ref="N93" ca="1">_xll.DBRW($C$43,$AA$80,$AA$81,$AA$82,$AA$86,$C$48,$C$49,$C93,$C$50,$AA$87,$C$53,$AA$84,$C$51,$B93,$AA$83,$D93,$C$52,N$92)</f>
        <v/>
      </c>
      <c r="P93" t="str">
        <f ca="1">_xll.DBR($C$58,$AA$80,$AA$81,$D93,$P$92)</f>
        <v>*KEY_ERR</v>
      </c>
      <c r="Q93" t="str">
        <f ca="1">_xll.DBR($C$58,$AA$80,$AA$81,$D93,$Q$92)</f>
        <v>*KEY_ERR</v>
      </c>
      <c r="R93" t="str">
        <f ca="1">_xll.DBR($C$61,$Q93,$B$62)</f>
        <v>*KEY_ERR</v>
      </c>
      <c r="S93" t="str">
        <f ca="1">_xll.DBR($C$58,$AA$80,$AA$81,$D93,$S$92)</f>
        <v>*KEY_ERR</v>
      </c>
      <c r="U93" s="28" t="str">
        <f ca="1">$F93</f>
        <v/>
      </c>
      <c r="V93" s="28" t="str">
        <f ca="1">IF($B93=B92,"",$B93)</f>
        <v/>
      </c>
      <c r="X93" s="29" t="str">
        <f ca="1">$D93</f>
        <v/>
      </c>
      <c r="Y93" s="29" t="str">
        <f ca="1">$E93</f>
        <v>*KEY_ERR</v>
      </c>
      <c r="Z93" s="29" t="str">
        <f ca="1">$P93</f>
        <v>*KEY_ERR</v>
      </c>
      <c r="AA93" s="39" t="str">
        <f ca="1">$C93</f>
        <v/>
      </c>
      <c r="AB93" s="30" t="str">
        <f ca="1">IF($Q93= "M00000", "No Measure",$R93)</f>
        <v>*KEY_ERR</v>
      </c>
      <c r="AC93" s="30" t="str">
        <f ca="1">$S93</f>
        <v>*KEY_ERR</v>
      </c>
      <c r="AD93" s="2"/>
      <c r="AE93" s="23" t="str">
        <f t="array" aca="1" ref="AE93" ca="1">_xll.DBRW($C$44,$AA$80,$AA$81,$AA$82,$AA$86,$C$48,$C$49,$C93,$C$50,$AA$87,$C$53,$AA$84,$C$51,$B93,$AA$83,$D93,$C$52,AE$92)</f>
        <v/>
      </c>
      <c r="AF93" s="23" t="str">
        <f t="array" aca="1" ref="AF93" ca="1">_xll.DBRW($C$44,$AA$80,$AA$81,$AA$82,$AA$86,$C$48,$C$49,$C93,$C$50,$AA$87,$C$53,$AA$84,$C$51,$B93,$AA$83,$D93,$C$52,AF$92)</f>
        <v/>
      </c>
      <c r="AG93" s="23" t="str">
        <f t="array" aca="1" ref="AG93" ca="1">_xll.DBRW($C$44,$AA$80,$AA$81,$AA$82,$AA$86,$C$48,$C$49,$C93,$C$50,$AA$87,$C$53,$AA$84,$C$51,$B93,$AA$83,$D93,$C$52,AG$92)</f>
        <v/>
      </c>
      <c r="AH93" s="23" t="str">
        <f t="array" aca="1" ref="AH93" ca="1">_xll.DBRW($C$44,$AA$80,$AA$81,$AA$82,$AA$86,$C$48,$C$49,$C93,$C$50,$AA$87,$C$53,$AA$84,$C$51,$B93,$AA$83,$D93,$C$52,AH$92)</f>
        <v/>
      </c>
      <c r="AI93" s="23" t="str">
        <f t="array" aca="1" ref="AI93" ca="1">_xll.DBRW($C$44,$AA$80,$AA$81,$AA$82,$AA$86,$C$48,$C$49,$C93,$C$50,$AA$87,$C$53,$AA$84,$C$51,$B93,$AA$83,$D93,$C$52,AI$92)</f>
        <v/>
      </c>
      <c r="AJ93" s="23" t="str">
        <f t="array" aca="1" ref="AJ93" ca="1">_xll.DBRW($C$44,$AA$80,$AA$81,$AA$82,$AA$86,$C$48,$C$49,$C93,$C$50,$AA$87,$C$53,$AA$84,$C$51,$B93,$AA$83,$D93,$C$52,AJ$92)</f>
        <v/>
      </c>
      <c r="AK93" s="23" t="str">
        <f t="array" aca="1" ref="AK93" ca="1">_xll.DBRW($C$44,$AA$80,$AA$81,$AA$82,$AA$86,$C$48,$C$49,$C93,$C$50,$AA$87,$C$53,$AA$84,$C$51,$B93,$AA$83,$D93,$C$52,AK$92)</f>
        <v/>
      </c>
      <c r="AL93" s="23" t="str">
        <f t="array" aca="1" ref="AL93" ca="1">_xll.DBRW($C$44,$AA$80,$AA$81,$AA$82,$AA$86,$C$48,$C$49,$C93,$C$50,$AA$87,$C$53,$AA$84,$C$51,$B93,$AA$83,$D93,$C$52,AL$92)</f>
        <v/>
      </c>
    </row>
    <row r="94" spans="1:38" ht="4.5" customHeight="1" x14ac:dyDescent="0.3"/>
    <row r="95" spans="1:38" s="11" customFormat="1" x14ac:dyDescent="0.3">
      <c r="G95" s="12" t="str">
        <f ca="1">AE$71</f>
        <v/>
      </c>
      <c r="H95" s="12" t="str">
        <f t="shared" ref="H95" ca="1" si="10">AF$71</f>
        <v/>
      </c>
      <c r="I95" s="12" t="str">
        <f t="shared" ref="I95" ca="1" si="11">AG$71</f>
        <v/>
      </c>
      <c r="J95" s="12" t="str">
        <f t="shared" ref="J95" ca="1" si="12">AH$71</f>
        <v/>
      </c>
      <c r="K95" s="12" t="str">
        <f t="shared" ref="K95" ca="1" si="13">AI$71</f>
        <v/>
      </c>
      <c r="L95" s="12" t="str">
        <f t="shared" ref="L95" ca="1" si="14">AJ$71</f>
        <v/>
      </c>
      <c r="M95" s="12" t="str">
        <f t="shared" ref="M95" ca="1" si="15">AK$71</f>
        <v/>
      </c>
      <c r="N95" s="12" t="str">
        <f t="shared" ref="N95" ca="1" si="16">AL$71</f>
        <v/>
      </c>
      <c r="O95" s="12"/>
      <c r="P95" s="12" t="s">
        <v>68</v>
      </c>
      <c r="Q95" s="12" t="s">
        <v>66</v>
      </c>
      <c r="R95" s="12" t="s">
        <v>69</v>
      </c>
      <c r="S95" s="12" t="s">
        <v>12</v>
      </c>
      <c r="T95" s="13"/>
      <c r="U95" s="22" t="s">
        <v>60</v>
      </c>
      <c r="V95" s="22" t="s">
        <v>59</v>
      </c>
      <c r="W95" s="13"/>
      <c r="X95" s="22" t="s">
        <v>65</v>
      </c>
      <c r="Y95" s="22" t="s">
        <v>82</v>
      </c>
      <c r="Z95" s="22" t="s">
        <v>72</v>
      </c>
      <c r="AA95" s="22" t="s">
        <v>17</v>
      </c>
      <c r="AB95" s="22" t="s">
        <v>66</v>
      </c>
      <c r="AC95" s="22" t="s">
        <v>73</v>
      </c>
      <c r="AD95" s="13"/>
      <c r="AE95" s="22" t="str">
        <f t="shared" ref="AE95:AL95" ca="1" si="17">AE$71</f>
        <v/>
      </c>
      <c r="AF95" s="22" t="str">
        <f t="shared" ca="1" si="17"/>
        <v/>
      </c>
      <c r="AG95" s="22" t="str">
        <f t="shared" ca="1" si="17"/>
        <v/>
      </c>
      <c r="AH95" s="22" t="str">
        <f t="shared" ca="1" si="17"/>
        <v/>
      </c>
      <c r="AI95" s="22" t="str">
        <f t="shared" ca="1" si="17"/>
        <v/>
      </c>
      <c r="AJ95" s="22" t="str">
        <f t="shared" ca="1" si="17"/>
        <v/>
      </c>
      <c r="AK95" s="22" t="str">
        <f t="shared" ca="1" si="17"/>
        <v/>
      </c>
      <c r="AL95" s="22" t="str">
        <f t="shared" ca="1" si="17"/>
        <v/>
      </c>
    </row>
    <row r="96" spans="1:38" s="38" customFormat="1" ht="15" customHeight="1" x14ac:dyDescent="0.3">
      <c r="B96" s="38" t="str">
        <f ca="1">$AA$85</f>
        <v/>
      </c>
      <c r="C96" s="38" t="s">
        <v>77</v>
      </c>
      <c r="D96" s="43" t="s">
        <v>79</v>
      </c>
      <c r="X96" s="44"/>
      <c r="Y96" s="49"/>
      <c r="Z96" s="45"/>
      <c r="AA96" s="45"/>
      <c r="AB96" s="45"/>
      <c r="AC96" s="46" t="s">
        <v>80</v>
      </c>
      <c r="AE96" s="47" t="str">
        <f t="array" aca="1" ref="AE96" ca="1">_xll.DBRW($C$44,$AA$80,$AA$81,$AA$82,$AA$86,$C$48,$C$49,$C96,$C$50,$AA$87,$C$53,$AA$84,$C$51,$B96,$AA$83,$D96,$C$52,AE$92)</f>
        <v/>
      </c>
      <c r="AF96" s="47" t="str">
        <f t="array" aca="1" ref="AF96" ca="1">_xll.DBRW($C$44,$AA$80,$AA$81,$AA$82,$AA$86,$C$48,$C$49,$C96,$C$50,$AA$87,$C$53,$AA$84,$C$51,$B96,$AA$83,$D96,$C$52,AF$92)</f>
        <v/>
      </c>
      <c r="AG96" s="47" t="str">
        <f t="array" aca="1" ref="AG96" ca="1">_xll.DBRW($C$44,$AA$80,$AA$81,$AA$82,$AA$86,$C$48,$C$49,$C96,$C$50,$AA$87,$C$53,$AA$84,$C$51,$B96,$AA$83,$D96,$C$52,AG$92)</f>
        <v/>
      </c>
      <c r="AH96" s="47" t="str">
        <f t="array" aca="1" ref="AH96" ca="1">_xll.DBRW($C$44,$AA$80,$AA$81,$AA$82,$AA$86,$C$48,$C$49,$C96,$C$50,$AA$87,$C$53,$AA$84,$C$51,$B96,$AA$83,$D96,$C$52,AH$92)</f>
        <v/>
      </c>
      <c r="AI96" s="47" t="str">
        <f t="array" aca="1" ref="AI96" ca="1">_xll.DBRW($C$44,$AA$80,$AA$81,$AA$82,$AA$86,$C$48,$C$49,$C96,$C$50,$AA$87,$C$53,$AA$84,$C$51,$B96,$AA$83,$D96,$C$52,AI$92)</f>
        <v/>
      </c>
      <c r="AJ96" s="47" t="str">
        <f t="array" aca="1" ref="AJ96" ca="1">_xll.DBRW($C$44,$AA$80,$AA$81,$AA$82,$AA$86,$C$48,$C$49,$C96,$C$50,$AA$87,$C$53,$AA$84,$C$51,$B96,$AA$83,$D96,$C$52,AJ$92)</f>
        <v/>
      </c>
      <c r="AK96" s="47" t="str">
        <f t="array" aca="1" ref="AK96" ca="1">_xll.DBRW($C$44,$AA$80,$AA$81,$AA$82,$AA$86,$C$48,$C$49,$C96,$C$50,$AA$87,$C$53,$AA$84,$C$51,$B96,$AA$83,$D96,$C$52,AK$92)</f>
        <v/>
      </c>
      <c r="AL96" s="47" t="str">
        <f t="array" aca="1" ref="AL96" ca="1">_xll.DBRW($C$44,$AA$80,$AA$81,$AA$82,$AA$86,$C$48,$C$49,$C96,$C$50,$AA$87,$C$53,$AA$84,$C$51,$B96,$AA$83,$D96,$C$52,AL$92)</f>
        <v/>
      </c>
    </row>
  </sheetData>
  <sheetProtection sheet="1" objects="1" scenarios="1"/>
  <mergeCells count="7">
    <mergeCell ref="B60:D60"/>
    <mergeCell ref="AK87:AL87"/>
    <mergeCell ref="B11:D11"/>
    <mergeCell ref="B19:D19"/>
    <mergeCell ref="B27:D27"/>
    <mergeCell ref="B42:D42"/>
    <mergeCell ref="B57:D57"/>
  </mergeCell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31" r:id="rId4" name="TIButton7">
          <controlPr defaultSize="0" print="0" autoLine="0" r:id="rId5">
            <anchor moveWithCells="1" sizeWithCells="1">
              <from>
                <xdr:col>25</xdr:col>
                <xdr:colOff>2438400</xdr:colOff>
                <xdr:row>75</xdr:row>
                <xdr:rowOff>0</xdr:rowOff>
              </from>
              <to>
                <xdr:col>25</xdr:col>
                <xdr:colOff>3322320</xdr:colOff>
                <xdr:row>75</xdr:row>
                <xdr:rowOff>251460</xdr:rowOff>
              </to>
            </anchor>
          </controlPr>
        </control>
      </mc:Choice>
      <mc:Fallback>
        <control shapeId="1031" r:id="rId4" name="TIButton7"/>
      </mc:Fallback>
    </mc:AlternateContent>
    <mc:AlternateContent xmlns:mc="http://schemas.openxmlformats.org/markup-compatibility/2006">
      <mc:Choice Requires="x14">
        <control shapeId="1030" r:id="rId6" name="TIButton6">
          <controlPr defaultSize="0" print="0" autoLine="0" r:id="rId7">
            <anchor moveWithCells="1" sizeWithCells="1">
              <from>
                <xdr:col>25</xdr:col>
                <xdr:colOff>1051560</xdr:colOff>
                <xdr:row>75</xdr:row>
                <xdr:rowOff>0</xdr:rowOff>
              </from>
              <to>
                <xdr:col>25</xdr:col>
                <xdr:colOff>2407920</xdr:colOff>
                <xdr:row>75</xdr:row>
                <xdr:rowOff>251460</xdr:rowOff>
              </to>
            </anchor>
          </controlPr>
        </control>
      </mc:Choice>
      <mc:Fallback>
        <control shapeId="1030" r:id="rId6" name="TIButton6"/>
      </mc:Fallback>
    </mc:AlternateContent>
    <mc:AlternateContent xmlns:mc="http://schemas.openxmlformats.org/markup-compatibility/2006">
      <mc:Choice Requires="x14">
        <control shapeId="1025" r:id="rId8" name="TIButton1">
          <controlPr defaultSize="0" print="0" autoLine="0" r:id="rId9">
            <anchor moveWithCells="1" sizeWithCells="1">
              <from>
                <xdr:col>23</xdr:col>
                <xdr:colOff>60960</xdr:colOff>
                <xdr:row>75</xdr:row>
                <xdr:rowOff>0</xdr:rowOff>
              </from>
              <to>
                <xdr:col>23</xdr:col>
                <xdr:colOff>693420</xdr:colOff>
                <xdr:row>75</xdr:row>
                <xdr:rowOff>251460</xdr:rowOff>
              </to>
            </anchor>
          </controlPr>
        </control>
      </mc:Choice>
      <mc:Fallback>
        <control shapeId="1025" r:id="rId8" name="TIButton1"/>
      </mc:Fallback>
    </mc:AlternateContent>
    <mc:AlternateContent xmlns:mc="http://schemas.openxmlformats.org/markup-compatibility/2006">
      <mc:Choice Requires="x14">
        <control shapeId="1026" r:id="rId10" name="TIButton2">
          <controlPr defaultSize="0" print="0" autoLine="0" r:id="rId11">
            <anchor moveWithCells="1" sizeWithCells="1">
              <from>
                <xdr:col>23</xdr:col>
                <xdr:colOff>716280</xdr:colOff>
                <xdr:row>75</xdr:row>
                <xdr:rowOff>0</xdr:rowOff>
              </from>
              <to>
                <xdr:col>24</xdr:col>
                <xdr:colOff>579120</xdr:colOff>
                <xdr:row>75</xdr:row>
                <xdr:rowOff>251460</xdr:rowOff>
              </to>
            </anchor>
          </controlPr>
        </control>
      </mc:Choice>
      <mc:Fallback>
        <control shapeId="1026" r:id="rId10" name="TIButton2"/>
      </mc:Fallback>
    </mc:AlternateContent>
    <mc:AlternateContent xmlns:mc="http://schemas.openxmlformats.org/markup-compatibility/2006">
      <mc:Choice Requires="x14">
        <control shapeId="1027" r:id="rId12" name="TIButton3">
          <controlPr defaultSize="0" print="0" autoLine="0" r:id="rId13">
            <anchor moveWithCells="1" sizeWithCells="1">
              <from>
                <xdr:col>24</xdr:col>
                <xdr:colOff>609600</xdr:colOff>
                <xdr:row>75</xdr:row>
                <xdr:rowOff>0</xdr:rowOff>
              </from>
              <to>
                <xdr:col>25</xdr:col>
                <xdr:colOff>1013460</xdr:colOff>
                <xdr:row>75</xdr:row>
                <xdr:rowOff>251460</xdr:rowOff>
              </to>
            </anchor>
          </controlPr>
        </control>
      </mc:Choice>
      <mc:Fallback>
        <control shapeId="1027" r:id="rId12" name="TIButton3"/>
      </mc:Fallback>
    </mc:AlternateContent>
    <mc:AlternateContent xmlns:mc="http://schemas.openxmlformats.org/markup-compatibility/2006">
      <mc:Choice Requires="x14">
        <control shapeId="1028" r:id="rId14" name="TIButton4">
          <controlPr defaultSize="0" print="0" autoLine="0" r:id="rId15">
            <anchor moveWithCells="1" sizeWithCells="1">
              <from>
                <xdr:col>25</xdr:col>
                <xdr:colOff>3352800</xdr:colOff>
                <xdr:row>75</xdr:row>
                <xdr:rowOff>0</xdr:rowOff>
              </from>
              <to>
                <xdr:col>25</xdr:col>
                <xdr:colOff>4137660</xdr:colOff>
                <xdr:row>75</xdr:row>
                <xdr:rowOff>251460</xdr:rowOff>
              </to>
            </anchor>
          </controlPr>
        </control>
      </mc:Choice>
      <mc:Fallback>
        <control shapeId="1028" r:id="rId14" name="TIButton4"/>
      </mc:Fallback>
    </mc:AlternateContent>
    <mc:AlternateContent xmlns:mc="http://schemas.openxmlformats.org/markup-compatibility/2006">
      <mc:Choice Requires="x14">
        <control shapeId="1029" r:id="rId16" name="TIButton5">
          <controlPr defaultSize="0" print="0" autoLine="0" r:id="rId17">
            <anchor moveWithCells="1" sizeWithCells="1">
              <from>
                <xdr:col>37</xdr:col>
                <xdr:colOff>518160</xdr:colOff>
                <xdr:row>74</xdr:row>
                <xdr:rowOff>38100</xdr:rowOff>
              </from>
              <to>
                <xdr:col>37</xdr:col>
                <xdr:colOff>830580</xdr:colOff>
                <xdr:row>75</xdr:row>
                <xdr:rowOff>297180</xdr:rowOff>
              </to>
            </anchor>
          </controlPr>
        </control>
      </mc:Choice>
      <mc:Fallback>
        <control shapeId="1029" r:id="rId16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report</vt:lpstr>
      <vt:lpstr>db_name</vt:lpstr>
      <vt:lpstr>psApp</vt:lpstr>
      <vt:lpstr>psUser</vt:lpstr>
      <vt:lpstr>TM1GrpViewAdj01HeaderCAP</vt:lpstr>
      <vt:lpstr>TM1GrpViewAdj01HeaderWB</vt:lpstr>
      <vt:lpstr>TM1GrpViewAdj01HeaderWS</vt:lpstr>
      <vt:lpstr>TM1HomeAdminCAP</vt:lpstr>
      <vt:lpstr>TM1HomeAdminWB</vt:lpstr>
      <vt:lpstr>TM1HomeAdminWS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TM1OthRprTBalCAP</vt:lpstr>
      <vt:lpstr>TM1OthRprTBalWB</vt:lpstr>
      <vt:lpstr>TM1OthRprTBalWS</vt:lpstr>
      <vt:lpstr>TM1OthRprTxnByReasonCAP</vt:lpstr>
      <vt:lpstr>TM1OthRprTxnByReasonWB</vt:lpstr>
      <vt:lpstr>TM1OthRprTxnByReasonWS</vt:lpstr>
      <vt:lpstr>report!TM1RPTDATARNG1</vt:lpstr>
      <vt:lpstr>report!TM1RPTFMTIDCOL</vt:lpstr>
      <vt:lpstr>report!TM1RPTFMTRNG</vt:lpstr>
      <vt:lpstr>TM1ViewAdj01HeaderCAP</vt:lpstr>
      <vt:lpstr>TM1ViewAdj01HeaderWB</vt:lpstr>
      <vt:lpstr>TM1ViewAdj01HeaderWS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cp:lastPrinted>2019-09-04T07:34:51Z</cp:lastPrinted>
  <dcterms:created xsi:type="dcterms:W3CDTF">2019-09-04T06:54:10Z</dcterms:created>
  <dcterms:modified xsi:type="dcterms:W3CDTF">2023-02-14T22:33:04Z</dcterms:modified>
</cp:coreProperties>
</file>