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29118FB9-E2AE-4E6A-A0FA-62D8F917A870}" xr6:coauthVersionLast="47" xr6:coauthVersionMax="47" xr10:uidLastSave="{00000000-0000-0000-0000-000000000000}"/>
  <bookViews>
    <workbookView xWindow="29580" yWindow="780" windowWidth="21600" windowHeight="11385" xr2:uid="{A5D06079-B4A0-4AF0-8F6E-CC76C458C682}"/>
  </bookViews>
  <sheets>
    <sheet name="fe3 calculation" sheetId="1" r:id="rId1"/>
    <sheet name="{PL}PickLst" sheetId="2" state="hidden" r:id="rId2"/>
  </sheets>
  <definedNames>
    <definedName name="db_name">'fe3 calculation'!$C$12</definedName>
    <definedName name="Freeze_Here">'fe3 calculation'!$A$77</definedName>
    <definedName name="psApp">'fe3 calculation'!$C$26</definedName>
    <definedName name="psCreateAdjByMeasures">'fe3 calculation'!$P$70</definedName>
    <definedName name="psFE2Year">'fe3 calculation'!$P$68</definedName>
    <definedName name="psFE3Year">'fe3 calculation'!$P$69</definedName>
    <definedName name="psHLYear">'fe3 calculation'!$C$21</definedName>
    <definedName name="psProg">'fe3 calculation'!$K$68</definedName>
    <definedName name="psScenario">'fe3 calculation'!$C$22</definedName>
    <definedName name="psUser">'fe3 calculation'!$C$14</definedName>
    <definedName name="TM1AdjIDListCAP">'fe3 calculation'!$D$31</definedName>
    <definedName name="TM1AdjIDListWB">'fe3 calculation'!$F$31</definedName>
    <definedName name="TM1AdjIDListWS">'fe3 calculation'!$H$31</definedName>
    <definedName name="TM1EDCAP">'fe3 calculation'!$D$34</definedName>
    <definedName name="TM1EDWB">'fe3 calculation'!$F$34</definedName>
    <definedName name="TM1EDWS">'fe3 calculation'!$H$34</definedName>
    <definedName name="TM1FE3CAP">'fe3 calculation'!$D$32</definedName>
    <definedName name="TM1FE3DetCAP">'fe3 calculation'!$D$33</definedName>
    <definedName name="TM1FE3DetWB">'fe3 calculation'!$F$33</definedName>
    <definedName name="TM1FE3DetWS">'fe3 calculation'!$H$33</definedName>
    <definedName name="TM1FE3WB">'fe3 calculation'!$F$32</definedName>
    <definedName name="TM1FE3WS">'fe3 calculation'!$H$32</definedName>
    <definedName name="TM1HomeAECAP">'fe3 calculation'!$D$29</definedName>
    <definedName name="TM1HomeAEDataEntryCAP">'fe3 calculation'!$D$30</definedName>
    <definedName name="TM1HomeAEDataEntryWB">'fe3 calculation'!$F$30</definedName>
    <definedName name="TM1HomeAEDataEntryWS">'fe3 calculation'!$H$30</definedName>
    <definedName name="TM1HomeAEWB">'fe3 calculation'!$F$29</definedName>
    <definedName name="TM1HomeAEWS">'fe3 calculation'!$H$29</definedName>
    <definedName name="TM1HomeCAP">'fe3 calculation'!$D$28</definedName>
    <definedName name="TM1HomeWB">'fe3 calculation'!$F$28</definedName>
    <definedName name="TM1HomeWS">'fe3 calculation'!$H$28</definedName>
    <definedName name="TM1IndexCAP">'fe3 calculation'!$D$35</definedName>
    <definedName name="TM1IndexFE3MapCAP">'fe3 calculation'!$D$36</definedName>
    <definedName name="TM1IndexFE3MapWB">'fe3 calculation'!$F$36</definedName>
    <definedName name="TM1IndexFE3MapWS">'fe3 calculation'!$H$36</definedName>
    <definedName name="TM1IndexFinSubsetCAP">'fe3 calculation'!$D$37</definedName>
    <definedName name="TM1IndexFinSubsetWB">'fe3 calculation'!$F$37</definedName>
    <definedName name="TM1IndexFinSubsetWS">'fe3 calculation'!$H$37</definedName>
    <definedName name="TM1IndexWB">'fe3 calculation'!$F$35</definedName>
    <definedName name="TM1IndexWS">'fe3 calculation'!$H$35</definedName>
    <definedName name="TM1REBUILDOPTION">1</definedName>
    <definedName name="TM1RPTDATARNG1" localSheetId="0">'fe3 calculation'!$77:$77</definedName>
    <definedName name="TM1RPTFMTIDCOL" localSheetId="0">'fe3 calculation'!$A$1:$A$8</definedName>
    <definedName name="TM1RPTFMTRNG" localSheetId="0">'fe3 calculation'!$B$1:$AG$8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1" l="1"/>
  <c r="C49" i="1"/>
  <c r="C50" i="1"/>
  <c r="C51" i="1"/>
  <c r="C52" i="1"/>
  <c r="C53" i="1"/>
  <c r="C20" i="1"/>
  <c r="C21" i="1"/>
  <c r="J41" i="1"/>
  <c r="AF41" i="1"/>
  <c r="AF44" i="1"/>
  <c r="AE41" i="1"/>
  <c r="AE44" i="1"/>
  <c r="AC41" i="1"/>
  <c r="AC44" i="1"/>
  <c r="AB41" i="1"/>
  <c r="AB44" i="1"/>
  <c r="Z41" i="1"/>
  <c r="Z44" i="1"/>
  <c r="Y41" i="1"/>
  <c r="Y44" i="1"/>
  <c r="U41" i="1"/>
  <c r="U44" i="1"/>
  <c r="T41" i="1"/>
  <c r="T44" i="1"/>
  <c r="S41" i="1"/>
  <c r="S44" i="1"/>
  <c r="R41" i="1"/>
  <c r="R44" i="1"/>
  <c r="P41" i="1"/>
  <c r="P44" i="1"/>
  <c r="O41" i="1"/>
  <c r="O44" i="1"/>
  <c r="C56" i="1"/>
  <c r="C47" i="1"/>
  <c r="E77" i="1"/>
  <c r="K70" i="1"/>
  <c r="D46" i="1"/>
  <c r="C46" i="1"/>
  <c r="D77" i="1"/>
  <c r="K69" i="1"/>
  <c r="D45" i="1"/>
  <c r="C45" i="1"/>
  <c r="C77" i="1"/>
  <c r="K68" i="1"/>
  <c r="D44" i="1"/>
  <c r="C44" i="1"/>
  <c r="B77" i="1"/>
  <c r="K71" i="1"/>
  <c r="C22" i="1"/>
  <c r="C57" i="1"/>
  <c r="C14" i="1"/>
  <c r="C48" i="1"/>
  <c r="C42" i="1"/>
  <c r="C25" i="1"/>
  <c r="W41" i="1"/>
  <c r="W44" i="1"/>
  <c r="W40" i="1"/>
  <c r="U77" i="1"/>
  <c r="Z77" i="1"/>
  <c r="W77" i="1"/>
  <c r="W76" i="1"/>
  <c r="H37" i="1"/>
  <c r="G37" i="1"/>
  <c r="F37" i="1"/>
  <c r="E37" i="1"/>
  <c r="D37" i="1"/>
  <c r="C37" i="1"/>
  <c r="H36" i="1"/>
  <c r="G36" i="1"/>
  <c r="F36" i="1"/>
  <c r="E36" i="1"/>
  <c r="D36" i="1"/>
  <c r="C36" i="1"/>
  <c r="H35" i="1"/>
  <c r="G35" i="1"/>
  <c r="F35" i="1"/>
  <c r="E35" i="1"/>
  <c r="D35" i="1"/>
  <c r="C35" i="1"/>
  <c r="H34" i="1"/>
  <c r="G34" i="1"/>
  <c r="F34" i="1"/>
  <c r="E34" i="1"/>
  <c r="D34" i="1"/>
  <c r="C34" i="1"/>
  <c r="AF77" i="1"/>
  <c r="AE77" i="1"/>
  <c r="AC77" i="1"/>
  <c r="AB77" i="1"/>
  <c r="Y77" i="1"/>
  <c r="T77" i="1"/>
  <c r="S77" i="1"/>
  <c r="R77" i="1"/>
  <c r="Q77" i="1"/>
  <c r="P77" i="1"/>
  <c r="O77" i="1"/>
  <c r="P70" i="1"/>
  <c r="H33" i="1"/>
  <c r="G33" i="1"/>
  <c r="F33" i="1"/>
  <c r="E33" i="1"/>
  <c r="D33" i="1"/>
  <c r="C33" i="1"/>
  <c r="H32" i="1"/>
  <c r="G32" i="1"/>
  <c r="F32" i="1"/>
  <c r="E32" i="1"/>
  <c r="D32" i="1"/>
  <c r="C32" i="1"/>
  <c r="H77" i="1"/>
  <c r="M77" i="1"/>
  <c r="Z76" i="1"/>
  <c r="Y76" i="1"/>
  <c r="A77" i="1"/>
  <c r="G77" i="1"/>
  <c r="L77" i="1"/>
  <c r="F77" i="1"/>
  <c r="K77" i="1"/>
  <c r="J77" i="1"/>
  <c r="E44" i="1"/>
  <c r="E45" i="1"/>
  <c r="E46" i="1"/>
  <c r="U40" i="1"/>
  <c r="U74" i="1"/>
  <c r="T40" i="1"/>
  <c r="T74" i="1"/>
  <c r="S40" i="1"/>
  <c r="S74" i="1"/>
  <c r="R40" i="1"/>
  <c r="R74" i="1"/>
  <c r="T76" i="1"/>
  <c r="S76" i="1"/>
  <c r="R76" i="1"/>
  <c r="P69" i="1"/>
  <c r="P50" i="1"/>
  <c r="P68" i="1"/>
  <c r="P49" i="1"/>
  <c r="P51" i="1"/>
  <c r="C13" i="1"/>
  <c r="C15" i="1"/>
  <c r="U76" i="1"/>
  <c r="AF76" i="1"/>
  <c r="AE76" i="1"/>
  <c r="AC76" i="1"/>
  <c r="AB76" i="1"/>
  <c r="P76" i="1"/>
  <c r="O76" i="1"/>
  <c r="H31" i="1"/>
  <c r="G31" i="1"/>
  <c r="F31" i="1"/>
  <c r="E31" i="1"/>
  <c r="D31" i="1"/>
  <c r="C31" i="1"/>
  <c r="H30" i="1"/>
  <c r="G30" i="1"/>
  <c r="F30" i="1"/>
  <c r="E30" i="1"/>
  <c r="D30" i="1"/>
  <c r="C30" i="1"/>
  <c r="H29" i="1"/>
  <c r="G29" i="1"/>
  <c r="F29" i="1"/>
  <c r="E29" i="1"/>
  <c r="D29" i="1"/>
  <c r="C29" i="1"/>
  <c r="H28" i="1"/>
  <c r="G28" i="1"/>
  <c r="F28" i="1"/>
  <c r="E28" i="1"/>
  <c r="D28" i="1"/>
  <c r="C28" i="1"/>
  <c r="C17" i="1"/>
  <c r="C16" i="1"/>
  <c r="A5" i="1"/>
  <c r="A4" i="1"/>
  <c r="A3" i="1"/>
  <c r="A2" i="1"/>
</calcChain>
</file>

<file path=xl/sharedStrings.xml><?xml version="1.0" encoding="utf-8"?>
<sst xmlns="http://schemas.openxmlformats.org/spreadsheetml/2006/main" count="124" uniqueCount="106">
  <si>
    <t>}Clients</t>
  </si>
  <si>
    <t>spp</t>
  </si>
  <si>
    <t>related entity</t>
  </si>
  <si>
    <t>jurisdiction</t>
  </si>
  <si>
    <t>appropriation item</t>
  </si>
  <si>
    <t>id</t>
  </si>
  <si>
    <t>Total efficiency dividend adjustment value</t>
  </si>
  <si>
    <t>Total FE3 adjustment value</t>
  </si>
  <si>
    <t>D</t>
  </si>
  <si>
    <t>N</t>
  </si>
  <si>
    <t>[Begin Format Range]</t>
  </si>
  <si>
    <t>[End Format Range]</t>
  </si>
  <si>
    <t>Database Variables</t>
  </si>
  <si>
    <t>Database Name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</si>
  <si>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</si>
  <si>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</si>
  <si>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</si>
  <si>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</si>
  <si>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</si>
  <si>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</si>
  <si>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</si>
  <si>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</si>
  <si>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AE Parameters and FE3 Calculation</t>
  </si>
  <si>
    <t>Active Form View</t>
  </si>
  <si>
    <t>Slice View</t>
  </si>
  <si>
    <t>sys_application MDX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</si>
  <si>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</si>
  <si>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</si>
  <si>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</si>
  <si>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</si>
  <si>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</si>
  <si>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</si>
  <si>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</si>
  <si>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</si>
  <si>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</si>
  <si>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</si>
  <si>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</si>
  <si>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</si>
  <si>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Adjustment - ID List</t>
  </si>
  <si>
    <t>Adjustment - Generate FE3</t>
  </si>
  <si>
    <t>Period</t>
  </si>
  <si>
    <t>To Use</t>
  </si>
  <si>
    <t>Index</t>
  </si>
  <si>
    <t>Programme MDX</t>
  </si>
  <si>
    <t>Account MDX</t>
  </si>
  <si>
    <t>Movement Account MDX</t>
  </si>
  <si>
    <t>REPORT PARAMETERS</t>
  </si>
  <si>
    <t xml:space="preserve">Account : </t>
  </si>
  <si>
    <t xml:space="preserve">Movement Account : </t>
  </si>
  <si>
    <t xml:space="preserve">Program : </t>
  </si>
  <si>
    <t xml:space="preserve"> DISPLAY SETTINGS</t>
  </si>
  <si>
    <t>Report Display :</t>
  </si>
  <si>
    <t>Collapse</t>
  </si>
  <si>
    <t>Expand</t>
  </si>
  <si>
    <t>original value</t>
  </si>
  <si>
    <t>A</t>
  </si>
  <si>
    <t>B</t>
  </si>
  <si>
    <t>C</t>
  </si>
  <si>
    <t>E</t>
  </si>
  <si>
    <t>F</t>
  </si>
  <si>
    <t xml:space="preserve">Measure Code : </t>
  </si>
  <si>
    <t>FE2 Period :</t>
  </si>
  <si>
    <t>FE3 Period :</t>
  </si>
  <si>
    <t>FE3 PARAMETERS</t>
  </si>
  <si>
    <t>FE2 Period Index</t>
  </si>
  <si>
    <t>FE3 Period Index</t>
  </si>
  <si>
    <t>step 1 value</t>
  </si>
  <si>
    <t>step 2 value</t>
  </si>
  <si>
    <t>step 3 value</t>
  </si>
  <si>
    <t>FE2</t>
  </si>
  <si>
    <t>FE3</t>
  </si>
  <si>
    <t>STEP 1</t>
  </si>
  <si>
    <t>STEP 2</t>
  </si>
  <si>
    <t>STEP 3</t>
  </si>
  <si>
    <t>FE3 Calculation value</t>
  </si>
  <si>
    <t>Measure MDX</t>
  </si>
  <si>
    <t>Measure Code</t>
  </si>
  <si>
    <t>CBMS Code</t>
  </si>
  <si>
    <t>Funding Life</t>
  </si>
  <si>
    <t xml:space="preserve">CBMS </t>
  </si>
  <si>
    <t>funding life</t>
  </si>
  <si>
    <t>Original Annual Estimates Data (A)</t>
  </si>
  <si>
    <t>Calculated Parameters (B)</t>
  </si>
  <si>
    <t>Calculated Efficiency Dividend (C)</t>
  </si>
  <si>
    <t>Updated Base Data Used For Calculating FE3 (A + B + C)</t>
  </si>
  <si>
    <t>Detailed FE3 Calculation By Measure</t>
  </si>
  <si>
    <t>Programme Details View</t>
  </si>
  <si>
    <t>Generate FE3</t>
  </si>
  <si>
    <t>FE3 Measure</t>
  </si>
  <si>
    <t>Terminating Year</t>
  </si>
  <si>
    <t>Adjustment - Generate FE3 Detail</t>
  </si>
  <si>
    <t>Create Adj By Measures? :</t>
  </si>
  <si>
    <t>Y</t>
  </si>
  <si>
    <t>Adjustment - Generate ED</t>
  </si>
  <si>
    <t>Adjustment - Generate Indexation</t>
  </si>
  <si>
    <t>=SUBNM(db_name&amp;":sys_report display","","Collapse")</t>
  </si>
  <si>
    <t>sys_display terminating year</t>
  </si>
  <si>
    <t>Adjustment - Indexation and FE3 Navigational Map</t>
  </si>
  <si>
    <t>Adjustment - Indexation Generate Subset</t>
  </si>
  <si>
    <t>FE3 BALANCE</t>
  </si>
  <si>
    <t>Total FE3 Balance (Base + New Adj)</t>
  </si>
  <si>
    <t>SYSTEM CALCULATED FE3</t>
  </si>
  <si>
    <t>Total parameter adjustment value</t>
  </si>
  <si>
    <t xml:space="preserve">Note : This workbook shows detailed calculations for the selected Report and FE3 parameters by measure code. </t>
  </si>
  <si>
    <t>Note : It is not used to generate adjustments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</si>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</sst>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 &quot;@"/>
    <numFmt numFmtId="165" formatCode="&quot;- &quot;@"/>
    <numFmt numFmtId="166" formatCode="_(* #,##0_);[Red]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BBDDE6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6C5B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2" fillId="0" borderId="5" xfId="0" applyFont="1" applyBorder="1"/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2" fillId="2" borderId="1" xfId="0" applyFont="1" applyFill="1" applyBorder="1"/>
    <xf numFmtId="0" fontId="2" fillId="2" borderId="6" xfId="0" applyFont="1" applyFill="1" applyBorder="1"/>
    <xf numFmtId="0" fontId="4" fillId="3" borderId="0" xfId="0" applyFont="1" applyFill="1" applyAlignment="1">
      <alignment horizontal="center"/>
    </xf>
    <xf numFmtId="0" fontId="0" fillId="2" borderId="5" xfId="0" applyFill="1" applyBorder="1"/>
    <xf numFmtId="0" fontId="2" fillId="0" borderId="0" xfId="0" applyFont="1" applyAlignment="1">
      <alignment horizontal="right" indent="1"/>
    </xf>
    <xf numFmtId="0" fontId="1" fillId="4" borderId="7" xfId="0" applyFont="1" applyFill="1" applyBorder="1"/>
    <xf numFmtId="0" fontId="0" fillId="5" borderId="8" xfId="0" applyFill="1" applyBorder="1" applyAlignment="1" applyProtection="1">
      <alignment horizontal="center" vertical="center"/>
      <protection locked="0"/>
    </xf>
    <xf numFmtId="0" fontId="0" fillId="2" borderId="0" xfId="0" applyFill="1"/>
    <xf numFmtId="166" fontId="3" fillId="0" borderId="5" xfId="0" applyNumberFormat="1" applyFont="1" applyBorder="1"/>
    <xf numFmtId="0" fontId="1" fillId="6" borderId="0" xfId="0" applyFont="1" applyFill="1" applyAlignment="1">
      <alignment horizontal="center" vertical="center"/>
    </xf>
    <xf numFmtId="166" fontId="3" fillId="7" borderId="5" xfId="0" applyNumberFormat="1" applyFont="1" applyFill="1" applyBorder="1"/>
    <xf numFmtId="0" fontId="2" fillId="3" borderId="6" xfId="0" applyFont="1" applyFill="1" applyBorder="1" applyAlignment="1">
      <alignment horizontal="center"/>
    </xf>
    <xf numFmtId="166" fontId="5" fillId="7" borderId="5" xfId="0" applyNumberFormat="1" applyFont="1" applyFill="1" applyBorder="1"/>
    <xf numFmtId="0" fontId="6" fillId="6" borderId="0" xfId="0" applyFont="1" applyFill="1" applyAlignment="1">
      <alignment horizontal="right" vertical="center"/>
    </xf>
    <xf numFmtId="0" fontId="5" fillId="7" borderId="5" xfId="0" applyFont="1" applyFill="1" applyBorder="1"/>
    <xf numFmtId="0" fontId="5" fillId="7" borderId="5" xfId="0" applyFont="1" applyFill="1" applyBorder="1" applyAlignment="1">
      <alignment horizontal="left" indent="1"/>
    </xf>
    <xf numFmtId="0" fontId="5" fillId="7" borderId="5" xfId="0" applyFont="1" applyFill="1" applyBorder="1" applyAlignment="1">
      <alignment horizontal="left" indent="2"/>
    </xf>
    <xf numFmtId="0" fontId="5" fillId="7" borderId="5" xfId="0" applyFont="1" applyFill="1" applyBorder="1" applyAlignment="1">
      <alignment horizontal="left" indent="3"/>
    </xf>
    <xf numFmtId="0" fontId="0" fillId="0" borderId="5" xfId="0" applyBorder="1" applyAlignment="1">
      <alignment horizontal="left" indent="1"/>
    </xf>
    <xf numFmtId="0" fontId="7" fillId="0" borderId="0" xfId="0" applyFont="1"/>
    <xf numFmtId="0" fontId="8" fillId="8" borderId="5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indent="1"/>
    </xf>
    <xf numFmtId="0" fontId="5" fillId="7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6" fillId="6" borderId="0" xfId="0" applyFont="1" applyFill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10" fillId="0" borderId="0" xfId="0" applyFont="1"/>
    <xf numFmtId="0" fontId="0" fillId="0" borderId="0" xfId="0" quotePrefix="1"/>
    <xf numFmtId="166" fontId="5" fillId="12" borderId="5" xfId="0" applyNumberFormat="1" applyFont="1" applyFill="1" applyBorder="1" applyProtection="1">
      <protection locked="0"/>
    </xf>
    <xf numFmtId="164" fontId="2" fillId="0" borderId="5" xfId="0" applyNumberFormat="1" applyFont="1" applyBorder="1"/>
    <xf numFmtId="164" fontId="0" fillId="0" borderId="5" xfId="0" applyNumberFormat="1" applyBorder="1"/>
    <xf numFmtId="165" fontId="0" fillId="0" borderId="5" xfId="0" applyNumberFormat="1" applyBorder="1"/>
    <xf numFmtId="0" fontId="9" fillId="11" borderId="10" xfId="0" applyFont="1" applyFill="1" applyBorder="1" applyAlignment="1">
      <alignment horizontal="center" vertical="center"/>
    </xf>
    <xf numFmtId="0" fontId="9" fillId="11" borderId="11" xfId="0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horizontal="center" vertical="center"/>
    </xf>
    <xf numFmtId="0" fontId="9" fillId="11" borderId="12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9" fillId="9" borderId="10" xfId="0" applyFont="1" applyFill="1" applyBorder="1" applyAlignment="1">
      <alignment horizontal="center" vertical="center"/>
    </xf>
    <xf numFmtId="0" fontId="9" fillId="9" borderId="11" xfId="0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9" fillId="9" borderId="12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left" indent="1"/>
      <protection locked="0"/>
    </xf>
    <xf numFmtId="0" fontId="1" fillId="6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2"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006C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3" Type="http://schemas.openxmlformats.org/officeDocument/2006/relationships/image" Target="../media/image8.emf"/><Relationship Id="rId7" Type="http://schemas.openxmlformats.org/officeDocument/2006/relationships/image" Target="../media/image2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6" Type="http://schemas.openxmlformats.org/officeDocument/2006/relationships/image" Target="../media/image3.emf"/><Relationship Id="rId5" Type="http://schemas.openxmlformats.org/officeDocument/2006/relationships/image" Target="../media/image4.emf"/><Relationship Id="rId4" Type="http://schemas.openxmlformats.org/officeDocument/2006/relationships/image" Target="../media/image5.emf"/><Relationship Id="rId9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59</xdr:row>
      <xdr:rowOff>28575</xdr:rowOff>
    </xdr:from>
    <xdr:to>
      <xdr:col>9</xdr:col>
      <xdr:colOff>1773555</xdr:colOff>
      <xdr:row>59</xdr:row>
      <xdr:rowOff>478155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9525</xdr:colOff>
          <xdr:row>61</xdr:row>
          <xdr:rowOff>9525</xdr:rowOff>
        </xdr:from>
        <xdr:to>
          <xdr:col>9</xdr:col>
          <xdr:colOff>495300</xdr:colOff>
          <xdr:row>61</xdr:row>
          <xdr:rowOff>257175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47625</xdr:colOff>
          <xdr:row>61</xdr:row>
          <xdr:rowOff>9525</xdr:rowOff>
        </xdr:from>
        <xdr:to>
          <xdr:col>14</xdr:col>
          <xdr:colOff>571500</xdr:colOff>
          <xdr:row>61</xdr:row>
          <xdr:rowOff>257175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1695450</xdr:colOff>
          <xdr:row>61</xdr:row>
          <xdr:rowOff>9525</xdr:rowOff>
        </xdr:from>
        <xdr:to>
          <xdr:col>9</xdr:col>
          <xdr:colOff>2676525</xdr:colOff>
          <xdr:row>61</xdr:row>
          <xdr:rowOff>257175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638175</xdr:colOff>
          <xdr:row>60</xdr:row>
          <xdr:rowOff>38100</xdr:rowOff>
        </xdr:from>
        <xdr:to>
          <xdr:col>20</xdr:col>
          <xdr:colOff>819150</xdr:colOff>
          <xdr:row>61</xdr:row>
          <xdr:rowOff>161925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3819525</xdr:colOff>
          <xdr:row>61</xdr:row>
          <xdr:rowOff>9525</xdr:rowOff>
        </xdr:from>
        <xdr:to>
          <xdr:col>10</xdr:col>
          <xdr:colOff>666750</xdr:colOff>
          <xdr:row>61</xdr:row>
          <xdr:rowOff>257175</xdr:rowOff>
        </xdr:to>
        <xdr:sp macro="" textlink="">
          <xdr:nvSpPr>
            <xdr:cNvPr id="1030" name="TIButton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704850</xdr:colOff>
          <xdr:row>61</xdr:row>
          <xdr:rowOff>9525</xdr:rowOff>
        </xdr:from>
        <xdr:to>
          <xdr:col>11</xdr:col>
          <xdr:colOff>990600</xdr:colOff>
          <xdr:row>61</xdr:row>
          <xdr:rowOff>257175</xdr:rowOff>
        </xdr:to>
        <xdr:sp macro="" textlink="">
          <xdr:nvSpPr>
            <xdr:cNvPr id="1036" name="TIButton8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61</xdr:row>
          <xdr:rowOff>9525</xdr:rowOff>
        </xdr:from>
        <xdr:to>
          <xdr:col>14</xdr:col>
          <xdr:colOff>0</xdr:colOff>
          <xdr:row>61</xdr:row>
          <xdr:rowOff>257175</xdr:rowOff>
        </xdr:to>
        <xdr:sp macro="" textlink="">
          <xdr:nvSpPr>
            <xdr:cNvPr id="1037" name="TIButton7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523875</xdr:colOff>
          <xdr:row>61</xdr:row>
          <xdr:rowOff>9525</xdr:rowOff>
        </xdr:from>
        <xdr:to>
          <xdr:col>9</xdr:col>
          <xdr:colOff>1666875</xdr:colOff>
          <xdr:row>61</xdr:row>
          <xdr:rowOff>257175</xdr:rowOff>
        </xdr:to>
        <xdr:sp macro="" textlink="">
          <xdr:nvSpPr>
            <xdr:cNvPr id="1038" name="TIButton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2714625</xdr:colOff>
          <xdr:row>61</xdr:row>
          <xdr:rowOff>9525</xdr:rowOff>
        </xdr:from>
        <xdr:to>
          <xdr:col>9</xdr:col>
          <xdr:colOff>3790950</xdr:colOff>
          <xdr:row>61</xdr:row>
          <xdr:rowOff>257175</xdr:rowOff>
        </xdr:to>
        <xdr:sp macro="" textlink="">
          <xdr:nvSpPr>
            <xdr:cNvPr id="1039" name="TIButton9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1C13C-DDE9-4108-B9E8-A5E2E63807AA}">
  <sheetPr codeName="Sheet1">
    <outlinePr showOutlineSymbols="0"/>
  </sheetPr>
  <dimension ref="A1:AG77"/>
  <sheetViews>
    <sheetView showGridLines="0" showRowColHeaders="0" tabSelected="1" showOutlineSymbols="0" topLeftCell="A60" workbookViewId="0">
      <pane ySplit="17" topLeftCell="A77" activePane="bottomLeft" state="frozen"/>
      <selection activeCell="I60" sqref="I60"/>
      <selection pane="bottomLeft" activeCell="A77" sqref="A77"/>
    </sheetView>
  </sheetViews>
  <sheetFormatPr defaultRowHeight="15" outlineLevelRow="1" outlineLevelCol="1" x14ac:dyDescent="0.25"/>
  <cols>
    <col min="1" max="1" width="2.7109375" hidden="1" customWidth="1" outlineLevel="1"/>
    <col min="2" max="2" width="46" hidden="1" customWidth="1" outlineLevel="1"/>
    <col min="3" max="3" width="18.28515625" hidden="1" customWidth="1" outlineLevel="1"/>
    <col min="4" max="8" width="17.28515625" hidden="1" customWidth="1" outlineLevel="1"/>
    <col min="9" max="9" width="0.85546875" customWidth="1" collapsed="1"/>
    <col min="10" max="10" width="60.7109375" customWidth="1"/>
    <col min="11" max="11" width="14.5703125" customWidth="1"/>
    <col min="12" max="12" width="15.7109375" style="34" customWidth="1"/>
    <col min="13" max="13" width="17.7109375" style="34" customWidth="1"/>
    <col min="14" max="14" width="0.85546875" style="34" customWidth="1"/>
    <col min="15" max="16" width="15.7109375" customWidth="1"/>
    <col min="17" max="17" width="0.85546875" customWidth="1"/>
    <col min="18" max="21" width="15.7109375" customWidth="1"/>
    <col min="22" max="22" width="0.85546875" customWidth="1"/>
    <col min="23" max="23" width="15.7109375" customWidth="1"/>
    <col min="24" max="24" width="0.85546875" customWidth="1"/>
    <col min="25" max="26" width="15.7109375" customWidth="1"/>
    <col min="27" max="27" width="0.85546875" customWidth="1"/>
    <col min="28" max="29" width="15.7109375" customWidth="1"/>
    <col min="30" max="30" width="0.85546875" customWidth="1"/>
    <col min="31" max="32" width="15.7109375" customWidth="1"/>
    <col min="33" max="33" width="0.85546875" customWidth="1"/>
  </cols>
  <sheetData>
    <row r="1" spans="1:32" hidden="1" outlineLevel="1" x14ac:dyDescent="0.25">
      <c r="A1" t="s">
        <v>10</v>
      </c>
    </row>
    <row r="2" spans="1:32" hidden="1" outlineLevel="1" x14ac:dyDescent="0.25">
      <c r="A2">
        <f>0</f>
        <v>0</v>
      </c>
      <c r="B2" s="2"/>
      <c r="C2" s="6"/>
      <c r="D2" s="6"/>
      <c r="E2" s="6"/>
      <c r="F2" s="6"/>
      <c r="G2" s="6"/>
      <c r="H2" s="6"/>
      <c r="J2" s="21" t="s">
        <v>55</v>
      </c>
      <c r="K2" s="32"/>
      <c r="L2" s="32"/>
      <c r="M2" s="32"/>
      <c r="O2" s="19"/>
      <c r="P2" s="19"/>
      <c r="R2" s="19"/>
      <c r="S2" s="19"/>
      <c r="T2" s="19"/>
      <c r="U2" s="19"/>
      <c r="V2" s="1"/>
      <c r="W2" s="40"/>
      <c r="X2" s="1"/>
      <c r="Y2" s="19"/>
      <c r="Z2" s="19"/>
      <c r="AA2" s="1"/>
      <c r="AB2" s="19"/>
      <c r="AC2" s="19"/>
      <c r="AD2" s="1"/>
      <c r="AE2" s="19"/>
      <c r="AF2" s="19"/>
    </row>
    <row r="3" spans="1:32" hidden="1" outlineLevel="1" x14ac:dyDescent="0.25">
      <c r="A3">
        <f>1</f>
        <v>1</v>
      </c>
      <c r="B3" s="6"/>
      <c r="C3" s="6"/>
      <c r="D3" s="6"/>
      <c r="E3" s="6"/>
      <c r="F3" s="6"/>
      <c r="G3" s="6"/>
      <c r="H3" s="6"/>
      <c r="J3" s="22" t="s">
        <v>56</v>
      </c>
      <c r="K3" s="32"/>
      <c r="L3" s="32"/>
      <c r="M3" s="32"/>
      <c r="O3" s="19"/>
      <c r="P3" s="19"/>
      <c r="R3" s="19"/>
      <c r="S3" s="19"/>
      <c r="T3" s="19"/>
      <c r="U3" s="19"/>
      <c r="V3" s="1"/>
      <c r="W3" s="40"/>
      <c r="X3" s="1"/>
      <c r="Y3" s="19"/>
      <c r="Z3" s="19"/>
      <c r="AA3" s="1"/>
      <c r="AB3" s="19"/>
      <c r="AC3" s="19"/>
      <c r="AD3" s="1"/>
      <c r="AE3" s="19"/>
      <c r="AF3" s="19"/>
    </row>
    <row r="4" spans="1:32" hidden="1" outlineLevel="1" x14ac:dyDescent="0.25">
      <c r="A4">
        <f>2</f>
        <v>2</v>
      </c>
      <c r="B4" s="6"/>
      <c r="C4" s="6"/>
      <c r="D4" s="6"/>
      <c r="E4" s="6"/>
      <c r="F4" s="6"/>
      <c r="G4" s="6"/>
      <c r="H4" s="6"/>
      <c r="J4" s="23" t="s">
        <v>57</v>
      </c>
      <c r="K4" s="32"/>
      <c r="L4" s="32"/>
      <c r="M4" s="32"/>
      <c r="O4" s="19"/>
      <c r="P4" s="19"/>
      <c r="R4" s="19"/>
      <c r="S4" s="19"/>
      <c r="T4" s="19"/>
      <c r="U4" s="19"/>
      <c r="V4" s="1"/>
      <c r="W4" s="40"/>
      <c r="X4" s="1"/>
      <c r="Y4" s="19"/>
      <c r="Z4" s="19"/>
      <c r="AA4" s="1"/>
      <c r="AB4" s="19"/>
      <c r="AC4" s="19"/>
      <c r="AD4" s="1"/>
      <c r="AE4" s="19"/>
      <c r="AF4" s="19"/>
    </row>
    <row r="5" spans="1:32" hidden="1" outlineLevel="1" x14ac:dyDescent="0.25">
      <c r="A5">
        <f>3</f>
        <v>3</v>
      </c>
      <c r="B5" s="6"/>
      <c r="C5" s="6"/>
      <c r="D5" s="6"/>
      <c r="E5" s="6"/>
      <c r="F5" s="6"/>
      <c r="G5" s="6"/>
      <c r="H5" s="6"/>
      <c r="J5" s="24" t="s">
        <v>8</v>
      </c>
      <c r="K5" s="32"/>
      <c r="L5" s="32"/>
      <c r="M5" s="32"/>
      <c r="O5" s="19"/>
      <c r="P5" s="19"/>
      <c r="R5" s="19"/>
      <c r="S5" s="19"/>
      <c r="T5" s="19"/>
      <c r="U5" s="19"/>
      <c r="V5" s="1"/>
      <c r="W5" s="40"/>
      <c r="X5" s="1"/>
      <c r="Y5" s="19"/>
      <c r="Z5" s="19"/>
      <c r="AA5" s="1"/>
      <c r="AB5" s="19"/>
      <c r="AC5" s="19"/>
      <c r="AD5" s="1"/>
      <c r="AE5" s="19"/>
      <c r="AF5" s="19"/>
    </row>
    <row r="6" spans="1:32" hidden="1" outlineLevel="1" x14ac:dyDescent="0.25">
      <c r="A6" t="s">
        <v>8</v>
      </c>
      <c r="B6" s="6"/>
      <c r="C6" s="6"/>
      <c r="D6" s="6"/>
      <c r="E6" s="6"/>
      <c r="F6" s="6"/>
      <c r="G6" s="6"/>
      <c r="H6" s="6"/>
      <c r="J6" s="24" t="s">
        <v>58</v>
      </c>
      <c r="K6" s="32"/>
      <c r="L6" s="32"/>
      <c r="M6" s="32"/>
      <c r="O6" s="19"/>
      <c r="P6" s="19"/>
      <c r="R6" s="19"/>
      <c r="S6" s="19"/>
      <c r="T6" s="19"/>
      <c r="U6" s="19"/>
      <c r="V6" s="1"/>
      <c r="W6" s="40"/>
      <c r="X6" s="1"/>
      <c r="Y6" s="19"/>
      <c r="Z6" s="19"/>
      <c r="AA6" s="1"/>
      <c r="AB6" s="19"/>
      <c r="AC6" s="19"/>
      <c r="AD6" s="1"/>
      <c r="AE6" s="19"/>
      <c r="AF6" s="19"/>
    </row>
    <row r="7" spans="1:32" hidden="1" outlineLevel="1" x14ac:dyDescent="0.25">
      <c r="A7" t="s">
        <v>9</v>
      </c>
      <c r="B7" s="6"/>
      <c r="C7" s="6"/>
      <c r="D7" s="6"/>
      <c r="E7" s="6"/>
      <c r="F7" s="6"/>
      <c r="G7" s="6"/>
      <c r="H7" s="6"/>
      <c r="J7" s="31" t="s">
        <v>59</v>
      </c>
      <c r="K7" s="33"/>
      <c r="L7" s="33"/>
      <c r="M7" s="33"/>
      <c r="O7" s="15"/>
      <c r="P7" s="15"/>
      <c r="R7" s="15"/>
      <c r="S7" s="15"/>
      <c r="T7" s="15"/>
      <c r="U7" s="17"/>
      <c r="W7" s="40"/>
      <c r="Y7" s="17"/>
      <c r="Z7" s="17"/>
      <c r="AB7" s="17"/>
      <c r="AC7" s="17"/>
      <c r="AE7" s="17"/>
      <c r="AF7" s="17"/>
    </row>
    <row r="8" spans="1:32" hidden="1" outlineLevel="1" x14ac:dyDescent="0.25">
      <c r="A8" t="s">
        <v>11</v>
      </c>
    </row>
    <row r="9" spans="1:32" hidden="1" outlineLevel="1" x14ac:dyDescent="0.25"/>
    <row r="10" spans="1:32" hidden="1" outlineLevel="1" x14ac:dyDescent="0.25"/>
    <row r="11" spans="1:32" hidden="1" outlineLevel="1" x14ac:dyDescent="0.25">
      <c r="B11" s="56" t="s">
        <v>12</v>
      </c>
      <c r="C11" s="57"/>
      <c r="D11" s="58"/>
    </row>
    <row r="12" spans="1:32" hidden="1" outlineLevel="1" x14ac:dyDescent="0.25">
      <c r="B12" s="2" t="s">
        <v>13</v>
      </c>
      <c r="C12" s="3" t="s">
        <v>105</v>
      </c>
      <c r="D12" s="4"/>
    </row>
    <row r="13" spans="1:32" hidden="1" outlineLevel="1" x14ac:dyDescent="0.25">
      <c r="B13" s="2" t="s">
        <v>0</v>
      </c>
      <c r="C13" s="5" t="str">
        <f ca="1">_xll.VIEW(db_name&amp;":}ElementAttributes_}Clients","!","!")</f>
        <v>dcceew_geus:}ElementAttributes_}Clients</v>
      </c>
      <c r="D13" s="4"/>
    </row>
    <row r="14" spans="1:32" hidden="1" outlineLevel="1" x14ac:dyDescent="0.25">
      <c r="B14" s="2" t="s">
        <v>14</v>
      </c>
      <c r="C14" s="3" t="str">
        <f ca="1">_xll.TM1USER(db_name)</f>
        <v/>
      </c>
      <c r="D14" s="4"/>
    </row>
    <row r="15" spans="1:32" hidden="1" outlineLevel="1" x14ac:dyDescent="0.25">
      <c r="B15" s="2" t="s">
        <v>15</v>
      </c>
      <c r="C15" s="3" t="str">
        <f ca="1">_xll.DBR($C$13,$C$14,$B15)</f>
        <v>*KEY_ERR</v>
      </c>
      <c r="D15" s="4"/>
    </row>
    <row r="16" spans="1:32" hidden="1" outlineLevel="1" x14ac:dyDescent="0.25">
      <c r="B16" s="2" t="s">
        <v>16</v>
      </c>
      <c r="C16" s="3" t="str">
        <f ca="1">_xll.DBR($C$13,$C$14,$B16)</f>
        <v>*KEY_ERR</v>
      </c>
      <c r="D16" s="4"/>
    </row>
    <row r="17" spans="2:16" hidden="1" outlineLevel="1" x14ac:dyDescent="0.25">
      <c r="B17" s="2" t="s">
        <v>17</v>
      </c>
      <c r="C17" s="3" t="str">
        <f ca="1">IF(LEFT($C$15,6)="CAM_AD",$C$16,$C$15)</f>
        <v>*KEY_ERR</v>
      </c>
      <c r="D17" s="6"/>
    </row>
    <row r="18" spans="2:16" hidden="1" outlineLevel="1" x14ac:dyDescent="0.25"/>
    <row r="19" spans="2:16" hidden="1" outlineLevel="1" x14ac:dyDescent="0.25">
      <c r="B19" s="56" t="s">
        <v>18</v>
      </c>
      <c r="C19" s="57"/>
      <c r="D19" s="58"/>
    </row>
    <row r="20" spans="2:16" hidden="1" outlineLevel="1" x14ac:dyDescent="0.25">
      <c r="B20" s="2" t="s">
        <v>19</v>
      </c>
      <c r="C20" s="6" t="str">
        <f ca="1">_xll.VIEW(db_name&amp;":}ElementAttributes_variables","!","!")</f>
        <v>dcceew_geus:}ElementAttributes_variables</v>
      </c>
      <c r="D20" s="6"/>
    </row>
    <row r="21" spans="2:16" hidden="1" outlineLevel="1" x14ac:dyDescent="0.25">
      <c r="B21" s="2" t="s">
        <v>20</v>
      </c>
      <c r="C21" s="6" t="str">
        <f ca="1">_xll.DBR($C$20,$B21,"value")</f>
        <v>*KEY_ERR</v>
      </c>
      <c r="D21" s="6"/>
    </row>
    <row r="22" spans="2:16" hidden="1" outlineLevel="1" x14ac:dyDescent="0.25">
      <c r="B22" s="2" t="s">
        <v>21</v>
      </c>
      <c r="C22" s="6" t="str">
        <f ca="1">_xll.DBR($C$20,$B22,"value")</f>
        <v>*KEY_ERR</v>
      </c>
      <c r="D22" s="6"/>
    </row>
    <row r="23" spans="2:16" hidden="1" outlineLevel="1" x14ac:dyDescent="0.25"/>
    <row r="24" spans="2:16" hidden="1" outlineLevel="1" x14ac:dyDescent="0.25">
      <c r="B24" s="56" t="s">
        <v>25</v>
      </c>
      <c r="C24" s="57"/>
      <c r="D24" s="58"/>
    </row>
    <row r="25" spans="2:16" hidden="1" outlineLevel="1" x14ac:dyDescent="0.25">
      <c r="B25" s="6" t="s">
        <v>26</v>
      </c>
      <c r="C25" s="6" t="str">
        <f ca="1">_xll.VIEW(db_name&amp;":sys_application","!","!")</f>
        <v>dcceew_geus:sys_application</v>
      </c>
    </row>
    <row r="26" spans="2:16" hidden="1" outlineLevel="1" x14ac:dyDescent="0.25">
      <c r="B26" s="6" t="s">
        <v>27</v>
      </c>
      <c r="C26" t="s">
        <v>90</v>
      </c>
    </row>
    <row r="27" spans="2:16" ht="15.75" hidden="1" outlineLevel="1" thickBot="1" x14ac:dyDescent="0.3">
      <c r="B27" s="7" t="s">
        <v>28</v>
      </c>
      <c r="C27" s="8" t="s">
        <v>29</v>
      </c>
      <c r="D27" s="8" t="s">
        <v>30</v>
      </c>
      <c r="E27" s="8" t="s">
        <v>31</v>
      </c>
      <c r="F27" s="8" t="s">
        <v>32</v>
      </c>
      <c r="G27" s="8" t="s">
        <v>33</v>
      </c>
      <c r="H27" s="8" t="s">
        <v>34</v>
      </c>
      <c r="P27" s="12" t="s">
        <v>50</v>
      </c>
    </row>
    <row r="28" spans="2:16" ht="15.75" hidden="1" outlineLevel="1" thickBot="1" x14ac:dyDescent="0.3">
      <c r="B28" s="6" t="s">
        <v>35</v>
      </c>
      <c r="C28" s="6" t="str">
        <f ca="1">_xll.DBR($C$25,$B28,C$27)</f>
        <v>*KEY_ERR</v>
      </c>
      <c r="D28" s="6" t="str">
        <f ca="1">_xll.DBR($C$25,$B28,D$27)</f>
        <v>*KEY_ERR</v>
      </c>
      <c r="E28" s="6" t="str">
        <f ca="1">_xll.DBR($C$25,$B28,E$27)</f>
        <v>*KEY_ERR</v>
      </c>
      <c r="F28" s="6" t="str">
        <f ca="1">_xll.DBR($C$25,$B28,F$27)</f>
        <v>*KEY_ERR</v>
      </c>
      <c r="G28" s="6" t="str">
        <f ca="1">_xll.DBR($C$25,$B28,G$27)</f>
        <v>*KEY_ERR</v>
      </c>
      <c r="H28" s="6" t="str">
        <f ca="1">_xll.DBR($C$25,$B28,H$27)</f>
        <v>*KEY_ERR</v>
      </c>
      <c r="O28" s="11" t="s">
        <v>51</v>
      </c>
      <c r="P28" s="13" t="s">
        <v>52</v>
      </c>
    </row>
    <row r="29" spans="2:16" hidden="1" outlineLevel="1" x14ac:dyDescent="0.25">
      <c r="B29" s="6" t="s">
        <v>36</v>
      </c>
      <c r="C29" s="6" t="str">
        <f ca="1">_xll.DBR($C$25,$B29,C$27)</f>
        <v>*KEY_ERR</v>
      </c>
      <c r="D29" s="6" t="str">
        <f ca="1">_xll.DBR($C$25,$B29,D$27)</f>
        <v>*KEY_ERR</v>
      </c>
      <c r="E29" s="6" t="str">
        <f ca="1">_xll.DBR($C$25,$B29,E$27)</f>
        <v>*KEY_ERR</v>
      </c>
      <c r="F29" s="6" t="str">
        <f ca="1">_xll.DBR($C$25,$B29,F$27)</f>
        <v>*KEY_ERR</v>
      </c>
      <c r="G29" s="6" t="str">
        <f ca="1">_xll.DBR($C$25,$B29,G$27)</f>
        <v>*KEY_ERR</v>
      </c>
      <c r="H29" s="6" t="str">
        <f ca="1">_xll.DBR($C$25,$B29,H$27)</f>
        <v>*KEY_ERR</v>
      </c>
      <c r="P29" s="39" t="s">
        <v>95</v>
      </c>
    </row>
    <row r="30" spans="2:16" hidden="1" outlineLevel="1" x14ac:dyDescent="0.25">
      <c r="B30" s="6" t="s">
        <v>37</v>
      </c>
      <c r="C30" s="6" t="str">
        <f ca="1">_xll.DBR($C$25,$B30,C$27)</f>
        <v>*KEY_ERR</v>
      </c>
      <c r="D30" s="6" t="str">
        <f ca="1">_xll.DBR($C$25,$B30,D$27)</f>
        <v>*KEY_ERR</v>
      </c>
      <c r="E30" s="6" t="str">
        <f ca="1">_xll.DBR($C$25,$B30,E$27)</f>
        <v>*KEY_ERR</v>
      </c>
      <c r="F30" s="6" t="str">
        <f ca="1">_xll.DBR($C$25,$B30,F$27)</f>
        <v>*KEY_ERR</v>
      </c>
      <c r="G30" s="6" t="str">
        <f ca="1">_xll.DBR($C$25,$B30,G$27)</f>
        <v>*KEY_ERR</v>
      </c>
      <c r="H30" s="6" t="str">
        <f ca="1">_xll.DBR($C$25,$B30,H$27)</f>
        <v>*KEY_ERR</v>
      </c>
    </row>
    <row r="31" spans="2:16" hidden="1" outlineLevel="1" x14ac:dyDescent="0.25">
      <c r="B31" s="6" t="s">
        <v>38</v>
      </c>
      <c r="C31" s="6" t="str">
        <f ca="1">_xll.DBR($C$25,$B31,C$27)</f>
        <v>*KEY_ERR</v>
      </c>
      <c r="D31" s="6" t="str">
        <f ca="1">_xll.DBR($C$25,$B31,D$27)</f>
        <v>*KEY_ERR</v>
      </c>
      <c r="E31" s="6" t="str">
        <f ca="1">_xll.DBR($C$25,$B31,E$27)</f>
        <v>*KEY_ERR</v>
      </c>
      <c r="F31" s="6" t="str">
        <f ca="1">_xll.DBR($C$25,$B31,F$27)</f>
        <v>*KEY_ERR</v>
      </c>
      <c r="G31" s="6" t="str">
        <f ca="1">_xll.DBR($C$25,$B31,G$27)</f>
        <v>*KEY_ERR</v>
      </c>
      <c r="H31" s="6" t="str">
        <f ca="1">_xll.DBR($C$25,$B31,H$27)</f>
        <v>*KEY_ERR</v>
      </c>
    </row>
    <row r="32" spans="2:16" hidden="1" outlineLevel="1" x14ac:dyDescent="0.25">
      <c r="B32" s="6" t="s">
        <v>39</v>
      </c>
      <c r="C32" s="6" t="str">
        <f ca="1">_xll.DBR($C$25,$B32,C$27)</f>
        <v>*KEY_ERR</v>
      </c>
      <c r="D32" s="6" t="str">
        <f ca="1">_xll.DBR($C$25,$B32,D$27)</f>
        <v>*KEY_ERR</v>
      </c>
      <c r="E32" s="6" t="str">
        <f ca="1">_xll.DBR($C$25,$B32,E$27)</f>
        <v>*KEY_ERR</v>
      </c>
      <c r="F32" s="6" t="str">
        <f ca="1">_xll.DBR($C$25,$B32,F$27)</f>
        <v>*KEY_ERR</v>
      </c>
      <c r="G32" s="6" t="str">
        <f ca="1">_xll.DBR($C$25,$B32,G$27)</f>
        <v>*KEY_ERR</v>
      </c>
      <c r="H32" s="6" t="str">
        <f ca="1">_xll.DBR($C$25,$B32,H$27)</f>
        <v>*KEY_ERR</v>
      </c>
    </row>
    <row r="33" spans="2:32" hidden="1" outlineLevel="1" x14ac:dyDescent="0.25">
      <c r="B33" s="6" t="s">
        <v>90</v>
      </c>
      <c r="C33" s="6" t="str">
        <f ca="1">_xll.DBR($C$25,$B33,C$27)</f>
        <v>*KEY_ERR</v>
      </c>
      <c r="D33" s="6" t="str">
        <f ca="1">_xll.DBR($C$25,$B33,D$27)</f>
        <v>*KEY_ERR</v>
      </c>
      <c r="E33" s="6" t="str">
        <f ca="1">_xll.DBR($C$25,$B33,E$27)</f>
        <v>*KEY_ERR</v>
      </c>
      <c r="F33" s="6" t="str">
        <f ca="1">_xll.DBR($C$25,$B33,F$27)</f>
        <v>*KEY_ERR</v>
      </c>
      <c r="G33" s="6" t="str">
        <f ca="1">_xll.DBR($C$25,$B33,G$27)</f>
        <v>*KEY_ERR</v>
      </c>
      <c r="H33" s="6" t="str">
        <f ca="1">_xll.DBR($C$25,$B33,H$27)</f>
        <v>*KEY_ERR</v>
      </c>
    </row>
    <row r="34" spans="2:32" hidden="1" outlineLevel="1" x14ac:dyDescent="0.25">
      <c r="B34" s="6" t="s">
        <v>93</v>
      </c>
      <c r="C34" s="6" t="str">
        <f ca="1">_xll.DBR($C$25,$B34,C$27)</f>
        <v>*KEY_ERR</v>
      </c>
      <c r="D34" s="6" t="str">
        <f ca="1">_xll.DBR($C$25,$B34,D$27)</f>
        <v>*KEY_ERR</v>
      </c>
      <c r="E34" s="6" t="str">
        <f ca="1">_xll.DBR($C$25,$B34,E$27)</f>
        <v>*KEY_ERR</v>
      </c>
      <c r="F34" s="6" t="str">
        <f ca="1">_xll.DBR($C$25,$B34,F$27)</f>
        <v>*KEY_ERR</v>
      </c>
      <c r="G34" s="6" t="str">
        <f ca="1">_xll.DBR($C$25,$B34,G$27)</f>
        <v>*KEY_ERR</v>
      </c>
      <c r="H34" s="6" t="str">
        <f ca="1">_xll.DBR($C$25,$B34,H$27)</f>
        <v>*KEY_ERR</v>
      </c>
    </row>
    <row r="35" spans="2:32" hidden="1" outlineLevel="1" x14ac:dyDescent="0.25">
      <c r="B35" s="6" t="s">
        <v>94</v>
      </c>
      <c r="C35" s="6" t="str">
        <f ca="1">_xll.DBR($C$25,$B35,C$27)</f>
        <v>*KEY_ERR</v>
      </c>
      <c r="D35" s="6" t="str">
        <f ca="1">_xll.DBR($C$25,$B35,D$27)</f>
        <v>*KEY_ERR</v>
      </c>
      <c r="E35" s="6" t="str">
        <f ca="1">_xll.DBR($C$25,$B35,E$27)</f>
        <v>*KEY_ERR</v>
      </c>
      <c r="F35" s="6" t="str">
        <f ca="1">_xll.DBR($C$25,$B35,F$27)</f>
        <v>*KEY_ERR</v>
      </c>
      <c r="G35" s="6" t="str">
        <f ca="1">_xll.DBR($C$25,$B35,G$27)</f>
        <v>*KEY_ERR</v>
      </c>
      <c r="H35" s="6" t="str">
        <f ca="1">_xll.DBR($C$25,$B35,H$27)</f>
        <v>*KEY_ERR</v>
      </c>
    </row>
    <row r="36" spans="2:32" hidden="1" outlineLevel="1" x14ac:dyDescent="0.25">
      <c r="B36" s="6" t="s">
        <v>97</v>
      </c>
      <c r="C36" s="6" t="str">
        <f ca="1">_xll.DBR($C$25,$B36,C$27)</f>
        <v>*KEY_ERR</v>
      </c>
      <c r="D36" s="6" t="str">
        <f ca="1">_xll.DBR($C$25,$B36,D$27)</f>
        <v>*KEY_ERR</v>
      </c>
      <c r="E36" s="6" t="str">
        <f ca="1">_xll.DBR($C$25,$B36,E$27)</f>
        <v>*KEY_ERR</v>
      </c>
      <c r="F36" s="6" t="str">
        <f ca="1">_xll.DBR($C$25,$B36,F$27)</f>
        <v>*KEY_ERR</v>
      </c>
      <c r="G36" s="6" t="str">
        <f ca="1">_xll.DBR($C$25,$B36,G$27)</f>
        <v>*KEY_ERR</v>
      </c>
      <c r="H36" s="6" t="str">
        <f ca="1">_xll.DBR($C$25,$B36,H$27)</f>
        <v>*KEY_ERR</v>
      </c>
    </row>
    <row r="37" spans="2:32" hidden="1" outlineLevel="1" x14ac:dyDescent="0.25">
      <c r="B37" s="6" t="s">
        <v>98</v>
      </c>
      <c r="C37" s="6" t="str">
        <f ca="1">_xll.DBR($C$25,$B37,C$27)</f>
        <v>*KEY_ERR</v>
      </c>
      <c r="D37" s="6" t="str">
        <f ca="1">_xll.DBR($C$25,$B37,D$27)</f>
        <v>*KEY_ERR</v>
      </c>
      <c r="E37" s="6" t="str">
        <f ca="1">_xll.DBR($C$25,$B37,E$27)</f>
        <v>*KEY_ERR</v>
      </c>
      <c r="F37" s="6" t="str">
        <f ca="1">_xll.DBR($C$25,$B37,F$27)</f>
        <v>*KEY_ERR</v>
      </c>
      <c r="G37" s="6" t="str">
        <f ca="1">_xll.DBR($C$25,$B37,G$27)</f>
        <v>*KEY_ERR</v>
      </c>
      <c r="H37" s="6" t="str">
        <f ca="1">_xll.DBR($C$25,$B37,H$27)</f>
        <v>*KEY_ERR</v>
      </c>
    </row>
    <row r="38" spans="2:32" hidden="1" outlineLevel="1" x14ac:dyDescent="0.25"/>
    <row r="39" spans="2:32" hidden="1" outlineLevel="1" x14ac:dyDescent="0.25"/>
    <row r="40" spans="2:32" hidden="1" outlineLevel="1" x14ac:dyDescent="0.25">
      <c r="B40" s="56" t="s">
        <v>22</v>
      </c>
      <c r="C40" s="57"/>
      <c r="D40" s="58"/>
      <c r="J40" s="9" t="s">
        <v>40</v>
      </c>
      <c r="K40" s="9"/>
      <c r="L40" s="9"/>
      <c r="M40" s="9"/>
      <c r="N40" s="9"/>
      <c r="O40" s="9"/>
      <c r="P40" s="9"/>
      <c r="Q40" s="9"/>
      <c r="R40" s="26" t="str">
        <f ca="1">_xll.DBRW(db_name&amp;":}ElementAttributes_AE parameters and FE3 calculation measure",R$43,"Desc")</f>
        <v>*KEY_ERR</v>
      </c>
      <c r="S40" s="26" t="str">
        <f ca="1">_xll.DBRW(db_name&amp;":}ElementAttributes_AE parameters and FE3 calculation measure",S$43,"Desc")</f>
        <v>*KEY_ERR</v>
      </c>
      <c r="T40" s="26" t="str">
        <f ca="1">_xll.DBRW(db_name&amp;":}ElementAttributes_AE parameters and FE3 calculation measure",T$43,"Desc")</f>
        <v>*KEY_ERR</v>
      </c>
      <c r="U40" s="26" t="str">
        <f ca="1">_xll.DBRW(db_name&amp;":}ElementAttributes_AE parameters and FE3 calculation measure",U$43,"Desc")</f>
        <v>*KEY_ERR</v>
      </c>
      <c r="W40" s="26" t="str">
        <f ca="1">_xll.DBRW(db_name&amp;":}ElementAttributes_AE parameters and FE3 calculation measure",W$43,"Desc")</f>
        <v>*KEY_ERR</v>
      </c>
    </row>
    <row r="41" spans="2:32" hidden="1" outlineLevel="1" x14ac:dyDescent="0.25">
      <c r="B41" s="2" t="s">
        <v>23</v>
      </c>
      <c r="C41" s="6" t="str">
        <f ca="1">_xll.TM1RPTVIEW(db_name&amp;":AE parameters and FE3 calculation:1", 1, _xll.TM1RPTTITLE(db_name&amp;":spp",$C$49), _xll.TM1RPTTITLE(db_name&amp;":related entity",$C$50), _xll.TM1RPTTITLE(db_name&amp;":jurisdiction",$C$51), _xll.TM1RPTTITLE(db_name&amp;":appropriation item",$C$52),_xll.TM1RPTTITLE(db_name&amp;":id",$C$53),TM1RPTFMTRNG,TM1RPTFMTIDCOL)</f>
        <v>dcceew_geus:AE parameters and FE3 calculation:1</v>
      </c>
      <c r="D41" s="6"/>
      <c r="J41" s="10" t="str">
        <f ca="1">RIGHT(psHLYear,9)</f>
        <v>*KEY_ERR</v>
      </c>
      <c r="K41" s="14"/>
      <c r="L41" s="35"/>
      <c r="M41" s="35"/>
      <c r="N41" s="35"/>
      <c r="O41" t="str">
        <f ca="1">_xll.DIMNM(db_name&amp;":period",_xll.DIMIX(db_name&amp;":period",$J$41)+O$42)</f>
        <v/>
      </c>
      <c r="P41" t="str">
        <f ca="1">_xll.DIMNM(db_name&amp;":period",_xll.DIMIX(db_name&amp;":period",$J$41)+P$42)</f>
        <v/>
      </c>
      <c r="Q41" s="14"/>
      <c r="R41" t="str">
        <f ca="1">_xll.DIMNM(db_name&amp;":period",_xll.DIMIX(db_name&amp;":period",$J$41)+R$42)</f>
        <v/>
      </c>
      <c r="S41" t="str">
        <f ca="1">_xll.DIMNM(db_name&amp;":period",_xll.DIMIX(db_name&amp;":period",$J$41)+S$42)</f>
        <v/>
      </c>
      <c r="T41" t="str">
        <f ca="1">_xll.DIMNM(db_name&amp;":period",_xll.DIMIX(db_name&amp;":period",$J$41)+T$42)</f>
        <v/>
      </c>
      <c r="U41" t="str">
        <f ca="1">_xll.DIMNM(db_name&amp;":period",_xll.DIMIX(db_name&amp;":period",$J$41)+U$42)</f>
        <v/>
      </c>
      <c r="W41" t="str">
        <f ca="1">_xll.DIMNM(db_name&amp;":period",_xll.DIMIX(db_name&amp;":period",$J$41)+W$42)</f>
        <v/>
      </c>
      <c r="Y41" t="str">
        <f ca="1">_xll.DIMNM(db_name&amp;":period",_xll.DIMIX(db_name&amp;":period",$J$41)+Y$42)</f>
        <v/>
      </c>
      <c r="Z41" t="str">
        <f ca="1">_xll.DIMNM(db_name&amp;":period",_xll.DIMIX(db_name&amp;":period",$J$41)+Z$42)</f>
        <v/>
      </c>
      <c r="AB41" t="str">
        <f ca="1">_xll.DIMNM(db_name&amp;":period",_xll.DIMIX(db_name&amp;":period",$J$41)+AB$42)</f>
        <v/>
      </c>
      <c r="AC41" t="str">
        <f ca="1">_xll.DIMNM(db_name&amp;":period",_xll.DIMIX(db_name&amp;":period",$J$41)+AC$42)</f>
        <v/>
      </c>
      <c r="AE41" t="str">
        <f ca="1">_xll.DIMNM(db_name&amp;":period",_xll.DIMIX(db_name&amp;":period",$J$41)+AE$42)</f>
        <v/>
      </c>
      <c r="AF41" t="str">
        <f ca="1">_xll.DIMNM(db_name&amp;":period",_xll.DIMIX(db_name&amp;":period",$J$41)+AF$42)</f>
        <v/>
      </c>
    </row>
    <row r="42" spans="2:32" hidden="1" outlineLevel="1" x14ac:dyDescent="0.25">
      <c r="B42" s="2" t="s">
        <v>24</v>
      </c>
      <c r="C42" s="6" t="str">
        <f ca="1">_xll.VIEW(db_name&amp;":AE parameters and FE3 calculation","!",$C$49,"!","!",$C$50,$C$51,$C$52,"!",$C$53,"!","!")</f>
        <v>dcceew_geus:AE parameters and FE3 calculation</v>
      </c>
      <c r="D42" s="6"/>
      <c r="J42" s="10" t="s">
        <v>42</v>
      </c>
      <c r="K42" s="14"/>
      <c r="L42" s="35"/>
      <c r="M42" s="35"/>
      <c r="N42" s="35"/>
      <c r="O42">
        <v>2</v>
      </c>
      <c r="P42">
        <v>3</v>
      </c>
      <c r="Q42" s="14"/>
      <c r="R42">
        <v>3</v>
      </c>
      <c r="S42">
        <v>3</v>
      </c>
      <c r="T42">
        <v>3</v>
      </c>
      <c r="U42">
        <v>3</v>
      </c>
      <c r="W42">
        <v>3</v>
      </c>
      <c r="Y42">
        <v>2</v>
      </c>
      <c r="Z42">
        <v>3</v>
      </c>
      <c r="AB42">
        <v>2</v>
      </c>
      <c r="AC42">
        <v>3</v>
      </c>
      <c r="AE42">
        <v>2</v>
      </c>
      <c r="AF42">
        <v>3</v>
      </c>
    </row>
    <row r="43" spans="2:32" hidden="1" outlineLevel="1" x14ac:dyDescent="0.25">
      <c r="B43" s="1">
        <v>2</v>
      </c>
      <c r="C43" s="18" t="s">
        <v>41</v>
      </c>
      <c r="D43" s="18" t="s">
        <v>52</v>
      </c>
      <c r="E43" s="18" t="s">
        <v>53</v>
      </c>
      <c r="J43" s="14"/>
      <c r="K43" s="14"/>
      <c r="L43" s="35"/>
      <c r="M43" s="35"/>
      <c r="N43" s="35"/>
      <c r="O43" s="16" t="s">
        <v>74</v>
      </c>
      <c r="P43" s="16" t="s">
        <v>74</v>
      </c>
      <c r="R43" s="16" t="s">
        <v>66</v>
      </c>
      <c r="S43" s="16" t="s">
        <v>67</v>
      </c>
      <c r="T43" s="16" t="s">
        <v>68</v>
      </c>
      <c r="U43" s="16" t="s">
        <v>7</v>
      </c>
      <c r="W43" s="16" t="s">
        <v>7</v>
      </c>
      <c r="Y43" s="16" t="s">
        <v>54</v>
      </c>
      <c r="Z43" s="16" t="s">
        <v>54</v>
      </c>
      <c r="AB43" s="16" t="s">
        <v>102</v>
      </c>
      <c r="AC43" s="16" t="s">
        <v>102</v>
      </c>
      <c r="AE43" s="16" t="s">
        <v>6</v>
      </c>
      <c r="AF43" s="16" t="s">
        <v>6</v>
      </c>
    </row>
    <row r="44" spans="2:32" hidden="1" outlineLevel="1" x14ac:dyDescent="0.25">
      <c r="B44" s="6" t="s">
        <v>43</v>
      </c>
      <c r="C44" s="6" t="str">
        <f ca="1">IF($P$28="Collapse",$D44,$E44)</f>
        <v>{[programme].[]}</v>
      </c>
      <c r="D44" s="6" t="str">
        <f ca="1">"{[programme].[" &amp; $K$68 &amp; "]}"</f>
        <v>{[programme].[]}</v>
      </c>
      <c r="E44" s="6" t="str">
        <f ca="1">"{TM1DRILLDOWNMEMBER( {[programme].[" &amp; $K$68 &amp; "]}, ALL, RECURSIVE )}"</f>
        <v>{TM1DRILLDOWNMEMBER( {[programme].[]}, ALL, RECURSIVE )}</v>
      </c>
      <c r="O44" s="16" t="str">
        <f t="shared" ref="O44:P44" ca="1" si="0">O$41</f>
        <v/>
      </c>
      <c r="P44" s="16" t="str">
        <f t="shared" ca="1" si="0"/>
        <v/>
      </c>
      <c r="R44" s="16" t="str">
        <f t="shared" ref="R44:T44" ca="1" si="1">R$41</f>
        <v/>
      </c>
      <c r="S44" s="16" t="str">
        <f t="shared" ca="1" si="1"/>
        <v/>
      </c>
      <c r="T44" s="16" t="str">
        <f t="shared" ca="1" si="1"/>
        <v/>
      </c>
      <c r="U44" s="16" t="str">
        <f ca="1">U$41</f>
        <v/>
      </c>
      <c r="W44" s="16" t="str">
        <f ca="1">W$41</f>
        <v/>
      </c>
      <c r="Y44" s="16" t="str">
        <f t="shared" ref="Y44:Z44" ca="1" si="2">Y$41</f>
        <v/>
      </c>
      <c r="Z44" s="16" t="str">
        <f t="shared" ca="1" si="2"/>
        <v/>
      </c>
      <c r="AB44" s="16" t="str">
        <f t="shared" ref="AB44:AC44" ca="1" si="3">AB$41</f>
        <v/>
      </c>
      <c r="AC44" s="16" t="str">
        <f t="shared" ca="1" si="3"/>
        <v/>
      </c>
      <c r="AE44" s="16" t="str">
        <f t="shared" ref="AE44:AF44" ca="1" si="4">AE$41</f>
        <v/>
      </c>
      <c r="AF44" s="16" t="str">
        <f t="shared" ca="1" si="4"/>
        <v/>
      </c>
    </row>
    <row r="45" spans="2:32" hidden="1" outlineLevel="1" x14ac:dyDescent="0.25">
      <c r="B45" s="6" t="s">
        <v>44</v>
      </c>
      <c r="C45" s="6" t="str">
        <f ca="1">IF($P$28="Collapse",$D45,$E45)</f>
        <v>{[account].[]}</v>
      </c>
      <c r="D45" s="6" t="str">
        <f ca="1">"{[account].[" &amp; $K$69 &amp; "]}"</f>
        <v>{[account].[]}</v>
      </c>
      <c r="E45" s="6" t="str">
        <f ca="1">"{[account].[" &amp; $K$69 &amp; "]}"</f>
        <v>{[account].[]}</v>
      </c>
    </row>
    <row r="46" spans="2:32" hidden="1" outlineLevel="1" x14ac:dyDescent="0.25">
      <c r="B46" s="6" t="s">
        <v>45</v>
      </c>
      <c r="C46" s="6" t="str">
        <f ca="1">IF($P$28="Collapse",$D46,$E46)</f>
        <v>{[movement account].[]}</v>
      </c>
      <c r="D46" s="6" t="str">
        <f ca="1">"{[movement account].[" &amp; $K$70 &amp; "]}"</f>
        <v>{[movement account].[]}</v>
      </c>
      <c r="E46" s="6" t="str">
        <f ca="1">"{[movement account].[" &amp; $K$70 &amp; "]}"</f>
        <v>{[movement account].[]}</v>
      </c>
    </row>
    <row r="47" spans="2:32" hidden="1" outlineLevel="1" x14ac:dyDescent="0.25">
      <c r="B47" s="6" t="s">
        <v>75</v>
      </c>
      <c r="C47" s="6" t="str">
        <f>"{TM1DRILLDOWNMEMBER( {[measure code].[Total Measures]}, ALL, RECURSIVE )}"</f>
        <v>{TM1DRILLDOWNMEMBER( {[measure code].[Total Measures]}, ALL, RECURSIVE )}</v>
      </c>
    </row>
    <row r="48" spans="2:32" hidden="1" outlineLevel="1" x14ac:dyDescent="0.25">
      <c r="B48" s="2" t="s">
        <v>0</v>
      </c>
      <c r="C48" s="6" t="str">
        <f ca="1">_xll.SUBNM(db_name&amp;":}Clients","",psUser)</f>
        <v/>
      </c>
    </row>
    <row r="49" spans="2:33" hidden="1" outlineLevel="1" x14ac:dyDescent="0.25">
      <c r="B49" s="2" t="s">
        <v>1</v>
      </c>
      <c r="C49" s="6" t="str">
        <f ca="1">_xll.SUBNM(db_name&amp;":spp","","Total SPP")</f>
        <v/>
      </c>
      <c r="O49" t="s">
        <v>64</v>
      </c>
      <c r="P49">
        <f ca="1">_xll.DIMIX(db_name&amp;":period",psFE2Year)</f>
        <v>0</v>
      </c>
    </row>
    <row r="50" spans="2:33" hidden="1" outlineLevel="1" x14ac:dyDescent="0.25">
      <c r="B50" s="2" t="s">
        <v>2</v>
      </c>
      <c r="C50" s="6" t="str">
        <f ca="1">_xll.SUBNM(db_name&amp;":related entity","","Total related entity")</f>
        <v/>
      </c>
      <c r="O50" t="s">
        <v>65</v>
      </c>
      <c r="P50">
        <f ca="1">_xll.DIMIX(db_name&amp;":period",psFE3Year)</f>
        <v>0</v>
      </c>
    </row>
    <row r="51" spans="2:33" hidden="1" outlineLevel="1" x14ac:dyDescent="0.25">
      <c r="B51" s="2" t="s">
        <v>3</v>
      </c>
      <c r="C51" s="6" t="str">
        <f ca="1">_xll.SUBNM(db_name&amp;":jurisdiction","","Total jurisdictions")</f>
        <v/>
      </c>
      <c r="P51" t="str">
        <f ca="1">IF(P50&gt;P49,"","Please select a valid FE3 period")</f>
        <v>Please select a valid FE3 period</v>
      </c>
    </row>
    <row r="52" spans="2:33" hidden="1" outlineLevel="1" x14ac:dyDescent="0.25">
      <c r="B52" s="2" t="s">
        <v>4</v>
      </c>
      <c r="C52" s="6" t="str">
        <f ca="1">_xll.SUBNM(db_name&amp;":appropriation item","","Total approp item")</f>
        <v/>
      </c>
    </row>
    <row r="53" spans="2:33" hidden="1" outlineLevel="1" x14ac:dyDescent="0.25">
      <c r="B53" s="2" t="s">
        <v>5</v>
      </c>
      <c r="C53" s="6" t="str">
        <f ca="1">_xll.SUBNM(db_name&amp;":id","","Total IDs")</f>
        <v/>
      </c>
    </row>
    <row r="54" spans="2:33" hidden="1" outlineLevel="1" x14ac:dyDescent="0.25">
      <c r="B54" s="1"/>
    </row>
    <row r="55" spans="2:33" hidden="1" outlineLevel="1" x14ac:dyDescent="0.25">
      <c r="B55" s="56" t="s">
        <v>22</v>
      </c>
      <c r="C55" s="57"/>
      <c r="D55" s="58"/>
    </row>
    <row r="56" spans="2:33" hidden="1" outlineLevel="1" x14ac:dyDescent="0.25">
      <c r="B56" s="2" t="s">
        <v>24</v>
      </c>
      <c r="C56" s="6" t="str">
        <f ca="1">_xll.VIEW(db_name&amp;":}ElementAttributes_measure code","!","!")</f>
        <v>dcceew_geus:}ElementAttributes_measure code</v>
      </c>
      <c r="D56" s="6"/>
    </row>
    <row r="57" spans="2:33" hidden="1" outlineLevel="1" x14ac:dyDescent="0.25">
      <c r="B57" s="1" t="s">
        <v>86</v>
      </c>
      <c r="C57" s="6" t="str">
        <f ca="1">_xll.VIEW(db_name&amp;":programme details",psHLYear, psScenario,"!","!")</f>
        <v>dcceew_geus:programme details</v>
      </c>
    </row>
    <row r="58" spans="2:33" hidden="1" outlineLevel="1" x14ac:dyDescent="0.25">
      <c r="B58" s="1" t="s">
        <v>88</v>
      </c>
      <c r="C58" s="35" t="s">
        <v>87</v>
      </c>
    </row>
    <row r="59" spans="2:33" hidden="1" outlineLevel="1" x14ac:dyDescent="0.25"/>
    <row r="60" spans="2:33" ht="39.75" customHeight="1" collapsed="1" x14ac:dyDescent="0.25">
      <c r="I60" s="20"/>
      <c r="J60" s="20"/>
      <c r="K60" s="20"/>
      <c r="L60" s="36"/>
      <c r="M60" s="36"/>
      <c r="N60" s="36"/>
      <c r="O60" s="20"/>
      <c r="P60" s="20"/>
      <c r="Q60" s="20"/>
      <c r="R60" s="20"/>
      <c r="S60" s="20"/>
      <c r="T60" s="20"/>
      <c r="U60" s="20" t="s">
        <v>85</v>
      </c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</row>
    <row r="61" spans="2:33" ht="4.5" customHeight="1" x14ac:dyDescent="0.25">
      <c r="Q61" s="11"/>
    </row>
    <row r="62" spans="2:33" ht="24" customHeight="1" x14ac:dyDescent="0.25">
      <c r="L62"/>
      <c r="M62"/>
      <c r="Q62" s="11"/>
    </row>
    <row r="63" spans="2:33" ht="1.5" customHeight="1" x14ac:dyDescent="0.25">
      <c r="I63" s="20"/>
      <c r="J63" s="20"/>
      <c r="K63" s="20"/>
      <c r="L63" s="36"/>
      <c r="M63" s="36"/>
      <c r="N63" s="36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</row>
    <row r="64" spans="2:33" ht="4.5" customHeight="1" x14ac:dyDescent="0.25">
      <c r="Q64" s="11"/>
    </row>
    <row r="65" spans="1:32" x14ac:dyDescent="0.25">
      <c r="J65" s="61" t="s">
        <v>103</v>
      </c>
      <c r="K65" s="61"/>
      <c r="L65" s="61"/>
      <c r="M65" s="61"/>
      <c r="Q65" s="11"/>
    </row>
    <row r="66" spans="1:32" ht="4.5" customHeight="1" x14ac:dyDescent="0.25">
      <c r="J66" s="38"/>
      <c r="Q66" s="11"/>
    </row>
    <row r="67" spans="1:32" x14ac:dyDescent="0.25">
      <c r="K67" s="59" t="s">
        <v>46</v>
      </c>
      <c r="L67" s="60"/>
      <c r="O67" s="59" t="s">
        <v>63</v>
      </c>
      <c r="P67" s="60"/>
      <c r="Q67" s="11"/>
    </row>
    <row r="68" spans="1:32" x14ac:dyDescent="0.25">
      <c r="J68" s="11" t="s">
        <v>49</v>
      </c>
      <c r="K68" s="54" t="str">
        <f ca="1">_xll.SUBNM(db_name&amp;":programme","","Administered Programmes","code and description")</f>
        <v/>
      </c>
      <c r="L68" s="54"/>
      <c r="O68" s="11" t="s">
        <v>61</v>
      </c>
      <c r="P68" s="25" t="str">
        <f ca="1">_xll.SUBNM(db_name&amp;":period","",$O$44,)</f>
        <v/>
      </c>
      <c r="Q68" s="11"/>
    </row>
    <row r="69" spans="1:32" x14ac:dyDescent="0.25">
      <c r="J69" s="11" t="s">
        <v>47</v>
      </c>
      <c r="K69" s="54" t="str">
        <f ca="1">_xll.SUBNM(db_name&amp;":account","","2000000","code and description")</f>
        <v/>
      </c>
      <c r="L69" s="54"/>
      <c r="O69" s="11" t="s">
        <v>62</v>
      </c>
      <c r="P69" s="25" t="str">
        <f ca="1">_xll.SUBNM(db_name&amp;":period","",$P$44,)</f>
        <v/>
      </c>
    </row>
    <row r="70" spans="1:32" x14ac:dyDescent="0.25">
      <c r="J70" s="11" t="s">
        <v>48</v>
      </c>
      <c r="K70" s="54" t="str">
        <f ca="1">_xll.SUBNM(db_name&amp;":movement account","","Total movement","code and description")</f>
        <v/>
      </c>
      <c r="L70" s="54"/>
      <c r="O70" s="11" t="s">
        <v>91</v>
      </c>
      <c r="P70" s="25" t="str">
        <f ca="1">_xll.SUBNM(db_name&amp;":sys_YesNo","","Yes",)</f>
        <v/>
      </c>
    </row>
    <row r="71" spans="1:32" x14ac:dyDescent="0.25">
      <c r="J71" s="11" t="s">
        <v>60</v>
      </c>
      <c r="K71" s="54" t="str">
        <f ca="1">_xll.SUBNM(db_name&amp;":measure code","","Total Measures")</f>
        <v/>
      </c>
      <c r="L71" s="54"/>
      <c r="M71"/>
      <c r="N71"/>
    </row>
    <row r="72" spans="1:32" ht="4.5" customHeight="1" x14ac:dyDescent="0.25"/>
    <row r="73" spans="1:32" ht="15" customHeight="1" x14ac:dyDescent="0.25">
      <c r="O73" s="55" t="s">
        <v>84</v>
      </c>
      <c r="P73" s="55"/>
      <c r="R73" s="48" t="s">
        <v>101</v>
      </c>
      <c r="S73" s="48"/>
      <c r="T73" s="48"/>
      <c r="U73" s="48"/>
      <c r="W73" s="28" t="s">
        <v>99</v>
      </c>
      <c r="Y73" s="44" t="s">
        <v>81</v>
      </c>
      <c r="Z73" s="45"/>
      <c r="AB73" s="49" t="s">
        <v>82</v>
      </c>
      <c r="AC73" s="50"/>
      <c r="AE73" s="53" t="s">
        <v>83</v>
      </c>
      <c r="AF73" s="53"/>
    </row>
    <row r="74" spans="1:32" ht="36" customHeight="1" x14ac:dyDescent="0.25">
      <c r="O74" s="55"/>
      <c r="P74" s="55"/>
      <c r="R74" s="27" t="str">
        <f ca="1">R$40</f>
        <v>*KEY_ERR</v>
      </c>
      <c r="S74" s="27" t="str">
        <f t="shared" ref="S74:U74" ca="1" si="5">S$40</f>
        <v>*KEY_ERR</v>
      </c>
      <c r="T74" s="27" t="str">
        <f t="shared" ca="1" si="5"/>
        <v>*KEY_ERR</v>
      </c>
      <c r="U74" s="27" t="str">
        <f t="shared" ca="1" si="5"/>
        <v>*KEY_ERR</v>
      </c>
      <c r="W74" s="27" t="s">
        <v>100</v>
      </c>
      <c r="Y74" s="46"/>
      <c r="Z74" s="47"/>
      <c r="AB74" s="51"/>
      <c r="AC74" s="52"/>
      <c r="AE74" s="53"/>
      <c r="AF74" s="53"/>
    </row>
    <row r="75" spans="1:32" x14ac:dyDescent="0.25">
      <c r="J75" s="38" t="s">
        <v>104</v>
      </c>
      <c r="O75" s="16" t="s">
        <v>69</v>
      </c>
      <c r="P75" s="16" t="s">
        <v>70</v>
      </c>
      <c r="R75" s="28" t="s">
        <v>71</v>
      </c>
      <c r="S75" s="28" t="s">
        <v>72</v>
      </c>
      <c r="T75" s="28" t="s">
        <v>73</v>
      </c>
      <c r="U75" s="28"/>
      <c r="W75" s="28"/>
      <c r="Y75" s="37" t="s">
        <v>69</v>
      </c>
      <c r="Z75" s="37" t="s">
        <v>70</v>
      </c>
      <c r="AB75" s="29" t="s">
        <v>69</v>
      </c>
      <c r="AC75" s="29" t="s">
        <v>70</v>
      </c>
      <c r="AE75" s="30" t="s">
        <v>69</v>
      </c>
      <c r="AF75" s="30" t="s">
        <v>70</v>
      </c>
    </row>
    <row r="76" spans="1:32" x14ac:dyDescent="0.25">
      <c r="F76" t="s">
        <v>79</v>
      </c>
      <c r="G76" t="s">
        <v>80</v>
      </c>
      <c r="H76" t="s">
        <v>96</v>
      </c>
      <c r="J76" s="16" t="s">
        <v>76</v>
      </c>
      <c r="K76" s="16" t="s">
        <v>77</v>
      </c>
      <c r="L76" s="16" t="s">
        <v>78</v>
      </c>
      <c r="M76" s="16" t="s">
        <v>89</v>
      </c>
      <c r="O76" s="16" t="str">
        <f t="shared" ref="O76:P76" ca="1" si="6">O$44</f>
        <v/>
      </c>
      <c r="P76" s="16" t="str">
        <f t="shared" ca="1" si="6"/>
        <v/>
      </c>
      <c r="R76" s="28" t="str">
        <f ca="1">R$44</f>
        <v/>
      </c>
      <c r="S76" s="28" t="str">
        <f t="shared" ref="S76:T76" ca="1" si="7">S$44</f>
        <v/>
      </c>
      <c r="T76" s="28" t="str">
        <f t="shared" ca="1" si="7"/>
        <v/>
      </c>
      <c r="U76" s="28" t="str">
        <f ca="1">U$44</f>
        <v/>
      </c>
      <c r="W76" s="28" t="str">
        <f ca="1">W$44</f>
        <v/>
      </c>
      <c r="Y76" s="37" t="str">
        <f t="shared" ref="Y76:Z76" ca="1" si="8">Y$44</f>
        <v/>
      </c>
      <c r="Z76" s="37" t="str">
        <f t="shared" ca="1" si="8"/>
        <v/>
      </c>
      <c r="AB76" s="29" t="str">
        <f t="shared" ref="AB76:AC76" ca="1" si="9">AB$44</f>
        <v/>
      </c>
      <c r="AC76" s="29" t="str">
        <f t="shared" ca="1" si="9"/>
        <v/>
      </c>
      <c r="AE76" s="30" t="str">
        <f t="shared" ref="AE76:AF76" ca="1" si="10">AE$44</f>
        <v/>
      </c>
      <c r="AF76" s="30" t="str">
        <f t="shared" ca="1" si="10"/>
        <v/>
      </c>
    </row>
    <row r="77" spans="1:32" x14ac:dyDescent="0.25">
      <c r="A77" t="str">
        <f ca="1">IF(_xll.TM1RPTELISCONSOLIDATED($E$77,$E77),IF(_xll.TM1RPTELLEV($E$77,$E77)&lt;=3,_xll.TM1RPTELLEV($E$77,$E77),"D"),"N")</f>
        <v>N</v>
      </c>
      <c r="B77" s="41" t="str">
        <f ca="1">_xll.TM1RPTROW($C$41,db_name&amp;":programme","","","code and description",0,$C$44)</f>
        <v/>
      </c>
      <c r="C77" s="42" t="str">
        <f ca="1">_xll.TM1RPTROW($C$41,db_name&amp;":account","","","",0,$C$45)</f>
        <v/>
      </c>
      <c r="D77" s="42" t="str">
        <f ca="1">_xll.TM1RPTROW($C$41,db_name&amp;":movement account","","","",0,$C$46)</f>
        <v/>
      </c>
      <c r="E77" s="43" t="str">
        <f ca="1">_xll.TM1RPTROW($C$41,db_name&amp;":measure code","","","code and description",0,$C$47)</f>
        <v/>
      </c>
      <c r="F77" s="6" t="str">
        <f ca="1">_xll.DBR($C$56,$E77,F$76)</f>
        <v>*KEY_ERR</v>
      </c>
      <c r="G77" s="6" t="str">
        <f ca="1">_xll.DBR($C$56,$E77,G$76)</f>
        <v>*KEY_ERR</v>
      </c>
      <c r="H77" s="6" t="str">
        <f ca="1">_xll.DBR($C$56,$E77,H$76)</f>
        <v>*KEY_ERR</v>
      </c>
      <c r="J77" s="21" t="str">
        <f ca="1">$E77</f>
        <v/>
      </c>
      <c r="K77" s="32" t="str">
        <f ca="1">$F77</f>
        <v>*KEY_ERR</v>
      </c>
      <c r="L77" s="32" t="str">
        <f ca="1">$G77</f>
        <v>*KEY_ERR</v>
      </c>
      <c r="M77" s="32" t="str">
        <f ca="1">$H77</f>
        <v>*KEY_ERR</v>
      </c>
      <c r="O77" s="19" t="str">
        <f ca="1">_xll.DBRW($C$41,$B77,$C$49,$C77,$D77,$C$50,$C$51,$C$52,$E77,$C$53,O$44,O$43)</f>
        <v/>
      </c>
      <c r="P77" s="19" t="str">
        <f ca="1">_xll.DBRW($C$41,$B77,$C$49,$C77,$D77,$C$50,$C$51,$C$52,$E77,$C$53,P$44,P$43)</f>
        <v/>
      </c>
      <c r="Q77" t="str">
        <f ca="1">_xll.DBRW($C$41,$B77,$C$49,$C77,$D77,$C$50,$C$51,$C$52,$E77,$C$53,Q$44,Q$43)</f>
        <v/>
      </c>
      <c r="R77" s="19" t="str">
        <f ca="1">_xll.DBRW($C$41,$B77,$C$49,$C77,$D77,$C$50,$C$51,$C$52,$E77,$C$53,R$44,R$43)</f>
        <v/>
      </c>
      <c r="S77" s="19" t="str">
        <f ca="1">_xll.DBRW($C$41,$B77,$C$49,$C77,$D77,$C$50,$C$51,$C$52,$E77,$C$53,S$44,S$43)</f>
        <v/>
      </c>
      <c r="T77" s="19" t="str">
        <f ca="1">_xll.DBRW($C$41,$B77,$C$49,$C77,$D77,$C$50,$C$51,$C$52,$E77,$C$53,T$44,T$43)</f>
        <v/>
      </c>
      <c r="U77" s="19" t="str">
        <f ca="1">_xll.DBRW($C$41,$B77,$C$49,$C77,$D77,$C$50,$C$51,$C$52,$E77,$C$53,U$44,U$43)</f>
        <v/>
      </c>
      <c r="V77" s="1"/>
      <c r="W77" s="40" t="e">
        <f ca="1">U77+Z77</f>
        <v>#VALUE!</v>
      </c>
      <c r="X77" s="1"/>
      <c r="Y77" s="19" t="str">
        <f ca="1">_xll.DBRW($C$41,$B77,$C$49,$C77,$D77,$C$50,$C$51,$C$52,$E77,$C$53,Y$44,Y$43)</f>
        <v/>
      </c>
      <c r="Z77" s="19" t="str">
        <f ca="1">_xll.DBRW($C$41,$B77,$C$49,$C77,$D77,$C$50,$C$51,$C$52,$E77,$C$53,Z$44,Z$43)</f>
        <v/>
      </c>
      <c r="AA77" s="1"/>
      <c r="AB77" s="19" t="str">
        <f ca="1">_xll.DBRW($C$41,$B77,$C$49,$C77,$D77,$C$50,$C$51,$C$52,$E77,$C$53,AB$44,AB$43)</f>
        <v/>
      </c>
      <c r="AC77" s="19" t="str">
        <f ca="1">_xll.DBRW($C$41,$B77,$C$49,$C77,$D77,$C$50,$C$51,$C$52,$E77,$C$53,AC$44,AC$43)</f>
        <v/>
      </c>
      <c r="AD77" s="1"/>
      <c r="AE77" s="19" t="str">
        <f ca="1">_xll.DBRW($C$41,$B77,$C$49,$C77,$D77,$C$50,$C$51,$C$52,$E77,$C$53,AE$44,AE$43)</f>
        <v/>
      </c>
      <c r="AF77" s="19" t="str">
        <f ca="1">_xll.DBRW($C$41,$B77,$C$49,$C77,$D77,$C$50,$C$51,$C$52,$E77,$C$53,AF$44,AF$43)</f>
        <v/>
      </c>
    </row>
  </sheetData>
  <sheetProtection sheet="1" objects="1" scenarios="1"/>
  <mergeCells count="17">
    <mergeCell ref="B11:D11"/>
    <mergeCell ref="B19:D19"/>
    <mergeCell ref="B40:D40"/>
    <mergeCell ref="B24:D24"/>
    <mergeCell ref="O67:P67"/>
    <mergeCell ref="B55:D55"/>
    <mergeCell ref="K67:L67"/>
    <mergeCell ref="J65:M65"/>
    <mergeCell ref="Y73:Z74"/>
    <mergeCell ref="R73:U73"/>
    <mergeCell ref="AB73:AC74"/>
    <mergeCell ref="AE73:AF74"/>
    <mergeCell ref="K68:L68"/>
    <mergeCell ref="K69:L69"/>
    <mergeCell ref="K70:L70"/>
    <mergeCell ref="K71:L71"/>
    <mergeCell ref="O73:P74"/>
  </mergeCells>
  <conditionalFormatting sqref="L2:M7">
    <cfRule type="containsText" dxfId="1" priority="117" operator="containsText" text="terminating">
      <formula>NOT(ISERROR(SEARCH("terminating",L2)))</formula>
    </cfRule>
  </conditionalFormatting>
  <conditionalFormatting sqref="L77:M77">
    <cfRule type="containsText" dxfId="0" priority="2" operator="containsText" text="terminating">
      <formula>NOT(ISERROR(SEARCH("terminating",L77)))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39" r:id="rId4" name="TIButton9">
          <controlPr defaultSize="0" print="0" autoLine="0" autoPict="0" r:id="rId5">
            <anchor moveWithCells="1" sizeWithCells="1">
              <from>
                <xdr:col>9</xdr:col>
                <xdr:colOff>2714625</xdr:colOff>
                <xdr:row>61</xdr:row>
                <xdr:rowOff>9525</xdr:rowOff>
              </from>
              <to>
                <xdr:col>9</xdr:col>
                <xdr:colOff>3790950</xdr:colOff>
                <xdr:row>61</xdr:row>
                <xdr:rowOff>257175</xdr:rowOff>
              </to>
            </anchor>
          </controlPr>
        </control>
      </mc:Choice>
      <mc:Fallback>
        <control shapeId="1039" r:id="rId4" name="TIButton9"/>
      </mc:Fallback>
    </mc:AlternateContent>
    <mc:AlternateContent xmlns:mc="http://schemas.openxmlformats.org/markup-compatibility/2006">
      <mc:Choice Requires="x14">
        <control shapeId="1037" r:id="rId6" name="TIButton7">
          <controlPr defaultSize="0" print="0" autoLine="0" r:id="rId7">
            <anchor moveWithCells="1" sizeWithCells="1">
              <from>
                <xdr:col>12</xdr:col>
                <xdr:colOff>0</xdr:colOff>
                <xdr:row>61</xdr:row>
                <xdr:rowOff>9525</xdr:rowOff>
              </from>
              <to>
                <xdr:col>14</xdr:col>
                <xdr:colOff>0</xdr:colOff>
                <xdr:row>61</xdr:row>
                <xdr:rowOff>257175</xdr:rowOff>
              </to>
            </anchor>
          </controlPr>
        </control>
      </mc:Choice>
      <mc:Fallback>
        <control shapeId="1037" r:id="rId6" name="TIButton7"/>
      </mc:Fallback>
    </mc:AlternateContent>
    <mc:AlternateContent xmlns:mc="http://schemas.openxmlformats.org/markup-compatibility/2006">
      <mc:Choice Requires="x14">
        <control shapeId="1036" r:id="rId8" name="TIButton8">
          <controlPr defaultSize="0" print="0" autoLine="0" r:id="rId9">
            <anchor moveWithCells="1" sizeWithCells="1">
              <from>
                <xdr:col>10</xdr:col>
                <xdr:colOff>704850</xdr:colOff>
                <xdr:row>61</xdr:row>
                <xdr:rowOff>9525</xdr:rowOff>
              </from>
              <to>
                <xdr:col>11</xdr:col>
                <xdr:colOff>990600</xdr:colOff>
                <xdr:row>61</xdr:row>
                <xdr:rowOff>257175</xdr:rowOff>
              </to>
            </anchor>
          </controlPr>
        </control>
      </mc:Choice>
      <mc:Fallback>
        <control shapeId="1036" r:id="rId8" name="TIButton8"/>
      </mc:Fallback>
    </mc:AlternateContent>
    <mc:AlternateContent xmlns:mc="http://schemas.openxmlformats.org/markup-compatibility/2006">
      <mc:Choice Requires="x14">
        <control shapeId="1030" r:id="rId10" name="TIButton6">
          <controlPr defaultSize="0" print="0" autoLine="0" r:id="rId11">
            <anchor moveWithCells="1" sizeWithCells="1">
              <from>
                <xdr:col>9</xdr:col>
                <xdr:colOff>3819525</xdr:colOff>
                <xdr:row>61</xdr:row>
                <xdr:rowOff>9525</xdr:rowOff>
              </from>
              <to>
                <xdr:col>10</xdr:col>
                <xdr:colOff>666750</xdr:colOff>
                <xdr:row>61</xdr:row>
                <xdr:rowOff>257175</xdr:rowOff>
              </to>
            </anchor>
          </controlPr>
        </control>
      </mc:Choice>
      <mc:Fallback>
        <control shapeId="1030" r:id="rId10" name="TIButton6"/>
      </mc:Fallback>
    </mc:AlternateContent>
    <mc:AlternateContent xmlns:mc="http://schemas.openxmlformats.org/markup-compatibility/2006">
      <mc:Choice Requires="x14">
        <control shapeId="1029" r:id="rId12" name="TIButton5">
          <controlPr defaultSize="0" print="0" autoLine="0" r:id="rId13">
            <anchor moveWithCells="1" sizeWithCells="1">
              <from>
                <xdr:col>20</xdr:col>
                <xdr:colOff>638175</xdr:colOff>
                <xdr:row>60</xdr:row>
                <xdr:rowOff>38100</xdr:rowOff>
              </from>
              <to>
                <xdr:col>20</xdr:col>
                <xdr:colOff>819150</xdr:colOff>
                <xdr:row>61</xdr:row>
                <xdr:rowOff>161925</xdr:rowOff>
              </to>
            </anchor>
          </controlPr>
        </control>
      </mc:Choice>
      <mc:Fallback>
        <control shapeId="1029" r:id="rId12" name="TIButton5"/>
      </mc:Fallback>
    </mc:AlternateContent>
    <mc:AlternateContent xmlns:mc="http://schemas.openxmlformats.org/markup-compatibility/2006">
      <mc:Choice Requires="x14">
        <control shapeId="1025" r:id="rId14" name="TIButton1">
          <controlPr defaultSize="0" print="0" autoLine="0" autoPict="0" r:id="rId15">
            <anchor moveWithCells="1" sizeWithCells="1">
              <from>
                <xdr:col>9</xdr:col>
                <xdr:colOff>9525</xdr:colOff>
                <xdr:row>61</xdr:row>
                <xdr:rowOff>9525</xdr:rowOff>
              </from>
              <to>
                <xdr:col>9</xdr:col>
                <xdr:colOff>495300</xdr:colOff>
                <xdr:row>61</xdr:row>
                <xdr:rowOff>257175</xdr:rowOff>
              </to>
            </anchor>
          </controlPr>
        </control>
      </mc:Choice>
      <mc:Fallback>
        <control shapeId="1025" r:id="rId14" name="TIButton1"/>
      </mc:Fallback>
    </mc:AlternateContent>
    <mc:AlternateContent xmlns:mc="http://schemas.openxmlformats.org/markup-compatibility/2006">
      <mc:Choice Requires="x14">
        <control shapeId="1026" r:id="rId16" name="TIButton2">
          <controlPr defaultSize="0" print="0" autoLine="0" r:id="rId17">
            <anchor moveWithCells="1" sizeWithCells="1">
              <from>
                <xdr:col>14</xdr:col>
                <xdr:colOff>47625</xdr:colOff>
                <xdr:row>61</xdr:row>
                <xdr:rowOff>9525</xdr:rowOff>
              </from>
              <to>
                <xdr:col>14</xdr:col>
                <xdr:colOff>571500</xdr:colOff>
                <xdr:row>61</xdr:row>
                <xdr:rowOff>257175</xdr:rowOff>
              </to>
            </anchor>
          </controlPr>
        </control>
      </mc:Choice>
      <mc:Fallback>
        <control shapeId="1026" r:id="rId16" name="TIButton2"/>
      </mc:Fallback>
    </mc:AlternateContent>
    <mc:AlternateContent xmlns:mc="http://schemas.openxmlformats.org/markup-compatibility/2006">
      <mc:Choice Requires="x14">
        <control shapeId="1027" r:id="rId18" name="TIButton3">
          <controlPr defaultSize="0" print="0" autoLine="0" autoPict="0" r:id="rId19">
            <anchor moveWithCells="1" sizeWithCells="1">
              <from>
                <xdr:col>9</xdr:col>
                <xdr:colOff>1695450</xdr:colOff>
                <xdr:row>61</xdr:row>
                <xdr:rowOff>9525</xdr:rowOff>
              </from>
              <to>
                <xdr:col>9</xdr:col>
                <xdr:colOff>2676525</xdr:colOff>
                <xdr:row>61</xdr:row>
                <xdr:rowOff>257175</xdr:rowOff>
              </to>
            </anchor>
          </controlPr>
        </control>
      </mc:Choice>
      <mc:Fallback>
        <control shapeId="1027" r:id="rId18" name="TIButton3"/>
      </mc:Fallback>
    </mc:AlternateContent>
    <mc:AlternateContent xmlns:mc="http://schemas.openxmlformats.org/markup-compatibility/2006">
      <mc:Choice Requires="x14">
        <control shapeId="1038" r:id="rId20" name="TIButton4">
          <controlPr defaultSize="0" print="0" autoLine="0" autoPict="0" r:id="rId21">
            <anchor moveWithCells="1" sizeWithCells="1">
              <from>
                <xdr:col>9</xdr:col>
                <xdr:colOff>523875</xdr:colOff>
                <xdr:row>61</xdr:row>
                <xdr:rowOff>9525</xdr:rowOff>
              </from>
              <to>
                <xdr:col>9</xdr:col>
                <xdr:colOff>1666875</xdr:colOff>
                <xdr:row>61</xdr:row>
                <xdr:rowOff>257175</xdr:rowOff>
              </to>
            </anchor>
          </controlPr>
        </control>
      </mc:Choice>
      <mc:Fallback>
        <control shapeId="1038" r:id="rId20" name="TIButton4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F528B-75C6-478A-A836-2C8B01A276D1}">
  <sheetPr codeName="Sheet2"/>
  <dimension ref="A1:A2"/>
  <sheetViews>
    <sheetView workbookViewId="0"/>
  </sheetViews>
  <sheetFormatPr defaultRowHeight="15" x14ac:dyDescent="0.25"/>
  <sheetData>
    <row r="1" spans="1:1" x14ac:dyDescent="0.25">
      <c r="A1" t="s">
        <v>9</v>
      </c>
    </row>
    <row r="2" spans="1:1" x14ac:dyDescent="0.25">
      <c r="A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43</vt:i4>
      </vt:variant>
    </vt:vector>
  </HeadingPairs>
  <TitlesOfParts>
    <vt:vector size="45" baseType="lpstr">
      <vt:lpstr>fe3 calculation</vt:lpstr>
      <vt:lpstr>{PL}PickLst</vt:lpstr>
      <vt:lpstr>db_name</vt:lpstr>
      <vt:lpstr>Freeze_Here</vt:lpstr>
      <vt:lpstr>psApp</vt:lpstr>
      <vt:lpstr>psCreateAdjByMeasures</vt:lpstr>
      <vt:lpstr>psFE2Year</vt:lpstr>
      <vt:lpstr>psFE3Year</vt:lpstr>
      <vt:lpstr>psHLYear</vt:lpstr>
      <vt:lpstr>psProg</vt:lpstr>
      <vt:lpstr>psScenario</vt:lpstr>
      <vt:lpstr>psUser</vt:lpstr>
      <vt:lpstr>TM1AdjIDListCAP</vt:lpstr>
      <vt:lpstr>TM1AdjIDListWB</vt:lpstr>
      <vt:lpstr>TM1AdjIDListWS</vt:lpstr>
      <vt:lpstr>TM1EDCAP</vt:lpstr>
      <vt:lpstr>TM1EDWB</vt:lpstr>
      <vt:lpstr>TM1EDWS</vt:lpstr>
      <vt:lpstr>TM1FE3CAP</vt:lpstr>
      <vt:lpstr>TM1FE3DetCAP</vt:lpstr>
      <vt:lpstr>TM1FE3DetWB</vt:lpstr>
      <vt:lpstr>TM1FE3DetWS</vt:lpstr>
      <vt:lpstr>TM1FE3WB</vt:lpstr>
      <vt:lpstr>TM1FE3WS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TM1IndexCAP</vt:lpstr>
      <vt:lpstr>TM1IndexFE3MapCAP</vt:lpstr>
      <vt:lpstr>TM1IndexFE3MapWB</vt:lpstr>
      <vt:lpstr>TM1IndexFE3MapWS</vt:lpstr>
      <vt:lpstr>TM1IndexFinSubsetCAP</vt:lpstr>
      <vt:lpstr>TM1IndexFinSubsetWB</vt:lpstr>
      <vt:lpstr>TM1IndexFinSubsetWS</vt:lpstr>
      <vt:lpstr>TM1IndexWB</vt:lpstr>
      <vt:lpstr>TM1IndexWS</vt:lpstr>
      <vt:lpstr>'fe3 calculation'!TM1RPTDATARNG1</vt:lpstr>
      <vt:lpstr>'fe3 calculation'!TM1RPTFMTIDCOL</vt:lpstr>
      <vt:lpstr>'fe3 calculation'!TM1RPTFMTRNG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2019-08-12T04:26:51Z</dcterms:created>
  <dcterms:modified xsi:type="dcterms:W3CDTF">2025-08-05T04:28:17Z</dcterms:modified>
</cp:coreProperties>
</file>