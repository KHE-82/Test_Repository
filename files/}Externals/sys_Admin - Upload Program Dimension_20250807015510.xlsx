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3.xml" ContentType="application/vnd.ms-office.activeX+xml"/>
  <Override PartName="/xl/activeX/activeX2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Client work\Generic GEUS\20250415 Create New Program\"/>
    </mc:Choice>
  </mc:AlternateContent>
  <xr:revisionPtr revIDLastSave="0" documentId="13_ncr:1_{5C9BCDAE-43D5-47B1-8EA6-79E21A3845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pload" sheetId="1" r:id="rId1"/>
    <sheet name="{PL}PickLst" sheetId="2" state="hidden" r:id="rId2"/>
  </sheets>
  <definedNames>
    <definedName name="db_name">upload!$B$2</definedName>
    <definedName name="psApp">upload!$B$29</definedName>
    <definedName name="psClear">upload!$F$45</definedName>
    <definedName name="psClearData">upload!#REF!</definedName>
    <definedName name="psDim">upload!$F$48</definedName>
    <definedName name="psFFType">upload!$B$55</definedName>
    <definedName name="psFile">upload!$F$44</definedName>
    <definedName name="psFileName">upload!$M$90</definedName>
    <definedName name="psHLYear">upload!$F$42</definedName>
    <definedName name="psID">upload!$F$47</definedName>
    <definedName name="psMapping">upload!$F$46</definedName>
    <definedName name="psProg">upload!$M$77</definedName>
    <definedName name="psScenario">upload!$F$43</definedName>
    <definedName name="psUser">upload!$B$4</definedName>
    <definedName name="TM1AdminCreateProgCAP">upload!$C$36</definedName>
    <definedName name="TM1AdminCreateProgWB">upload!$E$36</definedName>
    <definedName name="TM1AdminCreateProgWS">upload!$G$36</definedName>
    <definedName name="TM1AdminRDSProgCAP">upload!$C$38</definedName>
    <definedName name="TM1AdminRDSProgWB">upload!$E$38</definedName>
    <definedName name="TM1AdminRDSProgWS">upload!$G$38</definedName>
    <definedName name="TM1ExtractAB_Confirm">upload!$F$54</definedName>
    <definedName name="TM1ExtractAB_Fail">upload!$F$53</definedName>
    <definedName name="TM1ExtractAB_Success">upload!$F$52</definedName>
    <definedName name="TM1HomeAdminCAP">upload!$C$37</definedName>
    <definedName name="TM1HomeAdminWB">upload!$E$37</definedName>
    <definedName name="TM1HomeAdminWS">upload!$G$37</definedName>
    <definedName name="TM1MEHomeCAP">upload!$C$31</definedName>
    <definedName name="TM1MEHomeWB">upload!$E$31</definedName>
    <definedName name="TM1MEHomeWS">upload!$G$31</definedName>
    <definedName name="TM1MEOSDataEntryCAP">upload!$C$32</definedName>
    <definedName name="TM1MEOSDataEntryWB">upload!$E$32</definedName>
    <definedName name="TM1MEOSDataEntryWS">upload!$G$32</definedName>
    <definedName name="TM1MEUploadCAP">upload!$C$33</definedName>
    <definedName name="TM1MEUploadTempCAP">upload!$C$34</definedName>
    <definedName name="TM1MEUploadTempWB">upload!$E$34</definedName>
    <definedName name="TM1MEUploadTempWS">upload!$G$34</definedName>
    <definedName name="TM1MEUploadWB">upload!$E$33</definedName>
    <definedName name="TM1MEUploadWS">upload!$G$33</definedName>
    <definedName name="TM1MEValidateCAP">upload!$C$35</definedName>
    <definedName name="TM1MEValidateWB">upload!$E$35</definedName>
    <definedName name="TM1MEValidateWS">upload!$G$35</definedName>
    <definedName name="TM1UploadAB_Confirm">upload!$B$54</definedName>
    <definedName name="TM1UploadAB_Fail">upload!$B$53</definedName>
    <definedName name="TM1UploadAB_Success">upload!$B$52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 a="1"/>
  <c r="B28" i="1"/>
  <c r="G38" i="1" a="1"/>
  <c r="G38" i="1"/>
  <c r="F38" i="1" a="1"/>
  <c r="F38" i="1"/>
  <c r="E38" i="1" a="1"/>
  <c r="E38" i="1"/>
  <c r="D38" i="1" a="1"/>
  <c r="D38" i="1"/>
  <c r="C38" i="1" a="1"/>
  <c r="C38" i="1"/>
  <c r="B38" i="1" a="1"/>
  <c r="B38" i="1"/>
  <c r="G37" i="1" a="1"/>
  <c r="G37" i="1"/>
  <c r="F37" i="1" a="1"/>
  <c r="F37" i="1"/>
  <c r="E37" i="1" a="1"/>
  <c r="E37" i="1"/>
  <c r="D37" i="1" a="1"/>
  <c r="D37" i="1"/>
  <c r="C37" i="1" a="1"/>
  <c r="C37" i="1"/>
  <c r="B37" i="1" a="1"/>
  <c r="B37" i="1"/>
  <c r="G36" i="1" a="1"/>
  <c r="G36" i="1"/>
  <c r="F36" i="1" a="1"/>
  <c r="F36" i="1"/>
  <c r="E36" i="1" a="1"/>
  <c r="E36" i="1"/>
  <c r="D36" i="1" a="1"/>
  <c r="D36" i="1"/>
  <c r="C36" i="1" a="1"/>
  <c r="C36" i="1"/>
  <c r="B36" i="1" a="1"/>
  <c r="B36" i="1"/>
  <c r="B52" i="1"/>
  <c r="B42" i="1" a="1"/>
  <c r="B42" i="1"/>
  <c r="B4" i="1" a="1"/>
  <c r="B4" i="1"/>
  <c r="C49" i="1" a="1"/>
  <c r="C49" i="1"/>
  <c r="F53" i="1"/>
  <c r="B53" i="1"/>
  <c r="B49" i="1" a="1"/>
  <c r="B49" i="1"/>
  <c r="F10" i="1" a="1"/>
  <c r="F10" i="1"/>
  <c r="F11" i="1" a="1"/>
  <c r="F11" i="1"/>
  <c r="F42" i="1"/>
  <c r="C48" i="1" a="1"/>
  <c r="C48" i="1"/>
  <c r="B48" i="1" a="1"/>
  <c r="B48" i="1"/>
  <c r="C47" i="1" a="1"/>
  <c r="C47" i="1"/>
  <c r="B47" i="1" a="1"/>
  <c r="B47" i="1"/>
  <c r="C46" i="1" a="1"/>
  <c r="C46" i="1"/>
  <c r="B46" i="1" a="1"/>
  <c r="B46" i="1"/>
  <c r="C45" i="1" a="1"/>
  <c r="C45" i="1"/>
  <c r="B45" i="1" a="1"/>
  <c r="B45" i="1"/>
  <c r="B44" i="1" a="1"/>
  <c r="B44" i="1"/>
  <c r="G35" i="1" a="1"/>
  <c r="G35" i="1"/>
  <c r="F35" i="1" a="1"/>
  <c r="F35" i="1"/>
  <c r="E35" i="1" a="1"/>
  <c r="E35" i="1"/>
  <c r="D35" i="1" a="1"/>
  <c r="D35" i="1"/>
  <c r="C35" i="1" a="1"/>
  <c r="C35" i="1"/>
  <c r="B35" i="1" a="1"/>
  <c r="B35" i="1"/>
  <c r="G34" i="1" a="1"/>
  <c r="G34" i="1"/>
  <c r="F34" i="1" a="1"/>
  <c r="F34" i="1"/>
  <c r="E34" i="1" a="1"/>
  <c r="E34" i="1"/>
  <c r="D34" i="1" a="1"/>
  <c r="D34" i="1"/>
  <c r="C34" i="1" a="1"/>
  <c r="C34" i="1"/>
  <c r="B34" i="1" a="1"/>
  <c r="B34" i="1"/>
  <c r="G33" i="1" a="1"/>
  <c r="G33" i="1"/>
  <c r="F33" i="1" a="1"/>
  <c r="F33" i="1"/>
  <c r="E33" i="1" a="1"/>
  <c r="E33" i="1"/>
  <c r="D33" i="1" a="1"/>
  <c r="D33" i="1"/>
  <c r="C33" i="1" a="1"/>
  <c r="C33" i="1"/>
  <c r="B33" i="1" a="1"/>
  <c r="B33" i="1"/>
  <c r="G32" i="1" a="1"/>
  <c r="G32" i="1"/>
  <c r="F32" i="1" a="1"/>
  <c r="F32" i="1"/>
  <c r="E32" i="1" a="1"/>
  <c r="E32" i="1"/>
  <c r="D32" i="1" a="1"/>
  <c r="D32" i="1"/>
  <c r="C32" i="1" a="1"/>
  <c r="C32" i="1"/>
  <c r="B32" i="1" a="1"/>
  <c r="B32" i="1"/>
  <c r="G31" i="1" a="1"/>
  <c r="G31" i="1"/>
  <c r="F31" i="1" a="1"/>
  <c r="F31" i="1"/>
  <c r="E31" i="1" a="1"/>
  <c r="E31" i="1"/>
  <c r="D31" i="1" a="1"/>
  <c r="D31" i="1"/>
  <c r="C31" i="1" a="1"/>
  <c r="C31" i="1"/>
  <c r="B31" i="1" a="1"/>
  <c r="B31" i="1"/>
  <c r="B10" i="1" a="1"/>
  <c r="B10" i="1"/>
  <c r="B21" i="1" a="1"/>
  <c r="B21" i="1"/>
  <c r="B19" i="1" a="1"/>
  <c r="B19" i="1"/>
  <c r="B16" i="1" a="1"/>
  <c r="B16" i="1"/>
  <c r="B15" i="1" a="1"/>
  <c r="B15" i="1"/>
  <c r="B14" i="1" a="1"/>
  <c r="B14" i="1"/>
  <c r="B13" i="1" a="1"/>
  <c r="B13" i="1"/>
  <c r="F12" i="1" a="1"/>
  <c r="F12" i="1"/>
  <c r="B12" i="1" a="1"/>
  <c r="B12" i="1"/>
  <c r="B11" i="1" a="1"/>
  <c r="B11" i="1"/>
  <c r="B3" i="1" a="1"/>
  <c r="B3" i="1"/>
  <c r="B6" i="1" a="1"/>
  <c r="B6" i="1"/>
  <c r="B5" i="1" a="1"/>
  <c r="B5" i="1"/>
  <c r="M80" i="1"/>
  <c r="M77" i="1" a="1"/>
  <c r="M77" i="1"/>
  <c r="M75" i="1"/>
  <c r="M73" i="1"/>
  <c r="F52" i="1"/>
  <c r="F44" i="1"/>
  <c r="F43" i="1"/>
  <c r="M99" i="1"/>
  <c r="M98" i="1"/>
  <c r="M97" i="1"/>
  <c r="B7" i="1"/>
  <c r="M92" i="1"/>
  <c r="B22" i="1"/>
  <c r="M88" i="1"/>
  <c r="M102" i="1"/>
  <c r="B2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<sst xmlns="http://schemas.openxmlformats.org/spreadsheetml/2006/main" count="110" uniqueCount="100">
  <si>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</si>
  <si>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</si>
  <si>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</si>
  <si>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</si>
  <si>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</si>
  <si>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</si>
  <si>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</si>
  <si>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</si>
  <si>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</si>
  <si>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</si>
  <si>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</si>
  <si>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</si>
  <si>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</si>
  <si>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</si>
  <si>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</si>
  <si>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</si>
  <si>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</si>
  <si>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</si>
  <si>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</si>
  <si>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</si>
  <si>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</si>
  <si>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</si>
  <si>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</si>
  <si>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</si>
  <si>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</si>
  <si>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</si>
  <si>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approved non-flat file</t>
  </si>
  <si>
    <t>CBMS</t>
  </si>
  <si>
    <t>Copy</t>
  </si>
  <si>
    <t>Reverse</t>
  </si>
  <si>
    <t>Copy and Reverse</t>
  </si>
  <si>
    <t>Delete</t>
  </si>
  <si>
    <t>Enter File Name :</t>
  </si>
  <si>
    <t>Upload Validation :</t>
  </si>
  <si>
    <t>Note :</t>
  </si>
  <si>
    <t>The upload process will put you in a queue and may take a few moments to complete.</t>
  </si>
  <si>
    <t>Note : When upload fails, error log files will also be saved in the same directory.</t>
  </si>
  <si>
    <t>Note : Add the file extension (*.csv)</t>
  </si>
  <si>
    <t xml:space="preserve">Please ensure the upload file has enforced the following formats : </t>
  </si>
  <si>
    <t>- Store attachments in the location as indicated below</t>
  </si>
  <si>
    <t>General Comments :</t>
  </si>
  <si>
    <t>sys_shared directory</t>
  </si>
  <si>
    <t>sys_Web URL</t>
  </si>
  <si>
    <t>sys_Web URL Linked Folder</t>
  </si>
  <si>
    <t>Hyperlink Configuration</t>
  </si>
  <si>
    <t>Full File Path</t>
  </si>
  <si>
    <t>current budget round</t>
  </si>
  <si>
    <t>Hyperlink File Path</t>
  </si>
  <si>
    <t>http://localhost:9510/</t>
  </si>
  <si>
    <t>Attachment Hyperlink Configuration</t>
  </si>
  <si>
    <t>sys_ImpFileValidation</t>
  </si>
  <si>
    <t>Success</t>
  </si>
  <si>
    <t>Failure</t>
  </si>
  <si>
    <t>Confirmation</t>
  </si>
  <si>
    <t xml:space="preserve">Are you sure you want to upload a flatfile? </t>
  </si>
  <si>
    <t>Action Button Messages and Parameters</t>
  </si>
  <si>
    <t>psFFType</t>
  </si>
  <si>
    <t>Standard CBMS</t>
  </si>
  <si>
    <t>Exception Log File Path :</t>
  </si>
  <si>
    <t>Note : Check this file path first when an error happens during upload. This identifies issues within the flatfile upload.</t>
  </si>
  <si>
    <t>sys_ImpFileExceptionLogs</t>
  </si>
  <si>
    <t>ME - Homepage</t>
  </si>
  <si>
    <t>ME - OS Data Entry</t>
  </si>
  <si>
    <t>ME - Upload</t>
  </si>
  <si>
    <t>ME - Upload Template</t>
  </si>
  <si>
    <t>ME - Validate</t>
  </si>
  <si>
    <t>ME_headline year</t>
  </si>
  <si>
    <t>ME year</t>
  </si>
  <si>
    <t>Upload Action Button Parameters</t>
  </si>
  <si>
    <t>psHLYear</t>
  </si>
  <si>
    <t>psScenario</t>
  </si>
  <si>
    <t>psFile</t>
  </si>
  <si>
    <t>psClear</t>
  </si>
  <si>
    <t>psMapping</t>
  </si>
  <si>
    <t>me scenario</t>
  </si>
  <si>
    <t>me year</t>
  </si>
  <si>
    <t>Validation FAILED. Please review exception logs, or ensure the files do not have any commas or dashes as zeroes, or the file does not exist.</t>
  </si>
  <si>
    <t xml:space="preserve">Are you sure you want to extract the monthly profiles as a GEUS ME flatfile? </t>
  </si>
  <si>
    <t>There are three steps for uploading a flatfile:</t>
  </si>
  <si>
    <t>Year :</t>
  </si>
  <si>
    <t>Scenario :</t>
  </si>
  <si>
    <t>Program :</t>
  </si>
  <si>
    <t>Data Extract Directory :</t>
  </si>
  <si>
    <t>STEP 1 - EXTRACT : Click EXTRACT button to extract CURRENT Data as flatfile (*.csv).</t>
  </si>
  <si>
    <t>STEP 2 - UPDATE : Make amendment to Extracted Flatfile</t>
  </si>
  <si>
    <t xml:space="preserve">STEP 3 - UPLOAD : Move file to Upload Directory, Enter File Name and Click UPLOAD. </t>
  </si>
  <si>
    <t>Upload process will fully clear existing data and update with uploaded data. To prevent data loss, perform EXTRACT first.</t>
  </si>
  <si>
    <t>psID</t>
  </si>
  <si>
    <t>0000B</t>
  </si>
  <si>
    <t>sys_upload directory</t>
  </si>
  <si>
    <t>Upload Program Dimension Structure Flatfile</t>
  </si>
  <si>
    <t>Upload Directory :</t>
  </si>
  <si>
    <t>psDim</t>
  </si>
  <si>
    <t>programme</t>
  </si>
  <si>
    <t>Program Dimension Upload.csv</t>
  </si>
  <si>
    <t>geus programme</t>
  </si>
  <si>
    <t>Admin - Create Programme</t>
  </si>
  <si>
    <t>Homepage - Administration</t>
  </si>
  <si>
    <t>Admin RDS - Programme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</si>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</sst>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2C4E7B"/>
      <name val="Calibri"/>
      <family val="2"/>
    </font>
    <font>
      <b/>
      <sz val="11"/>
      <name val="Calibri"/>
      <family val="2"/>
      <scheme val="minor"/>
    </font>
    <font>
      <b/>
      <sz val="12"/>
      <color rgb="FF2C4E7B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4" xfId="0" applyFont="1" applyBorder="1" applyAlignment="1">
      <alignment horizontal="center"/>
    </xf>
    <xf numFmtId="0" fontId="2" fillId="3" borderId="0" xfId="0" applyFont="1" applyFill="1" applyAlignment="1">
      <alignment horizontal="right" vertical="center"/>
    </xf>
    <xf numFmtId="0" fontId="3" fillId="0" borderId="0" xfId="0" applyFont="1" applyAlignment="1" applyProtection="1">
      <alignment vertical="top" wrapText="1"/>
      <protection locked="0"/>
    </xf>
    <xf numFmtId="0" fontId="5" fillId="0" borderId="0" xfId="0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right" indent="1"/>
    </xf>
    <xf numFmtId="0" fontId="7" fillId="0" borderId="0" xfId="0" applyFont="1"/>
    <xf numFmtId="0" fontId="8" fillId="4" borderId="6" xfId="0" applyFont="1" applyFill="1" applyBorder="1"/>
    <xf numFmtId="0" fontId="8" fillId="4" borderId="5" xfId="0" applyFont="1" applyFill="1" applyBorder="1" applyAlignment="1">
      <alignment horizontal="left"/>
    </xf>
    <xf numFmtId="0" fontId="8" fillId="4" borderId="7" xfId="0" quotePrefix="1" applyFont="1" applyFill="1" applyBorder="1" applyAlignment="1">
      <alignment horizontal="left"/>
    </xf>
    <xf numFmtId="0" fontId="9" fillId="0" borderId="4" xfId="2" applyBorder="1"/>
    <xf numFmtId="0" fontId="3" fillId="4" borderId="4" xfId="0" applyFont="1" applyFill="1" applyBorder="1" applyAlignment="1">
      <alignment horizontal="left" indent="1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4" borderId="4" xfId="0" applyFont="1" applyFill="1" applyBorder="1" applyAlignment="1">
      <alignment horizontal="left" indent="1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4" borderId="4" xfId="0" applyFill="1" applyBorder="1" applyAlignment="1">
      <alignment horizontal="left" vertical="top" indent="1"/>
    </xf>
    <xf numFmtId="0" fontId="6" fillId="0" borderId="0" xfId="0" applyFont="1" applyAlignment="1">
      <alignment horizontal="right" vertical="top" indent="1"/>
    </xf>
    <xf numFmtId="0" fontId="13" fillId="0" borderId="0" xfId="0" applyFont="1"/>
    <xf numFmtId="0" fontId="14" fillId="6" borderId="8" xfId="0" applyFont="1" applyFill="1" applyBorder="1" applyAlignment="1" applyProtection="1">
      <alignment horizontal="left" indent="1"/>
      <protection locked="0"/>
    </xf>
    <xf numFmtId="0" fontId="15" fillId="0" borderId="0" xfId="0" applyFont="1"/>
    <xf numFmtId="0" fontId="12" fillId="0" borderId="0" xfId="0" applyFont="1"/>
    <xf numFmtId="0" fontId="16" fillId="0" borderId="4" xfId="0" applyFont="1" applyBorder="1" applyAlignment="1" applyProtection="1">
      <alignment horizontal="left" indent="1"/>
      <protection locked="0"/>
    </xf>
    <xf numFmtId="0" fontId="3" fillId="4" borderId="6" xfId="0" applyFont="1" applyFill="1" applyBorder="1" applyAlignment="1">
      <alignment horizontal="left" vertical="top" indent="1"/>
    </xf>
    <xf numFmtId="0" fontId="3" fillId="4" borderId="7" xfId="0" applyFont="1" applyFill="1" applyBorder="1" applyAlignment="1">
      <alignment horizontal="left" vertical="top" inden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3" xfId="1" xr:uid="{00000000-0005-0000-0000-000002000000}"/>
  </cellStyles>
  <dxfs count="9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3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55"/>
  <ax:ocxPr ax:name="_ExtentY" ax:value="397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DS - Program"/>
  <ax:ocxPr ax:name="UseFormula" ax:value="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RDSProgWB"/>
  <ax:ocxPr ax:name="TargetWorksheetName" ax:value="=TM1AdminRDSProg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minRDSProgCAP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376"/>
  <ax:ocxPr ax:name="_ExtentY" ax:value="318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reate Programme"/>
  <ax:ocxPr ax:name="UseFormula" ax:value="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createProgWB"/>
  <ax:ocxPr ax:name="TargetWorksheetName" ax:value="=tm1admincreateProgWS"/>
  <ax:ocxPr ax:name="AutoTitles" ax:value="0"/>
  <ax:ocxPr ax:name="ReplaceWindow" ax:value="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mincreateProg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67"/>
  <ax:ocxPr ax:name="_ExtentY" ax:value="318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dminWB"/>
  <ax:ocxPr ax:name="TargetWorksheetName" ax:value="=TM1HomeAdminWS"/>
  <ax:ocxPr ax:name="AutoTitles" ax:value="0"/>
  <ax:ocxPr ax:name="ReplaceWindow" ax:value="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65</xdr:row>
      <xdr:rowOff>28576</xdr:rowOff>
    </xdr:from>
    <xdr:to>
      <xdr:col>10</xdr:col>
      <xdr:colOff>1181100</xdr:colOff>
      <xdr:row>66</xdr:row>
      <xdr:rowOff>9526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6"/>
          <a:ext cx="18097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3048000</xdr:colOff>
          <xdr:row>67</xdr:row>
          <xdr:rowOff>0</xdr:rowOff>
        </xdr:from>
        <xdr:to>
          <xdr:col>12</xdr:col>
          <xdr:colOff>3829050</xdr:colOff>
          <xdr:row>67</xdr:row>
          <xdr:rowOff>247650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67</xdr:row>
          <xdr:rowOff>0</xdr:rowOff>
        </xdr:from>
        <xdr:to>
          <xdr:col>10</xdr:col>
          <xdr:colOff>66675</xdr:colOff>
          <xdr:row>67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104775</xdr:colOff>
          <xdr:row>67</xdr:row>
          <xdr:rowOff>0</xdr:rowOff>
        </xdr:from>
        <xdr:to>
          <xdr:col>10</xdr:col>
          <xdr:colOff>1228725</xdr:colOff>
          <xdr:row>67</xdr:row>
          <xdr:rowOff>247650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2085975</xdr:colOff>
          <xdr:row>67</xdr:row>
          <xdr:rowOff>0</xdr:rowOff>
        </xdr:from>
        <xdr:to>
          <xdr:col>12</xdr:col>
          <xdr:colOff>2981325</xdr:colOff>
          <xdr:row>67</xdr:row>
          <xdr:rowOff>247650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1257300</xdr:colOff>
          <xdr:row>67</xdr:row>
          <xdr:rowOff>0</xdr:rowOff>
        </xdr:from>
        <xdr:to>
          <xdr:col>12</xdr:col>
          <xdr:colOff>1143000</xdr:colOff>
          <xdr:row>67</xdr:row>
          <xdr:rowOff>247650</xdr:rowOff>
        </xdr:to>
        <xdr:sp macro="" textlink="">
          <xdr:nvSpPr>
            <xdr:cNvPr id="1043" name="TIButton7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1171575</xdr:colOff>
          <xdr:row>67</xdr:row>
          <xdr:rowOff>0</xdr:rowOff>
        </xdr:from>
        <xdr:to>
          <xdr:col>12</xdr:col>
          <xdr:colOff>2066925</xdr:colOff>
          <xdr:row>67</xdr:row>
          <xdr:rowOff>247650</xdr:rowOff>
        </xdr:to>
        <xdr:sp macro="" textlink="">
          <xdr:nvSpPr>
            <xdr:cNvPr id="1044" name="TIButton4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1" Type="http://schemas.openxmlformats.org/officeDocument/2006/relationships/hyperlink" Target="http://localhost:9510/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03"/>
  <sheetViews>
    <sheetView showGridLines="0" tabSelected="1" topLeftCell="I66" workbookViewId="0">
      <selection sqref="A1:C1"/>
    </sheetView>
  </sheetViews>
  <sheetFormatPr defaultRowHeight="15" outlineLevelRow="1" outlineLevelCol="1" x14ac:dyDescent="0.25"/>
  <cols>
    <col min="1" max="1" width="25.140625" hidden="1" customWidth="1" outlineLevel="1"/>
    <col min="2" max="2" width="39.28515625" hidden="1" customWidth="1" outlineLevel="1"/>
    <col min="3" max="3" width="16.42578125" hidden="1" customWidth="1" outlineLevel="1"/>
    <col min="4" max="4" width="24.28515625" hidden="1" customWidth="1" outlineLevel="1"/>
    <col min="5" max="5" width="33.85546875" hidden="1" customWidth="1" outlineLevel="1"/>
    <col min="6" max="6" width="24.140625" hidden="1" customWidth="1" outlineLevel="1"/>
    <col min="7" max="7" width="10.85546875" hidden="1" customWidth="1" outlineLevel="1"/>
    <col min="8" max="8" width="9.140625" hidden="1" customWidth="1" outlineLevel="1"/>
    <col min="9" max="9" width="0.85546875" customWidth="1" collapsed="1"/>
    <col min="11" max="11" width="22.7109375" customWidth="1"/>
    <col min="12" max="12" width="0.85546875" customWidth="1"/>
    <col min="13" max="13" width="80.7109375" customWidth="1"/>
    <col min="14" max="14" width="4" customWidth="1"/>
    <col min="15" max="15" width="72.5703125" customWidth="1"/>
  </cols>
  <sheetData>
    <row r="1" spans="1:7" hidden="1" outlineLevel="1" x14ac:dyDescent="0.25">
      <c r="A1" s="35" t="s">
        <v>0</v>
      </c>
      <c r="B1" s="36"/>
      <c r="C1" s="37"/>
    </row>
    <row r="2" spans="1:7" hidden="1" outlineLevel="1" x14ac:dyDescent="0.25">
      <c r="A2" s="1" t="s">
        <v>1</v>
      </c>
      <c r="B2" s="2" t="s">
        <v>99</v>
      </c>
      <c r="C2" s="3"/>
    </row>
    <row r="3" spans="1:7" hidden="1" outlineLevel="1" x14ac:dyDescent="0.25">
      <c r="A3" s="1" t="s">
        <v>2</v>
      </c>
      <c r="B3" s="4" t="str" cm="1">
        <f t="array" aca="1" ref="B3" ca="1">_xll.VIEW(db_name&amp;":}ElementAttributes_}Clients","!","!")</f>
        <v>generic_geus:}ElementAttributes_}Clients</v>
      </c>
      <c r="C3" s="3"/>
    </row>
    <row r="4" spans="1:7" hidden="1" outlineLevel="1" x14ac:dyDescent="0.25">
      <c r="A4" s="1" t="s">
        <v>3</v>
      </c>
      <c r="B4" s="2" t="str" cm="1">
        <f t="array" aca="1" ref="B4" ca="1">_xll.TM1USER(db_name)</f>
        <v>Admin</v>
      </c>
      <c r="C4" s="3"/>
    </row>
    <row r="5" spans="1:7" hidden="1" outlineLevel="1" x14ac:dyDescent="0.25">
      <c r="A5" s="1" t="s">
        <v>4</v>
      </c>
      <c r="B5" s="2" t="str" cm="1">
        <f t="array" aca="1" ref="B5" ca="1">_xll.DBR($B$3,$B$4,$A5)</f>
        <v>Admin</v>
      </c>
      <c r="C5" s="3"/>
    </row>
    <row r="6" spans="1:7" hidden="1" outlineLevel="1" x14ac:dyDescent="0.25">
      <c r="A6" s="1" t="s">
        <v>5</v>
      </c>
      <c r="B6" s="2" t="str" cm="1">
        <f t="array" aca="1" ref="B6" ca="1">_xll.DBR($B$3,$B$4,$A6)</f>
        <v>Admin</v>
      </c>
      <c r="C6" s="3"/>
    </row>
    <row r="7" spans="1:7" hidden="1" outlineLevel="1" x14ac:dyDescent="0.25">
      <c r="A7" s="1" t="s">
        <v>6</v>
      </c>
      <c r="B7" s="2" t="str">
        <f ca="1">IF(LEFT($B$5,6)="CAM_AD",$B$6,$B$5)</f>
        <v>Admin</v>
      </c>
      <c r="C7" s="5"/>
    </row>
    <row r="8" spans="1:7" hidden="1" outlineLevel="1" x14ac:dyDescent="0.25"/>
    <row r="9" spans="1:7" hidden="1" outlineLevel="1" x14ac:dyDescent="0.25">
      <c r="A9" s="35" t="s">
        <v>7</v>
      </c>
      <c r="B9" s="36"/>
      <c r="C9" s="37"/>
      <c r="E9" s="35" t="s">
        <v>7</v>
      </c>
      <c r="F9" s="36"/>
      <c r="G9" s="37"/>
    </row>
    <row r="10" spans="1:7" hidden="1" outlineLevel="1" x14ac:dyDescent="0.25">
      <c r="A10" s="1" t="s">
        <v>8</v>
      </c>
      <c r="B10" s="5" t="str" cm="1">
        <f t="array" aca="1" ref="B10" ca="1">_xll.VIEW(db_name&amp;":}ElementAttributes_variables","!","!")</f>
        <v>generic_geus:}ElementAttributes_variables</v>
      </c>
      <c r="C10" s="5"/>
      <c r="E10" s="1" t="s">
        <v>8</v>
      </c>
      <c r="F10" s="5" t="str" cm="1">
        <f t="array" aca="1" ref="F10" ca="1">_xll.VIEW(db_name&amp;":sys_ME Variable","!","!")</f>
        <v>generic_geus:sys_ME Variable</v>
      </c>
    </row>
    <row r="11" spans="1:7" hidden="1" outlineLevel="1" x14ac:dyDescent="0.25">
      <c r="A11" s="1" t="s">
        <v>75</v>
      </c>
      <c r="B11" s="5" t="str" cm="1">
        <f t="array" aca="1" ref="B11" ca="1">_xll.DBR($B$10,$A11,"value")</f>
        <v>2028-2029</v>
      </c>
      <c r="C11" s="5"/>
      <c r="E11" s="5" t="s">
        <v>66</v>
      </c>
      <c r="F11" s="5" t="str" cm="1">
        <f t="array" aca="1" ref="F11" ca="1">_xll.DBR($F$10,$E11,"value")</f>
        <v>HL2022-2023</v>
      </c>
    </row>
    <row r="12" spans="1:7" hidden="1" outlineLevel="1" x14ac:dyDescent="0.25">
      <c r="A12" s="1" t="s">
        <v>74</v>
      </c>
      <c r="B12" s="5" t="str" cm="1">
        <f t="array" aca="1" ref="B12" ca="1">_xll.DBR($B$10,$A12,"value")</f>
        <v>Current</v>
      </c>
      <c r="C12" s="5"/>
      <c r="E12" s="5" t="s">
        <v>67</v>
      </c>
      <c r="F12" s="5" t="str" cm="1">
        <f t="array" aca="1" ref="F12" ca="1">_xll.DBR($F$10,$E12,"value")</f>
        <v>2022-2023</v>
      </c>
    </row>
    <row r="13" spans="1:7" hidden="1" outlineLevel="1" x14ac:dyDescent="0.25">
      <c r="A13" s="1" t="s">
        <v>46</v>
      </c>
      <c r="B13" s="5" t="str" cm="1">
        <f t="array" aca="1" ref="B13" ca="1">_xll.DBR($B$10,$A13,"value")</f>
        <v>Budget(2)</v>
      </c>
      <c r="C13" s="5"/>
    </row>
    <row r="14" spans="1:7" hidden="1" outlineLevel="1" x14ac:dyDescent="0.25">
      <c r="A14" s="1" t="s">
        <v>89</v>
      </c>
      <c r="B14" s="5" t="str" cm="1">
        <f t="array" aca="1" ref="B14" ca="1">_xll.DBR($B$10,$A14,"value")</f>
        <v>C:\tm1_Common\generic_geus\</v>
      </c>
      <c r="C14" s="5"/>
    </row>
    <row r="15" spans="1:7" hidden="1" outlineLevel="1" x14ac:dyDescent="0.25">
      <c r="A15" s="1" t="s">
        <v>89</v>
      </c>
      <c r="B15" s="5" t="str" cm="1">
        <f t="array" aca="1" ref="B15" ca="1">_xll.DBR($B$10,$A15,"value")</f>
        <v>C:\tm1_Common\generic_geus\</v>
      </c>
      <c r="C15" s="5"/>
    </row>
    <row r="16" spans="1:7" hidden="1" outlineLevel="1" x14ac:dyDescent="0.25">
      <c r="A16" s="1" t="s">
        <v>60</v>
      </c>
      <c r="B16" s="5" t="str" cm="1">
        <f t="array" aca="1" ref="B16" ca="1">_xll.DBR($B$10,$A16,"value")</f>
        <v>C:\tm1_Common\generic_geus\</v>
      </c>
      <c r="C16" s="5"/>
    </row>
    <row r="17" spans="1:7" hidden="1" outlineLevel="1" x14ac:dyDescent="0.25">
      <c r="A17" s="1"/>
      <c r="B17" s="5"/>
      <c r="C17" s="5"/>
    </row>
    <row r="18" spans="1:7" hidden="1" outlineLevel="1" x14ac:dyDescent="0.25">
      <c r="A18" s="35" t="s">
        <v>44</v>
      </c>
      <c r="B18" s="36"/>
      <c r="C18" s="37"/>
    </row>
    <row r="19" spans="1:7" hidden="1" outlineLevel="1" x14ac:dyDescent="0.25">
      <c r="A19" s="1" t="s">
        <v>41</v>
      </c>
      <c r="B19" s="5" t="str" cm="1">
        <f t="array" aca="1" ref="B19" ca="1">_xll.DBR($B$10,$A19,"value")</f>
        <v>C:\tm1_Common\generic_geus\</v>
      </c>
      <c r="C19" s="5"/>
    </row>
    <row r="20" spans="1:7" hidden="1" outlineLevel="1" x14ac:dyDescent="0.25">
      <c r="A20" s="1" t="s">
        <v>42</v>
      </c>
      <c r="B20" s="19" t="s">
        <v>48</v>
      </c>
      <c r="C20" s="5"/>
    </row>
    <row r="21" spans="1:7" hidden="1" outlineLevel="1" x14ac:dyDescent="0.25">
      <c r="A21" s="1" t="s">
        <v>43</v>
      </c>
      <c r="B21" s="5" t="str" cm="1">
        <f t="array" aca="1" ref="B21" ca="1">_xll.DBR($B$10,$A21,"value")</f>
        <v>Attachments</v>
      </c>
      <c r="C21" s="5"/>
    </row>
    <row r="22" spans="1:7" hidden="1" outlineLevel="1" x14ac:dyDescent="0.25">
      <c r="A22" s="1" t="s">
        <v>47</v>
      </c>
      <c r="B22" s="5" t="str">
        <f ca="1">$B$20&amp;"/"&amp;$B$21&amp;"/"</f>
        <v>http://localhost:9510//Attachments/</v>
      </c>
      <c r="C22" s="5"/>
    </row>
    <row r="23" spans="1:7" hidden="1" outlineLevel="1" x14ac:dyDescent="0.25"/>
    <row r="24" spans="1:7" hidden="1" outlineLevel="1" x14ac:dyDescent="0.25">
      <c r="A24" s="39" t="s">
        <v>49</v>
      </c>
      <c r="B24" s="39"/>
      <c r="C24" s="39"/>
    </row>
    <row r="25" spans="1:7" hidden="1" outlineLevel="1" x14ac:dyDescent="0.25">
      <c r="A25" s="1" t="s">
        <v>45</v>
      </c>
      <c r="B25" s="5" t="str">
        <f ca="1">$B$19&amp;"\"&amp;$B$21&amp;"\"&amp;$B$11&amp;"\"&amp;$B$13&amp;"\"</f>
        <v>C:\tm1_Common\generic_geus\\Attachments\2028-2029\Budget(2)\</v>
      </c>
      <c r="C25" s="5"/>
    </row>
    <row r="26" spans="1:7" hidden="1" outlineLevel="1" x14ac:dyDescent="0.25"/>
    <row r="27" spans="1:7" hidden="1" outlineLevel="1" x14ac:dyDescent="0.25">
      <c r="A27" s="35" t="s">
        <v>9</v>
      </c>
      <c r="B27" s="36"/>
      <c r="C27" s="37"/>
    </row>
    <row r="28" spans="1:7" hidden="1" outlineLevel="1" x14ac:dyDescent="0.25">
      <c r="A28" s="5" t="s">
        <v>10</v>
      </c>
      <c r="B28" s="5" t="str" cm="1">
        <f t="array" aca="1" ref="B28" ca="1">_xll.VIEW(db_name&amp;":sys_application","!","!")</f>
        <v>generic_geus:sys_application</v>
      </c>
    </row>
    <row r="29" spans="1:7" hidden="1" outlineLevel="1" x14ac:dyDescent="0.25">
      <c r="A29" s="5" t="s">
        <v>11</v>
      </c>
      <c r="B29" s="5" t="s">
        <v>63</v>
      </c>
    </row>
    <row r="30" spans="1:7" hidden="1" outlineLevel="1" x14ac:dyDescent="0.25">
      <c r="A30" s="6" t="s">
        <v>12</v>
      </c>
      <c r="B30" s="7" t="s">
        <v>13</v>
      </c>
      <c r="C30" s="7" t="s">
        <v>14</v>
      </c>
      <c r="D30" s="7" t="s">
        <v>15</v>
      </c>
      <c r="E30" s="7" t="s">
        <v>16</v>
      </c>
      <c r="F30" s="7" t="s">
        <v>17</v>
      </c>
      <c r="G30" s="7" t="s">
        <v>18</v>
      </c>
    </row>
    <row r="31" spans="1:7" hidden="1" outlineLevel="1" x14ac:dyDescent="0.25">
      <c r="A31" s="5" t="s">
        <v>61</v>
      </c>
      <c r="B31" s="5" t="str" cm="1">
        <f t="array" aca="1" ref="B31" ca="1">_xll.DBR($B$28,$A31,B$30)</f>
        <v>TM1MEHomeCAP</v>
      </c>
      <c r="C31" s="5" t="str" cm="1">
        <f t="array" aca="1" ref="C31" ca="1">_xll.DBR($B$28,$A31,C$30)</f>
        <v>Home</v>
      </c>
      <c r="D31" s="5" t="str" cm="1">
        <f t="array" aca="1" ref="D31" ca="1">_xll.DBR($B$28,$A31,D$30)</f>
        <v>TM1MEHomeWB</v>
      </c>
      <c r="E31" s="5" t="str" cm="1">
        <f t="array" aca="1" ref="E31" ca="1">_xll.DBR($B$28,$A31,E$30)</f>
        <v>PRIMUS\GEUS WEB\Monthly Estimates\Monthly Estimates - Homepage</v>
      </c>
      <c r="F31" s="5" t="str" cm="1">
        <f t="array" aca="1" ref="F31" ca="1">_xll.DBR($B$28,$A31,F$30)</f>
        <v>TM1MEHomeWS</v>
      </c>
      <c r="G31" s="5" t="str" cm="1">
        <f t="array" aca="1" ref="G31" ca="1">_xll.DBR($B$28,$A31,G$30)</f>
        <v>Homepage</v>
      </c>
    </row>
    <row r="32" spans="1:7" hidden="1" outlineLevel="1" x14ac:dyDescent="0.25">
      <c r="A32" s="5" t="s">
        <v>62</v>
      </c>
      <c r="B32" s="5" t="str" cm="1">
        <f t="array" aca="1" ref="B32" ca="1">_xll.DBR($B$28,$A32,B$30)</f>
        <v>TM1MEOSDataEntryCAP</v>
      </c>
      <c r="C32" s="5" t="str" cm="1">
        <f t="array" aca="1" ref="C32" ca="1">_xll.DBR($B$28,$A32,C$30)</f>
        <v>Operating Statement</v>
      </c>
      <c r="D32" s="5" t="str" cm="1">
        <f t="array" aca="1" ref="D32" ca="1">_xll.DBR($B$28,$A32,D$30)</f>
        <v>TM1MEOSDataEntryWB</v>
      </c>
      <c r="E32" s="5" t="str" cm="1">
        <f t="array" aca="1" ref="E32" ca="1">_xll.DBR($B$28,$A32,E$30)</f>
        <v>PRIMUS\GEUS WEB\Monthly Estimates\Monthly Estimates - Operating Statement Data Entry</v>
      </c>
      <c r="F32" s="5" t="str" cm="1">
        <f t="array" aca="1" ref="F32" ca="1">_xll.DBR($B$28,$A32,F$30)</f>
        <v>TM1MEOSDataEntryWS</v>
      </c>
      <c r="G32" s="5" t="str" cm="1">
        <f t="array" aca="1" ref="G32" ca="1">_xll.DBR($B$28,$A32,G$30)</f>
        <v>operating</v>
      </c>
    </row>
    <row r="33" spans="1:7" hidden="1" outlineLevel="1" x14ac:dyDescent="0.25">
      <c r="A33" s="5" t="s">
        <v>63</v>
      </c>
      <c r="B33" s="5" t="str" cm="1">
        <f t="array" aca="1" ref="B33" ca="1">_xll.DBR($B$28,$A33,B$30)</f>
        <v>TM1MEUploadCAP</v>
      </c>
      <c r="C33" s="5" t="str" cm="1">
        <f t="array" aca="1" ref="C33" ca="1">_xll.DBR($B$28,$A33,C$30)</f>
        <v>Upload ME Profiles</v>
      </c>
      <c r="D33" s="5" t="str" cm="1">
        <f t="array" aca="1" ref="D33" ca="1">_xll.DBR($B$28,$A33,D$30)</f>
        <v>TM1MEUploadWB</v>
      </c>
      <c r="E33" s="5" t="str" cm="1">
        <f t="array" aca="1" ref="E33" ca="1">_xll.DBR($B$28,$A33,E$30)</f>
        <v>PRIMUS\GEUS WEB\Monthly Estimates\Monthly Estimates - Upload</v>
      </c>
      <c r="F33" s="5" t="str" cm="1">
        <f t="array" aca="1" ref="F33" ca="1">_xll.DBR($B$28,$A33,F$30)</f>
        <v>TM1MEUploadWS</v>
      </c>
      <c r="G33" s="5" t="str" cm="1">
        <f t="array" aca="1" ref="G33" ca="1">_xll.DBR($B$28,$A33,G$30)</f>
        <v>upload</v>
      </c>
    </row>
    <row r="34" spans="1:7" hidden="1" outlineLevel="1" x14ac:dyDescent="0.25">
      <c r="A34" s="5" t="s">
        <v>64</v>
      </c>
      <c r="B34" s="5" t="str" cm="1">
        <f t="array" aca="1" ref="B34" ca="1">_xll.DBR($B$28,$A34,B$30)</f>
        <v>TM1MEUploadTempCAP</v>
      </c>
      <c r="C34" s="5" t="str" cm="1">
        <f t="array" aca="1" ref="C34" ca="1">_xll.DBR($B$28,$A34,C$30)</f>
        <v>ME Upload Template</v>
      </c>
      <c r="D34" s="5" t="str" cm="1">
        <f t="array" aca="1" ref="D34" ca="1">_xll.DBR($B$28,$A34,D$30)</f>
        <v>TM1MEUploadTempWB</v>
      </c>
      <c r="E34" s="5" t="str" cm="1">
        <f t="array" aca="1" ref="E34" ca="1">_xll.DBR($B$28,$A34,E$30)</f>
        <v>PRIMUS\GEUS WEB\Monthly Estimates\Monthly Estimates - Upload Template</v>
      </c>
      <c r="F34" s="5" t="str" cm="1">
        <f t="array" aca="1" ref="F34" ca="1">_xll.DBR($B$28,$A34,F$30)</f>
        <v>TM1MEUploadTempWS</v>
      </c>
      <c r="G34" s="5" t="str" cm="1">
        <f t="array" aca="1" ref="G34" ca="1">_xll.DBR($B$28,$A34,G$30)</f>
        <v>upload template</v>
      </c>
    </row>
    <row r="35" spans="1:7" hidden="1" outlineLevel="1" x14ac:dyDescent="0.25">
      <c r="A35" s="5" t="s">
        <v>65</v>
      </c>
      <c r="B35" s="5" t="str" cm="1">
        <f t="array" aca="1" ref="B35" ca="1">_xll.DBR($B$28,$A35,B$30)</f>
        <v>TM1MEValidateCAP</v>
      </c>
      <c r="C35" s="5" t="str" cm="1">
        <f t="array" aca="1" ref="C35" ca="1">_xll.DBR($B$28,$A35,C$30)</f>
        <v>Validate ME Profiles</v>
      </c>
      <c r="D35" s="5" t="str" cm="1">
        <f t="array" aca="1" ref="D35" ca="1">_xll.DBR($B$28,$A35,D$30)</f>
        <v>TM1MEValidateWB</v>
      </c>
      <c r="E35" s="5" t="str" cm="1">
        <f t="array" aca="1" ref="E35" ca="1">_xll.DBR($B$28,$A35,E$30)</f>
        <v>PRIMUS\GEUS WEB\Monthly Estimates\Monthly Estimates - Validate</v>
      </c>
      <c r="F35" s="5" t="str" cm="1">
        <f t="array" aca="1" ref="F35" ca="1">_xll.DBR($B$28,$A35,F$30)</f>
        <v>TM1MEValidateWS</v>
      </c>
      <c r="G35" s="5" t="str" cm="1">
        <f t="array" aca="1" ref="G35" ca="1">_xll.DBR($B$28,$A35,G$30)</f>
        <v>validate</v>
      </c>
    </row>
    <row r="36" spans="1:7" hidden="1" outlineLevel="1" x14ac:dyDescent="0.25">
      <c r="A36" s="5" t="s">
        <v>96</v>
      </c>
      <c r="B36" s="5" t="str" cm="1">
        <f t="array" aca="1" ref="B36" ca="1">_xll.DBR($B$28,$A36,B$30)</f>
        <v>TM1AdminCreateProgCAP</v>
      </c>
      <c r="C36" s="5" t="str" cm="1">
        <f t="array" aca="1" ref="C36" ca="1">_xll.DBR($B$28,$A36,C$30)</f>
        <v>Create Programme</v>
      </c>
      <c r="D36" s="5" t="str" cm="1">
        <f t="array" aca="1" ref="D36" ca="1">_xll.DBR($B$28,$A36,D$30)</f>
        <v>TM1AdminCreateProgWB</v>
      </c>
      <c r="E36" s="5" t="str" cm="1">
        <f t="array" aca="1" ref="E36" ca="1">_xll.DBR($B$28,$A36,E$30)</f>
        <v>PRIMUS\GEUS WEB\Administration\GEUS Administration\sys_Admin - Create New Programme.xlsx</v>
      </c>
      <c r="F36" s="5" t="str" cm="1">
        <f t="array" aca="1" ref="F36" ca="1">_xll.DBR($B$28,$A36,F$30)</f>
        <v>TM1AdminCreateProgWS</v>
      </c>
      <c r="G36" s="5" t="str" cm="1">
        <f t="array" aca="1" ref="G36" ca="1">_xll.DBR($B$28,$A36,G$30)</f>
        <v>program details</v>
      </c>
    </row>
    <row r="37" spans="1:7" hidden="1" outlineLevel="1" x14ac:dyDescent="0.25">
      <c r="A37" s="5" t="s">
        <v>97</v>
      </c>
      <c r="B37" s="5" t="str" cm="1">
        <f t="array" aca="1" ref="B37" ca="1">_xll.DBR($B$28,$A37,B$30)</f>
        <v>TM1HomeAdminCAP</v>
      </c>
      <c r="C37" s="5" t="str" cm="1">
        <f t="array" aca="1" ref="C37" ca="1">_xll.DBR($B$28,$A37,C$30)</f>
        <v>Administration</v>
      </c>
      <c r="D37" s="5" t="str" cm="1">
        <f t="array" aca="1" ref="D37" ca="1">_xll.DBR($B$28,$A37,D$30)</f>
        <v>TM1HomeAdminWB</v>
      </c>
      <c r="E37" s="5" t="str" cm="1">
        <f t="array" aca="1" ref="E37" ca="1">_xll.DBR($B$28,$A37,E$30)</f>
        <v>PRIMUS\GEUS WEB\Homepage\sys_Home - Administration - GEUS Setup</v>
      </c>
      <c r="F37" s="5" t="str" cm="1">
        <f t="array" aca="1" ref="F37" ca="1">_xll.DBR($B$28,$A37,F$30)</f>
        <v>TM1HomeAdminWS</v>
      </c>
      <c r="G37" s="5" t="str" cm="1">
        <f t="array" aca="1" ref="G37" ca="1">_xll.DBR($B$28,$A37,G$30)</f>
        <v>Menu</v>
      </c>
    </row>
    <row r="38" spans="1:7" hidden="1" outlineLevel="1" x14ac:dyDescent="0.25">
      <c r="A38" s="5" t="s">
        <v>98</v>
      </c>
      <c r="B38" s="5" t="str" cm="1">
        <f t="array" aca="1" ref="B38" ca="1">_xll.DBR($B$28,$A38,B$30)</f>
        <v>TM1AdminRDSProgCAP</v>
      </c>
      <c r="C38" s="5" t="str" cm="1">
        <f t="array" aca="1" ref="C38" ca="1">_xll.DBR($B$28,$A38,C$30)</f>
        <v>RDS - Program</v>
      </c>
      <c r="D38" s="5" t="str" cm="1">
        <f t="array" aca="1" ref="D38" ca="1">_xll.DBR($B$28,$A38,D$30)</f>
        <v>TM1AdminRDSProgWB</v>
      </c>
      <c r="E38" s="5" t="str" cm="1">
        <f t="array" aca="1" ref="E38" ca="1">_xll.DBR($B$28,$A38,E$30)</f>
        <v>PRIMUS\GEUS WEB\Administration\Reference Data Set\sys_Admin - RDS - Programme</v>
      </c>
      <c r="F38" s="5" t="str" cm="1">
        <f t="array" aca="1" ref="F38" ca="1">_xll.DBR($B$28,$A38,F$30)</f>
        <v>TM1AdminRDSProgWS</v>
      </c>
      <c r="G38" s="5" t="str" cm="1">
        <f t="array" aca="1" ref="G38" ca="1">_xll.DBR($B$28,$A38,G$30)</f>
        <v>RDS</v>
      </c>
    </row>
    <row r="39" spans="1:7" hidden="1" outlineLevel="1" x14ac:dyDescent="0.25"/>
    <row r="40" spans="1:7" hidden="1" outlineLevel="1" x14ac:dyDescent="0.25"/>
    <row r="41" spans="1:7" hidden="1" outlineLevel="1" x14ac:dyDescent="0.25">
      <c r="A41" s="35" t="s">
        <v>19</v>
      </c>
      <c r="B41" s="36"/>
      <c r="C41" s="37"/>
      <c r="E41" s="35" t="s">
        <v>68</v>
      </c>
      <c r="F41" s="36"/>
      <c r="G41" s="37"/>
    </row>
    <row r="42" spans="1:7" hidden="1" outlineLevel="1" x14ac:dyDescent="0.25">
      <c r="A42" s="1" t="s">
        <v>8</v>
      </c>
      <c r="B42" s="5" t="str" cm="1">
        <f t="array" aca="1" ref="B42" ca="1">_xll.VIEW(db_name&amp;":sys_client preference","!","!","!")</f>
        <v>generic_geus:sys_client preference</v>
      </c>
      <c r="C42" s="5"/>
      <c r="E42" s="5" t="s">
        <v>69</v>
      </c>
      <c r="F42" s="5" t="str">
        <f ca="1">$F$11</f>
        <v>HL2022-2023</v>
      </c>
    </row>
    <row r="43" spans="1:7" hidden="1" outlineLevel="1" x14ac:dyDescent="0.25">
      <c r="A43" s="1"/>
      <c r="B43" s="8" t="s">
        <v>20</v>
      </c>
      <c r="C43" s="8" t="s">
        <v>21</v>
      </c>
      <c r="E43" s="5" t="s">
        <v>70</v>
      </c>
      <c r="F43" s="5" t="str">
        <f ca="1">$B$12</f>
        <v>Current</v>
      </c>
    </row>
    <row r="44" spans="1:7" hidden="1" outlineLevel="1" x14ac:dyDescent="0.25">
      <c r="A44" s="1" t="s">
        <v>22</v>
      </c>
      <c r="B44" s="5" t="str" cm="1">
        <f t="array" aca="1" ref="B44" ca="1">_xll.SUBNM(db_name&amp;":sys_client preference measure","","value")</f>
        <v>value</v>
      </c>
      <c r="C44" s="8"/>
      <c r="E44" s="5" t="s">
        <v>71</v>
      </c>
      <c r="F44" s="5" t="str">
        <f ca="1">B15&amp;psFileName</f>
        <v>C:\tm1_Common\generic_geus\Program Dimension Upload.csv</v>
      </c>
    </row>
    <row r="45" spans="1:7" hidden="1" outlineLevel="1" x14ac:dyDescent="0.25">
      <c r="A45" s="1" t="s">
        <v>23</v>
      </c>
      <c r="B45" s="5" t="str" cm="1">
        <f t="array" aca="1" ref="B45" ca="1">_xll.DBR($B$42,psUser,$A45,B$43)</f>
        <v>HL2022-2023</v>
      </c>
      <c r="C45" s="5" t="str" cm="1">
        <f t="array" aca="1" ref="C45" ca="1">_xll.DBR($B$42,psUser,$A45,C$43)</f>
        <v/>
      </c>
      <c r="E45" s="5" t="s">
        <v>72</v>
      </c>
      <c r="F45" s="5"/>
    </row>
    <row r="46" spans="1:7" hidden="1" outlineLevel="1" x14ac:dyDescent="0.25">
      <c r="A46" s="1" t="s">
        <v>24</v>
      </c>
      <c r="B46" s="5" t="str" cm="1">
        <f t="array" aca="1" ref="B46" ca="1">_xll.DBR($B$42,psUser,$A46,B$43)</f>
        <v>current</v>
      </c>
      <c r="C46" s="5" t="str" cm="1">
        <f t="array" aca="1" ref="C46" ca="1">_xll.DBR($B$42,psUser,$A46,C$43)</f>
        <v/>
      </c>
      <c r="E46" s="5" t="s">
        <v>73</v>
      </c>
      <c r="F46" s="5"/>
    </row>
    <row r="47" spans="1:7" hidden="1" outlineLevel="1" x14ac:dyDescent="0.25">
      <c r="A47" s="1" t="s">
        <v>25</v>
      </c>
      <c r="B47" s="5" t="str" cm="1">
        <f t="array" aca="1" ref="B47" ca="1">_xll.DBR($B$42,psUser,$A47,B$43)</f>
        <v>02374</v>
      </c>
      <c r="C47" s="5" t="str" cm="1">
        <f t="array" aca="1" ref="C47" ca="1">_xll.DBR($B$42,psUser,$A47,C$43)</f>
        <v/>
      </c>
      <c r="E47" s="5" t="s">
        <v>87</v>
      </c>
      <c r="F47" s="5" t="s">
        <v>88</v>
      </c>
    </row>
    <row r="48" spans="1:7" hidden="1" outlineLevel="1" x14ac:dyDescent="0.25">
      <c r="A48" s="1" t="s">
        <v>50</v>
      </c>
      <c r="B48" s="5" t="str" cm="1">
        <f t="array" aca="1" ref="B48" ca="1">_xll.DBR($B$42,psUser,$A48,B$43)</f>
        <v/>
      </c>
      <c r="C48" s="5" t="str" cm="1">
        <f t="array" aca="1" ref="C48" ca="1">_xll.DBR($B$42,psUser,$A48,C$43)</f>
        <v/>
      </c>
      <c r="E48" s="5" t="s">
        <v>92</v>
      </c>
      <c r="F48" s="5" t="s">
        <v>93</v>
      </c>
    </row>
    <row r="49" spans="1:7" hidden="1" outlineLevel="1" x14ac:dyDescent="0.25">
      <c r="A49" s="1" t="s">
        <v>95</v>
      </c>
      <c r="B49" s="5" t="str" cm="1">
        <f t="array" aca="1" ref="B49" ca="1">_xll.DBR($B$42,psUser,$A49,B$43)</f>
        <v/>
      </c>
      <c r="C49" s="5" t="str" cm="1">
        <f t="array" aca="1" ref="C49" ca="1">_xll.DBR($B$42,psUser,$A49,C$43)</f>
        <v>Error : The archving member cannot be a Leaf member. Please reselect Source Element.</v>
      </c>
    </row>
    <row r="50" spans="1:7" hidden="1" outlineLevel="1" x14ac:dyDescent="0.25"/>
    <row r="51" spans="1:7" hidden="1" outlineLevel="1" x14ac:dyDescent="0.25">
      <c r="A51" s="38" t="s">
        <v>55</v>
      </c>
      <c r="B51" s="38"/>
      <c r="C51" s="38"/>
      <c r="E51" s="38" t="s">
        <v>55</v>
      </c>
      <c r="F51" s="38"/>
      <c r="G51" s="38"/>
    </row>
    <row r="52" spans="1:7" hidden="1" outlineLevel="1" x14ac:dyDescent="0.25">
      <c r="A52" s="5" t="s">
        <v>51</v>
      </c>
      <c r="B52" s="5" t="str">
        <f>PROPER(psDim)&amp;" dimension structure has been successfully uploaded."</f>
        <v>Programme dimension structure has been successfully uploaded.</v>
      </c>
      <c r="C52" s="5"/>
      <c r="E52" s="5" t="s">
        <v>51</v>
      </c>
      <c r="F52" s="5" t="str">
        <f ca="1">"Flat file successfully extracted to the following data directory : " &amp; $B$14</f>
        <v>Flat file successfully extracted to the following data directory : C:\tm1_Common\generic_geus\</v>
      </c>
      <c r="G52" s="5"/>
    </row>
    <row r="53" spans="1:7" hidden="1" outlineLevel="1" x14ac:dyDescent="0.25">
      <c r="A53" s="5" t="s">
        <v>52</v>
      </c>
      <c r="B53" s="5" t="str">
        <f ca="1">IF($C$49="",$C$53,$C$49)</f>
        <v>Error : The archving member cannot be a Leaf member. Please reselect Source Element.</v>
      </c>
      <c r="C53" s="5" t="s">
        <v>76</v>
      </c>
      <c r="E53" s="5" t="s">
        <v>52</v>
      </c>
      <c r="F53" s="5" t="str">
        <f ca="1">IF($C$49="",$C$53,$C$49)</f>
        <v>Error : The archving member cannot be a Leaf member. Please reselect Source Element.</v>
      </c>
      <c r="G53" s="5"/>
    </row>
    <row r="54" spans="1:7" hidden="1" outlineLevel="1" x14ac:dyDescent="0.25">
      <c r="A54" s="5" t="s">
        <v>53</v>
      </c>
      <c r="B54" s="5" t="s">
        <v>54</v>
      </c>
      <c r="C54" s="5"/>
      <c r="E54" s="5" t="s">
        <v>53</v>
      </c>
      <c r="F54" s="5" t="s">
        <v>77</v>
      </c>
      <c r="G54" s="5"/>
    </row>
    <row r="55" spans="1:7" hidden="1" outlineLevel="1" x14ac:dyDescent="0.25">
      <c r="A55" s="5" t="s">
        <v>56</v>
      </c>
      <c r="B55" s="5" t="s">
        <v>57</v>
      </c>
      <c r="C55" s="5"/>
    </row>
    <row r="56" spans="1:7" hidden="1" outlineLevel="1" x14ac:dyDescent="0.25"/>
    <row r="57" spans="1:7" hidden="1" outlineLevel="1" x14ac:dyDescent="0.25"/>
    <row r="58" spans="1:7" hidden="1" outlineLevel="1" x14ac:dyDescent="0.25"/>
    <row r="59" spans="1:7" hidden="1" outlineLevel="1" x14ac:dyDescent="0.25"/>
    <row r="60" spans="1:7" hidden="1" outlineLevel="1" x14ac:dyDescent="0.25"/>
    <row r="61" spans="1:7" hidden="1" outlineLevel="1" x14ac:dyDescent="0.25"/>
    <row r="62" spans="1:7" hidden="1" outlineLevel="1" x14ac:dyDescent="0.25"/>
    <row r="63" spans="1:7" hidden="1" outlineLevel="1" x14ac:dyDescent="0.25"/>
    <row r="64" spans="1:7" hidden="1" outlineLevel="1" x14ac:dyDescent="0.25"/>
    <row r="65" spans="9:15" hidden="1" outlineLevel="1" x14ac:dyDescent="0.25"/>
    <row r="66" spans="9:15" ht="34.5" customHeight="1" collapsed="1" x14ac:dyDescent="0.25">
      <c r="I66" s="9"/>
      <c r="J66" s="9"/>
      <c r="K66" s="9"/>
      <c r="L66" s="9"/>
      <c r="M66" s="9"/>
      <c r="N66" s="9"/>
      <c r="O66" s="9" t="s">
        <v>90</v>
      </c>
    </row>
    <row r="67" spans="9:15" ht="4.5" customHeight="1" x14ac:dyDescent="0.25"/>
    <row r="68" spans="9:15" ht="24" customHeight="1" x14ac:dyDescent="0.25"/>
    <row r="69" spans="9:15" ht="1.5" customHeight="1" x14ac:dyDescent="0.25">
      <c r="I69" s="9"/>
      <c r="J69" s="9"/>
      <c r="K69" s="9"/>
      <c r="L69" s="9"/>
      <c r="M69" s="9"/>
      <c r="N69" s="9"/>
      <c r="O69" s="9"/>
    </row>
    <row r="70" spans="9:15" ht="5.25" customHeight="1" x14ac:dyDescent="0.25"/>
    <row r="71" spans="9:15" ht="15.75" x14ac:dyDescent="0.25">
      <c r="J71" s="28" t="s">
        <v>78</v>
      </c>
    </row>
    <row r="72" spans="9:15" ht="4.5" customHeight="1" x14ac:dyDescent="0.25">
      <c r="J72" s="28"/>
    </row>
    <row r="73" spans="9:15" x14ac:dyDescent="0.25">
      <c r="K73" s="12" t="s">
        <v>79</v>
      </c>
      <c r="M73" s="20" t="str">
        <f ca="1">$F$11</f>
        <v>HL2022-2023</v>
      </c>
    </row>
    <row r="74" spans="9:15" ht="4.5" customHeight="1" x14ac:dyDescent="0.25"/>
    <row r="75" spans="9:15" x14ac:dyDescent="0.25">
      <c r="K75" s="12" t="s">
        <v>80</v>
      </c>
      <c r="M75" s="20" t="str">
        <f ca="1">$B$12</f>
        <v>Current</v>
      </c>
    </row>
    <row r="76" spans="9:15" ht="4.5" customHeight="1" thickBot="1" x14ac:dyDescent="0.3"/>
    <row r="77" spans="9:15" ht="15.75" thickBot="1" x14ac:dyDescent="0.3">
      <c r="K77" s="12" t="s">
        <v>81</v>
      </c>
      <c r="M77" s="29" t="str" cm="1">
        <f t="array" aca="1" ref="M77" ca="1">_xll.SUBNM(db_name&amp;":programme","","Administered Programmes","code and description")</f>
        <v>Administered Programmes</v>
      </c>
    </row>
    <row r="79" spans="9:15" ht="15.75" x14ac:dyDescent="0.25">
      <c r="M79" s="30" t="s">
        <v>83</v>
      </c>
    </row>
    <row r="80" spans="9:15" x14ac:dyDescent="0.25">
      <c r="K80" s="12" t="s">
        <v>82</v>
      </c>
      <c r="M80" s="33" t="str">
        <f ca="1">$B$14</f>
        <v>C:\tm1_Common\generic_geus\</v>
      </c>
    </row>
    <row r="81" spans="11:15" x14ac:dyDescent="0.25">
      <c r="M81" s="34"/>
    </row>
    <row r="82" spans="11:15" ht="4.5" customHeight="1" x14ac:dyDescent="0.25"/>
    <row r="83" spans="11:15" ht="15.75" x14ac:dyDescent="0.25">
      <c r="M83" s="30" t="s">
        <v>84</v>
      </c>
    </row>
    <row r="84" spans="11:15" ht="4.5" customHeight="1" x14ac:dyDescent="0.25">
      <c r="M84" s="30"/>
    </row>
    <row r="85" spans="11:15" ht="15.75" x14ac:dyDescent="0.25">
      <c r="M85" s="30" t="s">
        <v>85</v>
      </c>
    </row>
    <row r="86" spans="11:15" x14ac:dyDescent="0.25">
      <c r="K86" s="14" t="s">
        <v>34</v>
      </c>
      <c r="M86" s="31" t="s">
        <v>86</v>
      </c>
    </row>
    <row r="87" spans="11:15" ht="4.5" customHeight="1" x14ac:dyDescent="0.25">
      <c r="K87" s="14"/>
    </row>
    <row r="88" spans="11:15" x14ac:dyDescent="0.25">
      <c r="K88" s="12" t="s">
        <v>91</v>
      </c>
      <c r="M88" s="20" t="str">
        <f ca="1">$B$15</f>
        <v>C:\tm1_Common\generic_geus\</v>
      </c>
    </row>
    <row r="89" spans="11:15" ht="5.0999999999999996" customHeight="1" x14ac:dyDescent="0.25"/>
    <row r="90" spans="11:15" x14ac:dyDescent="0.25">
      <c r="K90" s="11" t="s">
        <v>32</v>
      </c>
      <c r="M90" s="32" t="s">
        <v>94</v>
      </c>
      <c r="O90" s="21" t="s">
        <v>37</v>
      </c>
    </row>
    <row r="91" spans="11:15" ht="4.5" customHeight="1" x14ac:dyDescent="0.25">
      <c r="K91" s="12"/>
      <c r="M91" s="13"/>
    </row>
    <row r="92" spans="11:15" hidden="1" x14ac:dyDescent="0.25">
      <c r="K92" s="12" t="s">
        <v>33</v>
      </c>
      <c r="M92" s="23" t="str">
        <f ca="1">$B$48</f>
        <v/>
      </c>
      <c r="O92" s="22" t="s">
        <v>36</v>
      </c>
    </row>
    <row r="93" spans="11:15" ht="4.5" hidden="1" customHeight="1" x14ac:dyDescent="0.25"/>
    <row r="94" spans="11:15" x14ac:dyDescent="0.25">
      <c r="K94" s="14" t="s">
        <v>34</v>
      </c>
      <c r="M94" s="15" t="s">
        <v>35</v>
      </c>
    </row>
    <row r="95" spans="11:15" ht="5.0999999999999996" customHeight="1" x14ac:dyDescent="0.25"/>
    <row r="96" spans="11:15" x14ac:dyDescent="0.25">
      <c r="K96" s="12" t="s">
        <v>40</v>
      </c>
      <c r="M96" s="16" t="s">
        <v>38</v>
      </c>
    </row>
    <row r="97" spans="11:15" x14ac:dyDescent="0.25">
      <c r="M97" s="17" t="str">
        <f>"- General Format in excel"</f>
        <v>- General Format in excel</v>
      </c>
    </row>
    <row r="98" spans="11:15" x14ac:dyDescent="0.25">
      <c r="M98" s="17" t="str">
        <f>"- No commas (,) to seperate thousands"</f>
        <v>- No commas (,) to seperate thousands</v>
      </c>
    </row>
    <row r="99" spans="11:15" x14ac:dyDescent="0.25">
      <c r="M99" s="17" t="str">
        <f>"- Zeroes are set as 0 not dashes (-)"</f>
        <v>- Zeroes are set as 0 not dashes (-)</v>
      </c>
    </row>
    <row r="100" spans="11:15" x14ac:dyDescent="0.25">
      <c r="M100" s="18" t="s">
        <v>39</v>
      </c>
    </row>
    <row r="101" spans="11:15" ht="4.5" customHeight="1" x14ac:dyDescent="0.25"/>
    <row r="102" spans="11:15" ht="30" hidden="1" x14ac:dyDescent="0.25">
      <c r="K102" s="27" t="s">
        <v>58</v>
      </c>
      <c r="L102" s="25"/>
      <c r="M102" s="26" t="str">
        <f ca="1">$B$16</f>
        <v>C:\tm1_Common\generic_geus\</v>
      </c>
      <c r="O102" s="24" t="s">
        <v>59</v>
      </c>
    </row>
    <row r="103" spans="11:15" x14ac:dyDescent="0.25">
      <c r="M103" s="10"/>
    </row>
  </sheetData>
  <sheetProtection sheet="1" objects="1" scenarios="1"/>
  <mergeCells count="11">
    <mergeCell ref="M80:M81"/>
    <mergeCell ref="A1:C1"/>
    <mergeCell ref="A9:C9"/>
    <mergeCell ref="A27:C27"/>
    <mergeCell ref="A41:C41"/>
    <mergeCell ref="E51:G51"/>
    <mergeCell ref="E9:G9"/>
    <mergeCell ref="E41:G41"/>
    <mergeCell ref="A18:C18"/>
    <mergeCell ref="A24:C24"/>
    <mergeCell ref="A51:C51"/>
  </mergeCells>
  <conditionalFormatting sqref="M73">
    <cfRule type="containsText" dxfId="8" priority="5" operator="containsText" text="approve">
      <formula>NOT(ISERROR(SEARCH("approve",M73)))</formula>
    </cfRule>
    <cfRule type="beginsWith" dxfId="7" priority="6" operator="beginsWith" text="un">
      <formula>LEFT(M73,LEN("un"))="un"</formula>
    </cfRule>
  </conditionalFormatting>
  <conditionalFormatting sqref="M75">
    <cfRule type="containsText" dxfId="6" priority="3" operator="containsText" text="approve">
      <formula>NOT(ISERROR(SEARCH("approve",M75)))</formula>
    </cfRule>
    <cfRule type="beginsWith" dxfId="5" priority="4" operator="beginsWith" text="un">
      <formula>LEFT(M75,LEN("un"))="un"</formula>
    </cfRule>
  </conditionalFormatting>
  <conditionalFormatting sqref="M80">
    <cfRule type="containsText" dxfId="4" priority="1" operator="containsText" text="approve">
      <formula>NOT(ISERROR(SEARCH("approve",M80)))</formula>
    </cfRule>
    <cfRule type="beginsWith" dxfId="3" priority="2" operator="beginsWith" text="un">
      <formula>LEFT(M80,LEN("un"))="un"</formula>
    </cfRule>
  </conditionalFormatting>
  <conditionalFormatting sqref="M88">
    <cfRule type="containsText" dxfId="2" priority="8" operator="containsText" text="approve">
      <formula>NOT(ISERROR(SEARCH("approve",M88)))</formula>
    </cfRule>
    <cfRule type="beginsWith" dxfId="1" priority="9" operator="beginsWith" text="un">
      <formula>LEFT(M88,LEN("un"))="un"</formula>
    </cfRule>
  </conditionalFormatting>
  <conditionalFormatting sqref="M92">
    <cfRule type="notContainsText" dxfId="0" priority="7" operator="notContains" text="PASS">
      <formula>ISERROR(SEARCH("PASS",M92))</formula>
    </cfRule>
  </conditionalFormatting>
  <hyperlinks>
    <hyperlink ref="B2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3" orientation="landscape" r:id="rId2"/>
  <drawing r:id="rId3"/>
  <legacyDrawing r:id="rId4"/>
  <controls>
    <mc:AlternateContent xmlns:mc="http://schemas.openxmlformats.org/markup-compatibility/2006">
      <mc:Choice Requires="x14">
        <control shapeId="1044" r:id="rId5" name="TIButton4">
          <controlPr defaultSize="0" print="0" autoLine="0" r:id="rId6">
            <anchor moveWithCells="1" sizeWithCells="1">
              <from>
                <xdr:col>12</xdr:col>
                <xdr:colOff>1171575</xdr:colOff>
                <xdr:row>67</xdr:row>
                <xdr:rowOff>0</xdr:rowOff>
              </from>
              <to>
                <xdr:col>12</xdr:col>
                <xdr:colOff>2066925</xdr:colOff>
                <xdr:row>67</xdr:row>
                <xdr:rowOff>247650</xdr:rowOff>
              </to>
            </anchor>
          </controlPr>
        </control>
      </mc:Choice>
      <mc:Fallback>
        <control shapeId="1044" r:id="rId5" name="TIButton4"/>
      </mc:Fallback>
    </mc:AlternateContent>
    <mc:AlternateContent xmlns:mc="http://schemas.openxmlformats.org/markup-compatibility/2006">
      <mc:Choice Requires="x14">
        <control shapeId="1043" r:id="rId7" name="TIButton7">
          <controlPr defaultSize="0" print="0" autoLine="0" r:id="rId8">
            <anchor moveWithCells="1" sizeWithCells="1">
              <from>
                <xdr:col>10</xdr:col>
                <xdr:colOff>1257300</xdr:colOff>
                <xdr:row>67</xdr:row>
                <xdr:rowOff>0</xdr:rowOff>
              </from>
              <to>
                <xdr:col>12</xdr:col>
                <xdr:colOff>1143000</xdr:colOff>
                <xdr:row>67</xdr:row>
                <xdr:rowOff>247650</xdr:rowOff>
              </to>
            </anchor>
          </controlPr>
        </control>
      </mc:Choice>
      <mc:Fallback>
        <control shapeId="1043" r:id="rId7" name="TIButton7"/>
      </mc:Fallback>
    </mc:AlternateContent>
    <mc:AlternateContent xmlns:mc="http://schemas.openxmlformats.org/markup-compatibility/2006">
      <mc:Choice Requires="x14">
        <control shapeId="1039" r:id="rId9" name="TIButton6">
          <controlPr defaultSize="0" print="0" autoLine="0" r:id="rId10">
            <anchor moveWithCells="1" sizeWithCells="1">
              <from>
                <xdr:col>12</xdr:col>
                <xdr:colOff>2085975</xdr:colOff>
                <xdr:row>67</xdr:row>
                <xdr:rowOff>0</xdr:rowOff>
              </from>
              <to>
                <xdr:col>12</xdr:col>
                <xdr:colOff>2981325</xdr:colOff>
                <xdr:row>67</xdr:row>
                <xdr:rowOff>247650</xdr:rowOff>
              </to>
            </anchor>
          </controlPr>
        </control>
      </mc:Choice>
      <mc:Fallback>
        <control shapeId="1039" r:id="rId9" name="TIButton6"/>
      </mc:Fallback>
    </mc:AlternateContent>
    <mc:AlternateContent xmlns:mc="http://schemas.openxmlformats.org/markup-compatibility/2006">
      <mc:Choice Requires="x14">
        <control shapeId="1036" r:id="rId11" name="TIButton2">
          <controlPr defaultSize="0" print="0" autoLine="0" r:id="rId12">
            <anchor moveWithCells="1" sizeWithCells="1">
              <from>
                <xdr:col>10</xdr:col>
                <xdr:colOff>104775</xdr:colOff>
                <xdr:row>67</xdr:row>
                <xdr:rowOff>0</xdr:rowOff>
              </from>
              <to>
                <xdr:col>10</xdr:col>
                <xdr:colOff>1228725</xdr:colOff>
                <xdr:row>67</xdr:row>
                <xdr:rowOff>247650</xdr:rowOff>
              </to>
            </anchor>
          </controlPr>
        </control>
      </mc:Choice>
      <mc:Fallback>
        <control shapeId="1036" r:id="rId11" name="TIButton2"/>
      </mc:Fallback>
    </mc:AlternateContent>
    <mc:AlternateContent xmlns:mc="http://schemas.openxmlformats.org/markup-compatibility/2006">
      <mc:Choice Requires="x14">
        <control shapeId="1035" r:id="rId13" name="TIButton3">
          <controlPr defaultSize="0" print="0" autoLine="0" r:id="rId14">
            <anchor moveWithCells="1" sizeWithCells="1">
              <from>
                <xdr:col>9</xdr:col>
                <xdr:colOff>38100</xdr:colOff>
                <xdr:row>67</xdr:row>
                <xdr:rowOff>0</xdr:rowOff>
              </from>
              <to>
                <xdr:col>10</xdr:col>
                <xdr:colOff>66675</xdr:colOff>
                <xdr:row>67</xdr:row>
                <xdr:rowOff>247650</xdr:rowOff>
              </to>
            </anchor>
          </controlPr>
        </control>
      </mc:Choice>
      <mc:Fallback>
        <control shapeId="1035" r:id="rId13" name="TIButton3"/>
      </mc:Fallback>
    </mc:AlternateContent>
    <mc:AlternateContent xmlns:mc="http://schemas.openxmlformats.org/markup-compatibility/2006">
      <mc:Choice Requires="x14">
        <control shapeId="1031" r:id="rId15" name="TIButton1">
          <controlPr defaultSize="0" print="0" autoLine="0" r:id="rId16">
            <anchor moveWithCells="1" sizeWithCells="1">
              <from>
                <xdr:col>12</xdr:col>
                <xdr:colOff>3048000</xdr:colOff>
                <xdr:row>67</xdr:row>
                <xdr:rowOff>0</xdr:rowOff>
              </from>
              <to>
                <xdr:col>12</xdr:col>
                <xdr:colOff>3829050</xdr:colOff>
                <xdr:row>67</xdr:row>
                <xdr:rowOff>247650</xdr:rowOff>
              </to>
            </anchor>
          </controlPr>
        </control>
      </mc:Choice>
      <mc:Fallback>
        <control shapeId="1031" r:id="rId15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6"/>
  <sheetViews>
    <sheetView workbookViewId="0"/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26</v>
      </c>
    </row>
    <row r="6" spans="1:1" x14ac:dyDescent="0.25">
      <c r="A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43</vt:i4>
      </vt:variant>
    </vt:vector>
  </HeadingPairs>
  <TitlesOfParts>
    <vt:vector size="45" baseType="lpstr">
      <vt:lpstr>upload</vt:lpstr>
      <vt:lpstr>{PL}PickLst</vt:lpstr>
      <vt:lpstr>db_name</vt:lpstr>
      <vt:lpstr>psApp</vt:lpstr>
      <vt:lpstr>psClear</vt:lpstr>
      <vt:lpstr>psDim</vt:lpstr>
      <vt:lpstr>psFFType</vt:lpstr>
      <vt:lpstr>psFile</vt:lpstr>
      <vt:lpstr>psFileName</vt:lpstr>
      <vt:lpstr>psHLYear</vt:lpstr>
      <vt:lpstr>psID</vt:lpstr>
      <vt:lpstr>psMapping</vt:lpstr>
      <vt:lpstr>psProg</vt:lpstr>
      <vt:lpstr>psScenario</vt:lpstr>
      <vt:lpstr>psUser</vt:lpstr>
      <vt:lpstr>TM1AdminCreateProgCAP</vt:lpstr>
      <vt:lpstr>TM1AdminCreateProgWB</vt:lpstr>
      <vt:lpstr>TM1AdminCreateProgWS</vt:lpstr>
      <vt:lpstr>TM1AdminRDSProgCAP</vt:lpstr>
      <vt:lpstr>TM1AdminRDSProgWB</vt:lpstr>
      <vt:lpstr>TM1AdminRDSProgWS</vt:lpstr>
      <vt:lpstr>TM1ExtractAB_Confirm</vt:lpstr>
      <vt:lpstr>TM1ExtractAB_Fail</vt:lpstr>
      <vt:lpstr>TM1ExtractAB_Success</vt:lpstr>
      <vt:lpstr>TM1HomeAdminCAP</vt:lpstr>
      <vt:lpstr>TM1HomeAdminWB</vt:lpstr>
      <vt:lpstr>TM1HomeAdminWS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TM1MEUploadCAP</vt:lpstr>
      <vt:lpstr>TM1MEUploadTempCAP</vt:lpstr>
      <vt:lpstr>TM1MEUploadTempWB</vt:lpstr>
      <vt:lpstr>TM1MEUploadTempWS</vt:lpstr>
      <vt:lpstr>TM1MEUploadWB</vt:lpstr>
      <vt:lpstr>TM1MEUploadWS</vt:lpstr>
      <vt:lpstr>TM1MEValidateCAP</vt:lpstr>
      <vt:lpstr>TM1MEValidateWB</vt:lpstr>
      <vt:lpstr>TM1MEValidateWS</vt:lpstr>
      <vt:lpstr>TM1UploadAB_Confirm</vt:lpstr>
      <vt:lpstr>TM1UploadAB_Fail</vt:lpstr>
      <vt:lpstr>TM1UploadAB_Success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2019-04-29T04:37:36Z</cp:lastPrinted>
  <dcterms:created xsi:type="dcterms:W3CDTF">2019-04-26T07:19:11Z</dcterms:created>
  <dcterms:modified xsi:type="dcterms:W3CDTF">2025-08-07T01:52:38Z</dcterms:modified>
</cp:coreProperties>
</file>