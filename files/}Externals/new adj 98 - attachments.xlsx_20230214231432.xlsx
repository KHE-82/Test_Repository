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1F63564E-34D5-4262-A73E-36B8BA2BCE58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attachment" sheetId="1" r:id="rId1"/>
  </sheets>
  <definedNames>
    <definedName name="db_name">attachment!$B$2</definedName>
    <definedName name="psApp">attachment!$B$17</definedName>
    <definedName name="psHLYear">attachment!$B$45</definedName>
    <definedName name="psID">attachment!$B$47</definedName>
    <definedName name="psScenario">attachment!$B$46</definedName>
    <definedName name="psStatus">attachment!$B$33</definedName>
    <definedName name="psUser">attachment!$B$7</definedName>
    <definedName name="TM1AdjIDListCAP">attachment!$C$23</definedName>
    <definedName name="TM1AdjIDListWB">attachment!$E$23</definedName>
    <definedName name="TM1AdjIDListWS">attachment!$G$23</definedName>
    <definedName name="TM1BackToAdjWB">attachment!$B$29</definedName>
    <definedName name="TM1BackToAdjWS">attachment!$C$29</definedName>
    <definedName name="TM1GrpNewAdj02ExpDataEntryCAP">attachment!$C$25</definedName>
    <definedName name="TM1GrpNewAdj02ExpDataEntryWB">attachment!$E$25</definedName>
    <definedName name="TM1GrpNewAdj02ExpDataEntryWS">attachment!$G$25</definedName>
    <definedName name="TM1GrpNewAdj08RecogDataEntryCAP">attachment!$C$26</definedName>
    <definedName name="TM1GrpNewAdj08RecogDataEntryWB">attachment!$E$26</definedName>
    <definedName name="TM1GrpNewAdj08RecogDataEntryWS">attachment!$G$26</definedName>
    <definedName name="TM1HomeAECAP">attachment!$C$20</definedName>
    <definedName name="TM1HomeAEDataEntryCAP">attachment!$C$21</definedName>
    <definedName name="TM1HomeAEDataEntryWB">attachment!$E$21</definedName>
    <definedName name="TM1HomeAEDataEntryWS">attachment!$G$21</definedName>
    <definedName name="TM1HomeAEWB">attachment!$E$20</definedName>
    <definedName name="TM1HomeAEWS">attachment!$G$20</definedName>
    <definedName name="TM1HomeCAP">attachment!$C$19</definedName>
    <definedName name="TM1HomeWB">attachment!$E$19</definedName>
    <definedName name="TM1HomeWS">attachment!$G$19</definedName>
    <definedName name="TM1NewAdj02DataEntryCAP">attachment!$C$22</definedName>
    <definedName name="TM1NewAdj02DataEntryWB">attachment!$E$22</definedName>
    <definedName name="TM1NewAdj02DataEntryWS">attachment!$G$22</definedName>
    <definedName name="TM1UploadTempCAP">attachment!$C$24</definedName>
    <definedName name="TM1UploadTempWB">attachment!$E$24</definedName>
    <definedName name="TM1UploadTempWS">attachment!$G$24</definedName>
  </definedNames>
  <calcPr calcId="181029" calcMode="manual" calcCompleted="0" calcOnSave="0" concurrentCalc="0"/>
</workbook>
</file>

<file path=xl/calcChain.xml><?xml version="1.0" encoding="utf-8"?>
<calcChain xmlns="http://schemas.openxmlformats.org/spreadsheetml/2006/main">
  <c r="B3" i="1" l="1" a="1"/>
  <c r="B3" i="1"/>
  <c r="B4" i="1" a="1"/>
  <c r="B4" i="1"/>
  <c r="B5" i="1" a="1"/>
  <c r="B5" i="1"/>
  <c r="B7" i="1"/>
  <c r="B43" i="1" a="1"/>
  <c r="B43" i="1"/>
  <c r="B44" i="1" a="1"/>
  <c r="B44" i="1"/>
  <c r="B45" i="1" a="1"/>
  <c r="B45" i="1"/>
  <c r="B46" i="1" a="1"/>
  <c r="B46" i="1"/>
  <c r="B47" i="1" a="1"/>
  <c r="B47" i="1"/>
  <c r="B32" i="1" a="1"/>
  <c r="B32" i="1"/>
  <c r="B10" i="1" a="1"/>
  <c r="B10" i="1"/>
  <c r="B11" i="1" a="1"/>
  <c r="B11" i="1"/>
  <c r="B12" i="1" a="1"/>
  <c r="B12" i="1"/>
  <c r="B33" i="1" a="1"/>
  <c r="B33" i="1"/>
  <c r="D95" i="1"/>
  <c r="N95" i="1" a="1"/>
  <c r="N95" i="1"/>
  <c r="C95" i="1"/>
  <c r="L95" i="1" a="1"/>
  <c r="L95" i="1"/>
  <c r="D93" i="1"/>
  <c r="N93" i="1" a="1"/>
  <c r="N93" i="1"/>
  <c r="C93" i="1"/>
  <c r="L93" i="1" a="1"/>
  <c r="L93" i="1"/>
  <c r="D91" i="1"/>
  <c r="N91" i="1" a="1"/>
  <c r="N91" i="1"/>
  <c r="C91" i="1"/>
  <c r="L91" i="1" a="1"/>
  <c r="L91" i="1"/>
  <c r="D89" i="1"/>
  <c r="N89" i="1" a="1"/>
  <c r="N89" i="1"/>
  <c r="C89" i="1"/>
  <c r="L89" i="1" a="1"/>
  <c r="L89" i="1"/>
  <c r="D87" i="1"/>
  <c r="N87" i="1" a="1"/>
  <c r="N87" i="1"/>
  <c r="C87" i="1"/>
  <c r="L87" i="1" a="1"/>
  <c r="L87" i="1"/>
  <c r="D85" i="1"/>
  <c r="N85" i="1" a="1"/>
  <c r="N85" i="1"/>
  <c r="C85" i="1"/>
  <c r="L85" i="1" a="1"/>
  <c r="L85" i="1"/>
  <c r="D83" i="1"/>
  <c r="N83" i="1" a="1"/>
  <c r="N83" i="1"/>
  <c r="C83" i="1"/>
  <c r="L83" i="1" a="1"/>
  <c r="L83" i="1"/>
  <c r="D81" i="1"/>
  <c r="N81" i="1" a="1"/>
  <c r="N81" i="1"/>
  <c r="C81" i="1"/>
  <c r="L81" i="1" a="1"/>
  <c r="L81" i="1"/>
  <c r="D79" i="1"/>
  <c r="N79" i="1" a="1"/>
  <c r="N79" i="1"/>
  <c r="C79" i="1"/>
  <c r="L79" i="1" a="1"/>
  <c r="L79" i="1"/>
  <c r="D77" i="1"/>
  <c r="N77" i="1" a="1"/>
  <c r="N77" i="1"/>
  <c r="C77" i="1"/>
  <c r="L77" i="1" a="1"/>
  <c r="L77" i="1"/>
  <c r="B57" i="1" a="1"/>
  <c r="B57" i="1"/>
  <c r="B56" i="1" a="1"/>
  <c r="B56" i="1"/>
  <c r="B55" i="1" a="1"/>
  <c r="B55" i="1"/>
  <c r="B52" i="1" a="1"/>
  <c r="B52" i="1"/>
  <c r="B51" i="1" a="1"/>
  <c r="B51" i="1"/>
  <c r="B50" i="1" a="1"/>
  <c r="B50" i="1"/>
  <c r="B49" i="1" a="1"/>
  <c r="B49" i="1"/>
  <c r="B48" i="1" a="1"/>
  <c r="B48" i="1"/>
  <c r="B40" i="1" a="1"/>
  <c r="B40" i="1"/>
  <c r="B39" i="1" a="1"/>
  <c r="B39" i="1"/>
  <c r="B38" i="1" a="1"/>
  <c r="B38" i="1"/>
  <c r="B37" i="1" a="1"/>
  <c r="B37" i="1"/>
  <c r="B36" i="1" a="1"/>
  <c r="B36" i="1"/>
  <c r="B35" i="1" a="1"/>
  <c r="B35" i="1"/>
  <c r="B16" i="1" a="1"/>
  <c r="B16" i="1"/>
  <c r="G26" i="1" a="1"/>
  <c r="G26" i="1"/>
  <c r="F26" i="1" a="1"/>
  <c r="F26" i="1"/>
  <c r="E26" i="1" a="1"/>
  <c r="E26" i="1"/>
  <c r="D26" i="1" a="1"/>
  <c r="D26" i="1"/>
  <c r="C26" i="1" a="1"/>
  <c r="C26" i="1"/>
  <c r="B26" i="1" a="1"/>
  <c r="B26" i="1"/>
  <c r="G25" i="1" a="1"/>
  <c r="G25" i="1"/>
  <c r="F25" i="1" a="1"/>
  <c r="F25" i="1"/>
  <c r="E25" i="1" a="1"/>
  <c r="E25" i="1"/>
  <c r="D25" i="1" a="1"/>
  <c r="D25" i="1"/>
  <c r="C25" i="1" a="1"/>
  <c r="C25" i="1"/>
  <c r="B25" i="1" a="1"/>
  <c r="B25" i="1"/>
  <c r="G24" i="1" a="1"/>
  <c r="G24" i="1"/>
  <c r="F24" i="1" a="1"/>
  <c r="F24" i="1"/>
  <c r="E24" i="1" a="1"/>
  <c r="E24" i="1"/>
  <c r="D24" i="1" a="1"/>
  <c r="D24" i="1"/>
  <c r="C24" i="1" a="1"/>
  <c r="C24" i="1"/>
  <c r="B24" i="1" a="1"/>
  <c r="B24" i="1"/>
  <c r="G23" i="1" a="1"/>
  <c r="G23" i="1"/>
  <c r="F23" i="1" a="1"/>
  <c r="F23" i="1"/>
  <c r="E23" i="1" a="1"/>
  <c r="E23" i="1"/>
  <c r="D23" i="1" a="1"/>
  <c r="D23" i="1"/>
  <c r="C23" i="1" a="1"/>
  <c r="C23" i="1"/>
  <c r="B23" i="1" a="1"/>
  <c r="B23" i="1"/>
  <c r="G22" i="1" a="1"/>
  <c r="G22" i="1"/>
  <c r="F22" i="1" a="1"/>
  <c r="F22" i="1"/>
  <c r="E22" i="1" a="1"/>
  <c r="E22" i="1"/>
  <c r="D22" i="1" a="1"/>
  <c r="D22" i="1"/>
  <c r="C22" i="1" a="1"/>
  <c r="C22" i="1"/>
  <c r="B22" i="1" a="1"/>
  <c r="B22" i="1"/>
  <c r="G21" i="1" a="1"/>
  <c r="G21" i="1"/>
  <c r="F21" i="1" a="1"/>
  <c r="F21" i="1"/>
  <c r="E21" i="1" a="1"/>
  <c r="E21" i="1"/>
  <c r="D21" i="1" a="1"/>
  <c r="D21" i="1"/>
  <c r="C21" i="1" a="1"/>
  <c r="C21" i="1"/>
  <c r="B21" i="1" a="1"/>
  <c r="B21" i="1"/>
  <c r="G20" i="1" a="1"/>
  <c r="G20" i="1"/>
  <c r="F20" i="1" a="1"/>
  <c r="F20" i="1"/>
  <c r="E20" i="1" a="1"/>
  <c r="E20" i="1"/>
  <c r="D20" i="1" a="1"/>
  <c r="D20" i="1"/>
  <c r="C20" i="1" a="1"/>
  <c r="C20" i="1"/>
  <c r="B20" i="1" a="1"/>
  <c r="B20" i="1"/>
  <c r="G19" i="1" a="1"/>
  <c r="G19" i="1"/>
  <c r="F19" i="1" a="1"/>
  <c r="F19" i="1"/>
  <c r="E19" i="1" a="1"/>
  <c r="E19" i="1"/>
  <c r="D19" i="1" a="1"/>
  <c r="D19" i="1"/>
  <c r="C19" i="1" a="1"/>
  <c r="C19" i="1"/>
  <c r="B19" i="1" a="1"/>
  <c r="B19" i="1"/>
  <c r="B13" i="1" a="1"/>
  <c r="B13" i="1"/>
  <c r="B6" i="1" a="1"/>
  <c r="B6" i="1"/>
  <c r="C29" i="1"/>
  <c r="B29" i="1"/>
  <c r="L69" i="1"/>
  <c r="B59" i="1"/>
  <c r="B60" i="1"/>
  <c r="B62" i="1"/>
  <c r="B61" i="1"/>
  <c r="E95" i="1"/>
  <c r="E93" i="1"/>
  <c r="E91" i="1"/>
  <c r="E89" i="1"/>
  <c r="E87" i="1"/>
  <c r="E85" i="1"/>
  <c r="E83" i="1"/>
  <c r="E81" i="1"/>
  <c r="E79" i="1"/>
  <c r="E77" i="1"/>
  <c r="R79" i="1"/>
  <c r="L71" i="1"/>
  <c r="R95" i="1"/>
  <c r="R93" i="1"/>
  <c r="R91" i="1"/>
  <c r="R89" i="1"/>
  <c r="R87" i="1"/>
  <c r="R85" i="1"/>
  <c r="R83" i="1"/>
  <c r="R81" i="1"/>
  <c r="R77" i="1"/>
  <c r="P69" i="1"/>
  <c r="B3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<sst xmlns="http://schemas.openxmlformats.org/spreadsheetml/2006/main" count="112" uniqueCount="97">
  <si>
    <t>System Parameters</t>
  </si>
  <si>
    <t>Database Name</t>
  </si>
  <si>
    <t>Current User</t>
  </si>
  <si>
    <t xml:space="preserve">System Variable </t>
  </si>
  <si>
    <t>Cube View</t>
  </si>
  <si>
    <t>headline year</t>
  </si>
  <si>
    <t>headline scenario</t>
  </si>
  <si>
    <t>Client Preference (Data Entry)</t>
  </si>
  <si>
    <t>sys_client preference measure</t>
  </si>
  <si>
    <t>ID Details</t>
  </si>
  <si>
    <t>status</t>
  </si>
  <si>
    <t>status to use</t>
  </si>
  <si>
    <t>title</t>
  </si>
  <si>
    <t>agency</t>
  </si>
  <si>
    <t>reason</t>
  </si>
  <si>
    <t>description</t>
  </si>
  <si>
    <t>adj_editable</t>
  </si>
  <si>
    <t>sys_approval process</t>
  </si>
  <si>
    <t>adj_approver comments</t>
  </si>
  <si>
    <t>Title :</t>
  </si>
  <si>
    <t>ID :</t>
  </si>
  <si>
    <t>View</t>
  </si>
  <si>
    <t>Workbook</t>
  </si>
  <si>
    <t>Adjustment - ID List</t>
  </si>
  <si>
    <t>adjustment type</t>
  </si>
  <si>
    <t>SUBNM ID</t>
  </si>
  <si>
    <t>Attachment 01</t>
  </si>
  <si>
    <t>Attachment 02</t>
  </si>
  <si>
    <t>Attachment 03</t>
  </si>
  <si>
    <t>Attachment 04</t>
  </si>
  <si>
    <t>Attachment 05</t>
  </si>
  <si>
    <t>Attachment 06</t>
  </si>
  <si>
    <t>Attachment 07</t>
  </si>
  <si>
    <t>Attachment 08</t>
  </si>
  <si>
    <t>Attachment 09</t>
  </si>
  <si>
    <t>Attachment 10</t>
  </si>
  <si>
    <t>Attachment 01 Desc</t>
  </si>
  <si>
    <t>Attachment 02 Desc</t>
  </si>
  <si>
    <t>Attachment 03 Desc</t>
  </si>
  <si>
    <t>Attachment 04 Desc</t>
  </si>
  <si>
    <t>Attachment 05 Desc</t>
  </si>
  <si>
    <t>Attachment 06 Desc</t>
  </si>
  <si>
    <t>Attachment 07 Desc</t>
  </si>
  <si>
    <t>Attachment 08 Desc</t>
  </si>
  <si>
    <t>Attachment 09 Desc</t>
  </si>
  <si>
    <t>Attachment 10 Desc</t>
  </si>
  <si>
    <t>ID Measure</t>
  </si>
  <si>
    <t>WHICH ID MEASURE TO USE</t>
  </si>
  <si>
    <t>Homepage - Home</t>
  </si>
  <si>
    <t>Note :</t>
  </si>
  <si>
    <t>ATTACHMENT</t>
  </si>
  <si>
    <t>FILE PATH</t>
  </si>
  <si>
    <t>Shared Drive :</t>
  </si>
  <si>
    <t>sys_shared directory</t>
  </si>
  <si>
    <t>Hyperlink Configuration</t>
  </si>
  <si>
    <t>Attachments</t>
  </si>
  <si>
    <t>Folder Type</t>
  </si>
  <si>
    <t>Headline Year</t>
  </si>
  <si>
    <t>Stage</t>
  </si>
  <si>
    <t>Full File Path</t>
  </si>
  <si>
    <t>All attachments to be stored in the location as indicated above</t>
  </si>
  <si>
    <t>sys_WEB Url</t>
  </si>
  <si>
    <t>sys_Web URL Linked Folder</t>
  </si>
  <si>
    <t>Hyperlink File Path</t>
  </si>
  <si>
    <t>ENTER ATTACHMENT DESCRIPTION</t>
  </si>
  <si>
    <t>HYPERLINK (SYSTEM GENERATED)</t>
  </si>
  <si>
    <t>ENTER FULL ATTACHMENT FILE NAME 
INCLUDE FILE EXTENSION (*.PDF)</t>
  </si>
  <si>
    <t>=IF(OR($B$16="unauthorised",$B$16="agency draft"),$B73,"sys_"&amp;$B73)</t>
  </si>
  <si>
    <t>=IF(OR($B$16="unauthorised",$B$16="agency draft"),$A73,"sys_"&amp;$A73)</t>
  </si>
  <si>
    <t>}Clients</t>
  </si>
  <si>
    <t>TM1 User</t>
  </si>
  <si>
    <t>}TM1_DefaultDisplayValue</t>
  </si>
  <si>
    <t>GEUS User Name</t>
  </si>
  <si>
    <t>current budget round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</si>
  <si>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</si>
  <si>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</si>
  <si>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</si>
  <si>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</si>
  <si>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</si>
  <si>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</si>
  <si>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</si>
  <si>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Worksheet Name</t>
  </si>
  <si>
    <t>Worksheet</t>
  </si>
  <si>
    <t>Homepage - Annual Estimates</t>
  </si>
  <si>
    <t>Homepage - Annual Estimates - Data Entry</t>
  </si>
  <si>
    <t>Data Entry - Upload Template</t>
  </si>
  <si>
    <t>Data Entry - New Adj 02 - Adjustment Entry</t>
  </si>
  <si>
    <t>geus hl year</t>
  </si>
  <si>
    <t>geus scenario</t>
  </si>
  <si>
    <t>geus adj</t>
  </si>
  <si>
    <t>Group Data Entry - New Adj 02 - Expense Data Entry</t>
  </si>
  <si>
    <t>BACK TO ADJ NAV</t>
  </si>
  <si>
    <t>WorkBook</t>
  </si>
  <si>
    <t>WorkSheet</t>
  </si>
  <si>
    <t>Group Adj Type</t>
  </si>
  <si>
    <t>Group Data Entry - New Adj 08 - Recognition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</si>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</sst>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color indexed="62"/>
      <name val="Verdana"/>
      <family val="2"/>
    </font>
    <font>
      <b/>
      <sz val="12"/>
      <color rgb="FF9D202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9"/>
      <name val="Arial"/>
      <family val="2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F7DBE"/>
      </left>
      <right style="thin">
        <color rgb="FF1F7DBE"/>
      </right>
      <top style="thin">
        <color rgb="FF1F7DBE"/>
      </top>
      <bottom style="thin">
        <color rgb="FF1F7DBE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>
      <protection locked="0"/>
    </xf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3" xfId="0" applyFont="1" applyBorder="1"/>
    <xf numFmtId="0" fontId="0" fillId="0" borderId="3" xfId="0" applyBorder="1"/>
    <xf numFmtId="0" fontId="2" fillId="0" borderId="0" xfId="0" applyFont="1"/>
    <xf numFmtId="0" fontId="2" fillId="0" borderId="0" xfId="0" applyFont="1" applyAlignment="1">
      <alignment horizontal="right" indent="1"/>
    </xf>
    <xf numFmtId="0" fontId="4" fillId="0" borderId="0" xfId="1" applyProtection="1"/>
    <xf numFmtId="0" fontId="5" fillId="3" borderId="3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3" xfId="2" applyFont="1" applyBorder="1"/>
    <xf numFmtId="0" fontId="1" fillId="0" borderId="0" xfId="0" applyFont="1"/>
    <xf numFmtId="0" fontId="0" fillId="5" borderId="3" xfId="0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/>
    <xf numFmtId="0" fontId="9" fillId="2" borderId="3" xfId="3" applyFill="1" applyBorder="1" applyAlignment="1" applyProtection="1">
      <alignment horizontal="left" vertical="center" wrapText="1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top"/>
    </xf>
    <xf numFmtId="0" fontId="9" fillId="2" borderId="3" xfId="3" applyFill="1" applyBorder="1" applyAlignment="1" applyProtection="1">
      <alignment horizontal="left" vertical="top" wrapText="1"/>
    </xf>
    <xf numFmtId="0" fontId="3" fillId="6" borderId="0" xfId="0" applyFont="1" applyFill="1" applyAlignment="1">
      <alignment horizontal="right" vertical="center"/>
    </xf>
    <xf numFmtId="0" fontId="11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2" fillId="5" borderId="6" xfId="0" applyFont="1" applyFill="1" applyBorder="1"/>
    <xf numFmtId="0" fontId="2" fillId="5" borderId="7" xfId="0" applyFont="1" applyFill="1" applyBorder="1"/>
    <xf numFmtId="0" fontId="10" fillId="3" borderId="1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3" borderId="4" xfId="0" applyFill="1" applyBorder="1" applyAlignment="1">
      <alignment horizontal="left" indent="1"/>
    </xf>
    <xf numFmtId="0" fontId="0" fillId="3" borderId="2" xfId="0" applyFill="1" applyBorder="1" applyAlignment="1">
      <alignment horizontal="left" indent="1"/>
    </xf>
    <xf numFmtId="0" fontId="2" fillId="5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973B87"/>
      <color rgb="FF623A87"/>
      <color rgb="FF452C7D"/>
      <color rgb="FFEEDEEA"/>
      <color rgb="FFF3F2F2"/>
      <color rgb="FF535354"/>
      <color rgb="FF9D20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35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ck To Adj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BackToAdjWB"/>
  <ax:ocxPr ax:name="TargetWorksheetName" ax:value="=TM1BackToAdj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63</xdr:row>
      <xdr:rowOff>38100</xdr:rowOff>
    </xdr:from>
    <xdr:to>
      <xdr:col>11</xdr:col>
      <xdr:colOff>495300</xdr:colOff>
      <xdr:row>63</xdr:row>
      <xdr:rowOff>495300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828675</xdr:colOff>
          <xdr:row>65</xdr:row>
          <xdr:rowOff>0</xdr:rowOff>
        </xdr:from>
        <xdr:to>
          <xdr:col>11</xdr:col>
          <xdr:colOff>381000</xdr:colOff>
          <xdr:row>65</xdr:row>
          <xdr:rowOff>247650</xdr:rowOff>
        </xdr:to>
        <xdr:sp macro="" textlink="">
          <xdr:nvSpPr>
            <xdr:cNvPr id="1035" name="TIButton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76200</xdr:colOff>
          <xdr:row>65</xdr:row>
          <xdr:rowOff>0</xdr:rowOff>
        </xdr:from>
        <xdr:to>
          <xdr:col>9</xdr:col>
          <xdr:colOff>781050</xdr:colOff>
          <xdr:row>65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R95"/>
  <sheetViews>
    <sheetView showGridLines="0" showRowColHeaders="0" tabSelected="1" showOutlineSymbols="0" topLeftCell="A64" workbookViewId="0">
      <pane ySplit="13" topLeftCell="A77" activePane="bottomLeft" state="frozen"/>
      <selection activeCell="I64" sqref="I64"/>
      <selection pane="bottomLeft" sqref="A1:B1"/>
    </sheetView>
  </sheetViews>
  <sheetFormatPr defaultColWidth="9.140625" defaultRowHeight="15" outlineLevelRow="1" outlineLevelCol="1" x14ac:dyDescent="0.25"/>
  <cols>
    <col min="1" max="1" width="27.28515625" hidden="1" customWidth="1" outlineLevel="1"/>
    <col min="2" max="2" width="41.7109375" hidden="1" customWidth="1" outlineLevel="1"/>
    <col min="3" max="8" width="28.42578125" hidden="1" customWidth="1" outlineLevel="1"/>
    <col min="9" max="9" width="1.7109375" customWidth="1" collapsed="1"/>
    <col min="10" max="10" width="17.5703125" customWidth="1"/>
    <col min="11" max="11" width="0.85546875" customWidth="1"/>
    <col min="12" max="12" width="75.7109375" customWidth="1"/>
    <col min="13" max="13" width="0.85546875" customWidth="1"/>
    <col min="14" max="14" width="35.7109375" customWidth="1"/>
    <col min="15" max="15" width="0.85546875" customWidth="1"/>
    <col min="16" max="16" width="35.7109375" customWidth="1"/>
    <col min="17" max="17" width="0.85546875" customWidth="1"/>
    <col min="18" max="18" width="80.7109375" customWidth="1"/>
  </cols>
  <sheetData>
    <row r="1" spans="1:3" hidden="1" outlineLevel="1" x14ac:dyDescent="0.25">
      <c r="A1" s="29" t="s">
        <v>0</v>
      </c>
      <c r="B1" s="30"/>
    </row>
    <row r="2" spans="1:3" hidden="1" outlineLevel="1" x14ac:dyDescent="0.25">
      <c r="A2" s="1" t="s">
        <v>1</v>
      </c>
      <c r="B2" s="2" t="s">
        <v>96</v>
      </c>
    </row>
    <row r="3" spans="1:3" hidden="1" outlineLevel="1" x14ac:dyDescent="0.25">
      <c r="A3" s="1" t="s">
        <v>69</v>
      </c>
      <c r="B3" s="22" t="str" cm="1">
        <f t="array" aca="1" ref="B3" ca="1">_xll.VIEW(db_name&amp;":}ElementAttributes_}Clients","!","!")</f>
        <v>dcceew_geus:}ElementAttributes_}Clients</v>
      </c>
    </row>
    <row r="4" spans="1:3" hidden="1" outlineLevel="1" x14ac:dyDescent="0.25">
      <c r="A4" s="1" t="s">
        <v>70</v>
      </c>
      <c r="B4" s="23" t="str" cm="1">
        <f t="array" aca="1" ref="B4" ca="1">_xll.TM1USER(db_name)</f>
        <v/>
      </c>
    </row>
    <row r="5" spans="1:3" hidden="1" outlineLevel="1" x14ac:dyDescent="0.25">
      <c r="A5" s="1" t="s">
        <v>71</v>
      </c>
      <c r="B5" s="23" t="str" cm="1">
        <f t="array" aca="1" ref="B5" ca="1">_xll.DBR($B$3,$B$4,$A5)</f>
        <v>*KEY_ERR</v>
      </c>
    </row>
    <row r="6" spans="1:3" hidden="1" outlineLevel="1" x14ac:dyDescent="0.25">
      <c r="A6" s="1" t="s">
        <v>72</v>
      </c>
      <c r="B6" s="23" t="str" cm="1">
        <f t="array" aca="1" ref="B6" ca="1">_xll.DBR($B$3,$B$4,$A6)</f>
        <v>*KEY_ERR</v>
      </c>
    </row>
    <row r="7" spans="1:3" hidden="1" outlineLevel="1" x14ac:dyDescent="0.25">
      <c r="A7" s="1" t="s">
        <v>2</v>
      </c>
      <c r="B7" s="23" t="str">
        <f ca="1">IF(LEFT($B$5,6)="CAM_AD",$B$6,$B$5)</f>
        <v>*KEY_ERR</v>
      </c>
    </row>
    <row r="8" spans="1:3" hidden="1" outlineLevel="1" x14ac:dyDescent="0.25"/>
    <row r="9" spans="1:3" hidden="1" outlineLevel="1" x14ac:dyDescent="0.25">
      <c r="A9" s="29" t="s">
        <v>3</v>
      </c>
      <c r="B9" s="30"/>
    </row>
    <row r="10" spans="1:3" hidden="1" outlineLevel="1" x14ac:dyDescent="0.25">
      <c r="A10" s="1" t="s">
        <v>21</v>
      </c>
      <c r="B10" s="2" t="str" cm="1">
        <f t="array" aca="1" ref="B10" ca="1">_xll.VIEW(db_name&amp;":}ElementAttributes_variables","!","!")</f>
        <v>dcceew_geus:}ElementAttributes_variables</v>
      </c>
    </row>
    <row r="11" spans="1:3" hidden="1" outlineLevel="1" x14ac:dyDescent="0.25">
      <c r="A11" s="1" t="s">
        <v>5</v>
      </c>
      <c r="B11" s="2" t="str" cm="1">
        <f t="array" aca="1" ref="B11" ca="1">_xll.DBR($B$10,$A11,"value")</f>
        <v>*KEY_ERR</v>
      </c>
    </row>
    <row r="12" spans="1:3" hidden="1" outlineLevel="1" x14ac:dyDescent="0.25">
      <c r="A12" s="1" t="s">
        <v>6</v>
      </c>
      <c r="B12" s="2" t="str" cm="1">
        <f t="array" aca="1" ref="B12" ca="1">_xll.DBR($B$10,$A12,"value")</f>
        <v>*KEY_ERR</v>
      </c>
    </row>
    <row r="13" spans="1:3" hidden="1" outlineLevel="1" x14ac:dyDescent="0.25">
      <c r="A13" s="1" t="s">
        <v>73</v>
      </c>
      <c r="B13" s="2" t="str" cm="1">
        <f t="array" aca="1" ref="B13" ca="1">_xll.DBR($B$10,$A13,"value")</f>
        <v>*KEY_ERR</v>
      </c>
    </row>
    <row r="14" spans="1:3" hidden="1" outlineLevel="1" x14ac:dyDescent="0.25"/>
    <row r="15" spans="1:3" hidden="1" outlineLevel="1" x14ac:dyDescent="0.25">
      <c r="A15" s="34" t="s">
        <v>74</v>
      </c>
      <c r="B15" s="35"/>
      <c r="C15" s="36"/>
    </row>
    <row r="16" spans="1:3" hidden="1" outlineLevel="1" x14ac:dyDescent="0.25">
      <c r="A16" s="2" t="s">
        <v>75</v>
      </c>
      <c r="B16" s="2" t="str" cm="1">
        <f t="array" aca="1" ref="B16" ca="1">_xll.VIEW(db_name&amp;":sys_application","!","!")</f>
        <v>dcceew_geus:sys_application</v>
      </c>
    </row>
    <row r="17" spans="1:7" hidden="1" outlineLevel="1" x14ac:dyDescent="0.25">
      <c r="A17" s="2" t="s">
        <v>76</v>
      </c>
      <c r="B17" s="2"/>
    </row>
    <row r="18" spans="1:7" hidden="1" outlineLevel="1" x14ac:dyDescent="0.25">
      <c r="A18" s="24" t="s">
        <v>77</v>
      </c>
      <c r="B18" s="25" t="s">
        <v>78</v>
      </c>
      <c r="C18" s="25" t="s">
        <v>79</v>
      </c>
      <c r="D18" s="25" t="s">
        <v>80</v>
      </c>
      <c r="E18" s="25" t="s">
        <v>22</v>
      </c>
      <c r="F18" s="25" t="s">
        <v>81</v>
      </c>
      <c r="G18" s="25" t="s">
        <v>82</v>
      </c>
    </row>
    <row r="19" spans="1:7" hidden="1" outlineLevel="1" x14ac:dyDescent="0.25">
      <c r="A19" s="2" t="s">
        <v>48</v>
      </c>
      <c r="B19" s="2" t="str" cm="1">
        <f t="array" aca="1" ref="B19" ca="1">_xll.DBR($B$16,$A19,B$18)</f>
        <v>*KEY_ERR</v>
      </c>
      <c r="C19" s="2" t="str" cm="1">
        <f t="array" aca="1" ref="C19" ca="1">_xll.DBR($B$16,$A19,C$18)</f>
        <v>*KEY_ERR</v>
      </c>
      <c r="D19" s="2" t="str" cm="1">
        <f t="array" aca="1" ref="D19" ca="1">_xll.DBR($B$16,$A19,D$18)</f>
        <v>*KEY_ERR</v>
      </c>
      <c r="E19" s="2" t="str" cm="1">
        <f t="array" aca="1" ref="E19" ca="1">_xll.DBR($B$16,$A19,E$18)</f>
        <v>*KEY_ERR</v>
      </c>
      <c r="F19" s="2" t="str" cm="1">
        <f t="array" aca="1" ref="F19" ca="1">_xll.DBR($B$16,$A19,F$18)</f>
        <v>*KEY_ERR</v>
      </c>
      <c r="G19" s="2" t="str" cm="1">
        <f t="array" aca="1" ref="G19" ca="1">_xll.DBR($B$16,$A19,G$18)</f>
        <v>*KEY_ERR</v>
      </c>
    </row>
    <row r="20" spans="1:7" hidden="1" outlineLevel="1" x14ac:dyDescent="0.25">
      <c r="A20" s="2" t="s">
        <v>83</v>
      </c>
      <c r="B20" s="2" t="str" cm="1">
        <f t="array" aca="1" ref="B20" ca="1">_xll.DBR($B$16,$A20,B$18)</f>
        <v>*KEY_ERR</v>
      </c>
      <c r="C20" s="2" t="str" cm="1">
        <f t="array" aca="1" ref="C20" ca="1">_xll.DBR($B$16,$A20,C$18)</f>
        <v>*KEY_ERR</v>
      </c>
      <c r="D20" s="2" t="str" cm="1">
        <f t="array" aca="1" ref="D20" ca="1">_xll.DBR($B$16,$A20,D$18)</f>
        <v>*KEY_ERR</v>
      </c>
      <c r="E20" s="2" t="str" cm="1">
        <f t="array" aca="1" ref="E20" ca="1">_xll.DBR($B$16,$A20,E$18)</f>
        <v>*KEY_ERR</v>
      </c>
      <c r="F20" s="2" t="str" cm="1">
        <f t="array" aca="1" ref="F20" ca="1">_xll.DBR($B$16,$A20,F$18)</f>
        <v>*KEY_ERR</v>
      </c>
      <c r="G20" s="2" t="str" cm="1">
        <f t="array" aca="1" ref="G20" ca="1">_xll.DBR($B$16,$A20,G$18)</f>
        <v>*KEY_ERR</v>
      </c>
    </row>
    <row r="21" spans="1:7" hidden="1" outlineLevel="1" x14ac:dyDescent="0.25">
      <c r="A21" s="2" t="s">
        <v>84</v>
      </c>
      <c r="B21" s="2" t="str" cm="1">
        <f t="array" aca="1" ref="B21" ca="1">_xll.DBR($B$16,$A21,B$18)</f>
        <v>*KEY_ERR</v>
      </c>
      <c r="C21" s="2" t="str" cm="1">
        <f t="array" aca="1" ref="C21" ca="1">_xll.DBR($B$16,$A21,C$18)</f>
        <v>*KEY_ERR</v>
      </c>
      <c r="D21" s="2" t="str" cm="1">
        <f t="array" aca="1" ref="D21" ca="1">_xll.DBR($B$16,$A21,D$18)</f>
        <v>*KEY_ERR</v>
      </c>
      <c r="E21" s="2" t="str" cm="1">
        <f t="array" aca="1" ref="E21" ca="1">_xll.DBR($B$16,$A21,E$18)</f>
        <v>*KEY_ERR</v>
      </c>
      <c r="F21" s="2" t="str" cm="1">
        <f t="array" aca="1" ref="F21" ca="1">_xll.DBR($B$16,$A21,F$18)</f>
        <v>*KEY_ERR</v>
      </c>
      <c r="G21" s="2" t="str" cm="1">
        <f t="array" aca="1" ref="G21" ca="1">_xll.DBR($B$16,$A21,G$18)</f>
        <v>*KEY_ERR</v>
      </c>
    </row>
    <row r="22" spans="1:7" hidden="1" outlineLevel="1" x14ac:dyDescent="0.25">
      <c r="A22" s="2" t="s">
        <v>86</v>
      </c>
      <c r="B22" s="2" t="str" cm="1">
        <f t="array" aca="1" ref="B22" ca="1">_xll.DBR($B$16,$A22,B$18)</f>
        <v>*KEY_ERR</v>
      </c>
      <c r="C22" s="2" t="str" cm="1">
        <f t="array" aca="1" ref="C22" ca="1">_xll.DBR($B$16,$A22,C$18)</f>
        <v>*KEY_ERR</v>
      </c>
      <c r="D22" s="2" t="str" cm="1">
        <f t="array" aca="1" ref="D22" ca="1">_xll.DBR($B$16,$A22,D$18)</f>
        <v>*KEY_ERR</v>
      </c>
      <c r="E22" s="2" t="str" cm="1">
        <f t="array" aca="1" ref="E22" ca="1">_xll.DBR($B$16,$A22,E$18)</f>
        <v>*KEY_ERR</v>
      </c>
      <c r="F22" s="2" t="str" cm="1">
        <f t="array" aca="1" ref="F22" ca="1">_xll.DBR($B$16,$A22,F$18)</f>
        <v>*KEY_ERR</v>
      </c>
      <c r="G22" s="2" t="str" cm="1">
        <f t="array" aca="1" ref="G22" ca="1">_xll.DBR($B$16,$A22,G$18)</f>
        <v>*KEY_ERR</v>
      </c>
    </row>
    <row r="23" spans="1:7" hidden="1" outlineLevel="1" x14ac:dyDescent="0.25">
      <c r="A23" s="2" t="s">
        <v>23</v>
      </c>
      <c r="B23" s="2" t="str" cm="1">
        <f t="array" aca="1" ref="B23" ca="1">_xll.DBR($B$16,$A23,B$18)</f>
        <v>*KEY_ERR</v>
      </c>
      <c r="C23" s="2" t="str" cm="1">
        <f t="array" aca="1" ref="C23" ca="1">_xll.DBR($B$16,$A23,C$18)</f>
        <v>*KEY_ERR</v>
      </c>
      <c r="D23" s="2" t="str" cm="1">
        <f t="array" aca="1" ref="D23" ca="1">_xll.DBR($B$16,$A23,D$18)</f>
        <v>*KEY_ERR</v>
      </c>
      <c r="E23" s="2" t="str" cm="1">
        <f t="array" aca="1" ref="E23" ca="1">_xll.DBR($B$16,$A23,E$18)</f>
        <v>*KEY_ERR</v>
      </c>
      <c r="F23" s="2" t="str" cm="1">
        <f t="array" aca="1" ref="F23" ca="1">_xll.DBR($B$16,$A23,F$18)</f>
        <v>*KEY_ERR</v>
      </c>
      <c r="G23" s="2" t="str" cm="1">
        <f t="array" aca="1" ref="G23" ca="1">_xll.DBR($B$16,$A23,G$18)</f>
        <v>*KEY_ERR</v>
      </c>
    </row>
    <row r="24" spans="1:7" hidden="1" outlineLevel="1" x14ac:dyDescent="0.25">
      <c r="A24" s="2" t="s">
        <v>85</v>
      </c>
      <c r="B24" s="2" t="str" cm="1">
        <f t="array" aca="1" ref="B24" ca="1">_xll.DBR($B$16,$A24,B$18)</f>
        <v>*KEY_ERR</v>
      </c>
      <c r="C24" s="2" t="str" cm="1">
        <f t="array" aca="1" ref="C24" ca="1">_xll.DBR($B$16,$A24,C$18)</f>
        <v>*KEY_ERR</v>
      </c>
      <c r="D24" s="2" t="str" cm="1">
        <f t="array" aca="1" ref="D24" ca="1">_xll.DBR($B$16,$A24,D$18)</f>
        <v>*KEY_ERR</v>
      </c>
      <c r="E24" s="2" t="str" cm="1">
        <f t="array" aca="1" ref="E24" ca="1">_xll.DBR($B$16,$A24,E$18)</f>
        <v>*KEY_ERR</v>
      </c>
      <c r="F24" s="2" t="str" cm="1">
        <f t="array" aca="1" ref="F24" ca="1">_xll.DBR($B$16,$A24,F$18)</f>
        <v>*KEY_ERR</v>
      </c>
      <c r="G24" s="2" t="str" cm="1">
        <f t="array" aca="1" ref="G24" ca="1">_xll.DBR($B$16,$A24,G$18)</f>
        <v>*KEY_ERR</v>
      </c>
    </row>
    <row r="25" spans="1:7" hidden="1" outlineLevel="1" x14ac:dyDescent="0.25">
      <c r="A25" s="2" t="s">
        <v>90</v>
      </c>
      <c r="B25" s="2" t="str" cm="1">
        <f t="array" aca="1" ref="B25" ca="1">_xll.DBR($B$16,$A25,B$18)</f>
        <v>*KEY_ERR</v>
      </c>
      <c r="C25" s="2" t="str" cm="1">
        <f t="array" aca="1" ref="C25" ca="1">_xll.DBR($B$16,$A25,C$18)</f>
        <v>*KEY_ERR</v>
      </c>
      <c r="D25" s="2" t="str" cm="1">
        <f t="array" aca="1" ref="D25" ca="1">_xll.DBR($B$16,$A25,D$18)</f>
        <v>*KEY_ERR</v>
      </c>
      <c r="E25" s="2" t="str" cm="1">
        <f t="array" aca="1" ref="E25" ca="1">_xll.DBR($B$16,$A25,E$18)</f>
        <v>*KEY_ERR</v>
      </c>
      <c r="F25" s="2" t="str" cm="1">
        <f t="array" aca="1" ref="F25" ca="1">_xll.DBR($B$16,$A25,F$18)</f>
        <v>*KEY_ERR</v>
      </c>
      <c r="G25" s="2" t="str" cm="1">
        <f t="array" aca="1" ref="G25" ca="1">_xll.DBR($B$16,$A25,G$18)</f>
        <v>*KEY_ERR</v>
      </c>
    </row>
    <row r="26" spans="1:7" hidden="1" outlineLevel="1" x14ac:dyDescent="0.25">
      <c r="A26" s="2" t="s">
        <v>95</v>
      </c>
      <c r="B26" s="2" t="str" cm="1">
        <f t="array" aca="1" ref="B26" ca="1">_xll.DBR($B$16,$A26,B$18)</f>
        <v>*KEY_ERR</v>
      </c>
      <c r="C26" s="2" t="str" cm="1">
        <f t="array" aca="1" ref="C26" ca="1">_xll.DBR($B$16,$A26,C$18)</f>
        <v>*KEY_ERR</v>
      </c>
      <c r="D26" s="2" t="str" cm="1">
        <f t="array" aca="1" ref="D26" ca="1">_xll.DBR($B$16,$A26,D$18)</f>
        <v>*KEY_ERR</v>
      </c>
      <c r="E26" s="2" t="str" cm="1">
        <f t="array" aca="1" ref="E26" ca="1">_xll.DBR($B$16,$A26,E$18)</f>
        <v>*KEY_ERR</v>
      </c>
      <c r="F26" s="2" t="str" cm="1">
        <f t="array" aca="1" ref="F26" ca="1">_xll.DBR($B$16,$A26,F$18)</f>
        <v>*KEY_ERR</v>
      </c>
      <c r="G26" s="2" t="str" cm="1">
        <f t="array" aca="1" ref="G26" ca="1">_xll.DBR($B$16,$A26,G$18)</f>
        <v>*KEY_ERR</v>
      </c>
    </row>
    <row r="27" spans="1:7" hidden="1" outlineLevel="1" x14ac:dyDescent="0.25"/>
    <row r="28" spans="1:7" hidden="1" outlineLevel="1" x14ac:dyDescent="0.25">
      <c r="A28" s="2"/>
      <c r="B28" s="25" t="s">
        <v>92</v>
      </c>
      <c r="C28" s="25" t="s">
        <v>93</v>
      </c>
    </row>
    <row r="29" spans="1:7" hidden="1" outlineLevel="1" x14ac:dyDescent="0.25">
      <c r="A29" s="1" t="s">
        <v>91</v>
      </c>
      <c r="B29" s="2" t="str">
        <f ca="1">IF($B$39="Group",IF($B$40="Compliance",TM1GrpNewAdj08RecogDataEntryWB,TM1GrpNewAdj02ExpDataEntryWB),TM1NewAdj02DataEntryWB)</f>
        <v>*KEY_ERR</v>
      </c>
      <c r="C29" s="2" t="str">
        <f ca="1">IF($B$39="Group",IF($B$40="Compliance",TM1GrpNewAdj08RecogDataEntryWS,TM1GrpNewAdj02ExpDataEntryWS),TM1NewAdj02DataEntryWS)</f>
        <v>*KEY_ERR</v>
      </c>
    </row>
    <row r="30" spans="1:7" hidden="1" outlineLevel="1" x14ac:dyDescent="0.25"/>
    <row r="31" spans="1:7" hidden="1" outlineLevel="1" x14ac:dyDescent="0.25">
      <c r="A31" s="29" t="s">
        <v>9</v>
      </c>
      <c r="B31" s="30"/>
    </row>
    <row r="32" spans="1:7" hidden="1" outlineLevel="1" x14ac:dyDescent="0.25">
      <c r="A32" s="1" t="s">
        <v>4</v>
      </c>
      <c r="B32" s="2" t="str" cm="1">
        <f t="array" aca="1" ref="B32" ca="1">_xll.VIEW(db_name&amp;":AE id details",$B$45,$B$46,$B$47,"!")</f>
        <v>dcceew_geus:AE id details</v>
      </c>
    </row>
    <row r="33" spans="1:2" hidden="1" outlineLevel="1" x14ac:dyDescent="0.25">
      <c r="A33" s="2" t="s">
        <v>10</v>
      </c>
      <c r="B33" s="2" t="str" cm="1">
        <f t="array" aca="1" ref="B33" ca="1">_xll.DBR($B$32,$B$45,$B$46,$B$47,$A33)</f>
        <v>*KEY_ERR</v>
      </c>
    </row>
    <row r="34" spans="1:2" hidden="1" outlineLevel="1" x14ac:dyDescent="0.25">
      <c r="A34" s="2" t="s">
        <v>11</v>
      </c>
      <c r="B34" s="2" t="str">
        <f ca="1">IF(OR($B$33="unauthorised",$B33="agency draft"),"data",$B$33)</f>
        <v>*KEY_ERR</v>
      </c>
    </row>
    <row r="35" spans="1:2" hidden="1" outlineLevel="1" x14ac:dyDescent="0.25">
      <c r="A35" s="2" t="s">
        <v>12</v>
      </c>
      <c r="B35" s="2" t="str" cm="1">
        <f t="array" aca="1" ref="B35" ca="1">_xll.DBR($B$32,$B$45,$B$46,$B$47,$A35)</f>
        <v>*KEY_ERR</v>
      </c>
    </row>
    <row r="36" spans="1:2" hidden="1" outlineLevel="1" x14ac:dyDescent="0.25">
      <c r="A36" s="2" t="s">
        <v>15</v>
      </c>
      <c r="B36" s="2" t="str" cm="1">
        <f t="array" aca="1" ref="B36" ca="1">_xll.DBR($B$32,$B$45,$B$46,$B$47,$A36)</f>
        <v>*KEY_ERR</v>
      </c>
    </row>
    <row r="37" spans="1:2" hidden="1" outlineLevel="1" x14ac:dyDescent="0.25">
      <c r="A37" s="2" t="s">
        <v>13</v>
      </c>
      <c r="B37" s="2" t="str" cm="1">
        <f t="array" aca="1" ref="B37" ca="1">_xll.DBR($B$32,$B$45,$B$46,$B$47,$A37)</f>
        <v>*KEY_ERR</v>
      </c>
    </row>
    <row r="38" spans="1:2" hidden="1" outlineLevel="1" x14ac:dyDescent="0.25">
      <c r="A38" s="2" t="s">
        <v>14</v>
      </c>
      <c r="B38" s="2" t="str" cm="1">
        <f t="array" aca="1" ref="B38" ca="1">_xll.DBR($B$32,$B$45,$B$46,$B$47,$A38)</f>
        <v>*KEY_ERR</v>
      </c>
    </row>
    <row r="39" spans="1:2" hidden="1" outlineLevel="1" x14ac:dyDescent="0.25">
      <c r="A39" s="2" t="s">
        <v>24</v>
      </c>
      <c r="B39" s="2" t="str" cm="1">
        <f t="array" aca="1" ref="B39" ca="1">_xll.DBR($B$32,$B$45,$B$46,$B$47,$A39)</f>
        <v>*KEY_ERR</v>
      </c>
    </row>
    <row r="40" spans="1:2" hidden="1" outlineLevel="1" x14ac:dyDescent="0.25">
      <c r="A40" s="2" t="s">
        <v>94</v>
      </c>
      <c r="B40" s="2" t="str" cm="1">
        <f t="array" aca="1" ref="B40" ca="1">_xll.DBR($B$32,$B$45,$B$46,$B$47,$A40)</f>
        <v>*KEY_ERR</v>
      </c>
    </row>
    <row r="41" spans="1:2" hidden="1" outlineLevel="1" x14ac:dyDescent="0.25"/>
    <row r="42" spans="1:2" hidden="1" outlineLevel="1" x14ac:dyDescent="0.25">
      <c r="A42" s="29" t="s">
        <v>7</v>
      </c>
      <c r="B42" s="30"/>
    </row>
    <row r="43" spans="1:2" hidden="1" outlineLevel="1" x14ac:dyDescent="0.25">
      <c r="A43" s="1" t="s">
        <v>4</v>
      </c>
      <c r="B43" s="2" t="str" cm="1">
        <f t="array" aca="1" ref="B43" ca="1">_xll.VIEW(db_name&amp;":sys_client preference",psUser,"!","!")</f>
        <v>dcceew_geus:sys_client preference</v>
      </c>
    </row>
    <row r="44" spans="1:2" hidden="1" outlineLevel="1" x14ac:dyDescent="0.25">
      <c r="A44" s="2" t="s">
        <v>8</v>
      </c>
      <c r="B44" s="2" t="str" cm="1">
        <f t="array" aca="1" ref="B44" ca="1">_xll.SUBNM(db_name &amp; ":sys_client preference measure","","value")</f>
        <v/>
      </c>
    </row>
    <row r="45" spans="1:2" hidden="1" outlineLevel="1" x14ac:dyDescent="0.25">
      <c r="A45" s="1" t="s">
        <v>87</v>
      </c>
      <c r="B45" s="2" t="str" cm="1">
        <f t="array" aca="1" ref="B45" ca="1">_xll.DBR($B$43,psUser,$A45,$B$44)</f>
        <v>*KEY_ERR</v>
      </c>
    </row>
    <row r="46" spans="1:2" hidden="1" outlineLevel="1" x14ac:dyDescent="0.25">
      <c r="A46" s="1" t="s">
        <v>88</v>
      </c>
      <c r="B46" s="2" t="str" cm="1">
        <f t="array" aca="1" ref="B46" ca="1">_xll.DBR($B$43,psUser,$A46,$B$44)</f>
        <v>*KEY_ERR</v>
      </c>
    </row>
    <row r="47" spans="1:2" hidden="1" outlineLevel="1" x14ac:dyDescent="0.25">
      <c r="A47" s="1" t="s">
        <v>89</v>
      </c>
      <c r="B47" s="2" t="str" cm="1">
        <f t="array" aca="1" ref="B47" ca="1">_xll.DBR($B$43,psUser,$A47,$B$44)</f>
        <v>*KEY_ERR</v>
      </c>
    </row>
    <row r="48" spans="1:2" hidden="1" outlineLevel="1" x14ac:dyDescent="0.25">
      <c r="A48" s="2" t="s">
        <v>17</v>
      </c>
      <c r="B48" s="2" t="str" cm="1">
        <f t="array" aca="1" ref="B48" ca="1">_xll.DBR($B$43,psUser,$A48,$B$44)</f>
        <v>*KEY_ERR</v>
      </c>
    </row>
    <row r="49" spans="1:18" hidden="1" outlineLevel="1" x14ac:dyDescent="0.25">
      <c r="A49" s="2" t="s">
        <v>18</v>
      </c>
      <c r="B49" s="2" t="str" cm="1">
        <f t="array" aca="1" ref="B49" ca="1">_xll.DBR($B$43,psUser,$A49,$B$44)</f>
        <v>*KEY_ERR</v>
      </c>
    </row>
    <row r="50" spans="1:18" hidden="1" outlineLevel="1" x14ac:dyDescent="0.25">
      <c r="A50" s="2" t="s">
        <v>16</v>
      </c>
      <c r="B50" s="2" t="str" cm="1">
        <f t="array" aca="1" ref="B50" ca="1">_xll.DBR($B$43,psUser,$A50,$B$44)</f>
        <v>*KEY_ERR</v>
      </c>
    </row>
    <row r="51" spans="1:18" hidden="1" outlineLevel="1" x14ac:dyDescent="0.25">
      <c r="A51" s="2" t="s">
        <v>16</v>
      </c>
      <c r="B51" s="2" t="str" cm="1">
        <f t="array" aca="1" ref="B51" ca="1">_xll.DBR($B$43,psUser,$A51,"validate")</f>
        <v>*KEY_ERR</v>
      </c>
    </row>
    <row r="52" spans="1:18" ht="15.75" hidden="1" outlineLevel="1" x14ac:dyDescent="0.25">
      <c r="A52" s="2" t="s">
        <v>25</v>
      </c>
      <c r="B52" s="6" t="str" cm="1">
        <f t="array" aca="1" ref="B52" ca="1">_xll.SUBNM(db_name&amp;":id","",psID)</f>
        <v/>
      </c>
    </row>
    <row r="53" spans="1:18" hidden="1" outlineLevel="1" x14ac:dyDescent="0.25"/>
    <row r="54" spans="1:18" hidden="1" outlineLevel="1" x14ac:dyDescent="0.25">
      <c r="A54" s="29" t="s">
        <v>54</v>
      </c>
      <c r="B54" s="30"/>
    </row>
    <row r="55" spans="1:18" hidden="1" outlineLevel="1" x14ac:dyDescent="0.25">
      <c r="A55" s="2" t="s">
        <v>53</v>
      </c>
      <c r="B55" s="2" t="str" cm="1">
        <f t="array" aca="1" ref="B55" ca="1">_xll.DBR($B$10,$A55,"value")</f>
        <v>*KEY_ERR</v>
      </c>
    </row>
    <row r="56" spans="1:18" hidden="1" outlineLevel="1" x14ac:dyDescent="0.25">
      <c r="A56" s="2" t="s">
        <v>61</v>
      </c>
      <c r="B56" s="2" t="str" cm="1">
        <f t="array" aca="1" ref="B56" ca="1">_xll.DBR($B$10,$A56,"value")</f>
        <v>*KEY_ERR</v>
      </c>
    </row>
    <row r="57" spans="1:18" hidden="1" outlineLevel="1" x14ac:dyDescent="0.25">
      <c r="A57" s="2" t="s">
        <v>62</v>
      </c>
      <c r="B57" s="2" t="str" cm="1">
        <f t="array" aca="1" ref="B57" ca="1">_xll.DBR($B$10,$A57,"value")</f>
        <v>*KEY_ERR</v>
      </c>
    </row>
    <row r="58" spans="1:18" hidden="1" outlineLevel="1" x14ac:dyDescent="0.25">
      <c r="A58" s="2" t="s">
        <v>56</v>
      </c>
      <c r="B58" s="9" t="s">
        <v>55</v>
      </c>
    </row>
    <row r="59" spans="1:18" hidden="1" outlineLevel="1" x14ac:dyDescent="0.25">
      <c r="A59" s="2" t="s">
        <v>57</v>
      </c>
      <c r="B59" s="9" t="str">
        <f ca="1">psHLYear</f>
        <v>*KEY_ERR</v>
      </c>
    </row>
    <row r="60" spans="1:18" hidden="1" outlineLevel="1" x14ac:dyDescent="0.25">
      <c r="A60" s="2" t="s">
        <v>58</v>
      </c>
      <c r="B60" s="9" t="str">
        <f ca="1">IF(psScenario="current",$B$13,psScenario)</f>
        <v>*KEY_ERR</v>
      </c>
    </row>
    <row r="61" spans="1:18" hidden="1" outlineLevel="1" x14ac:dyDescent="0.25">
      <c r="A61" s="2" t="s">
        <v>59</v>
      </c>
      <c r="B61" s="9" t="str">
        <f ca="1">$B$55&amp;"\"&amp;B58&amp;"\"&amp;$B$59&amp;"\"&amp;$B$60&amp;""</f>
        <v>*KEY_ERR\Attachments\*KEY_ERR\*KEY_ERR</v>
      </c>
    </row>
    <row r="62" spans="1:18" hidden="1" outlineLevel="1" x14ac:dyDescent="0.25">
      <c r="A62" s="2" t="s">
        <v>63</v>
      </c>
      <c r="B62" s="9" t="str">
        <f ca="1">$B$56&amp;"/"&amp;$B$57&amp;"/"&amp;$B$59&amp;"/"&amp;$B$60&amp;"/"</f>
        <v>*KEY_ERR/*KEY_ERR/*KEY_ERR/*KEY_ERR/</v>
      </c>
    </row>
    <row r="63" spans="1:18" hidden="1" outlineLevel="1" x14ac:dyDescent="0.25"/>
    <row r="64" spans="1:18" ht="39.75" customHeight="1" collapsed="1" x14ac:dyDescent="0.25">
      <c r="I64" s="20"/>
      <c r="J64" s="20"/>
      <c r="K64" s="20"/>
      <c r="L64" s="20"/>
      <c r="M64" s="20"/>
      <c r="N64" s="20"/>
      <c r="O64" s="20"/>
      <c r="P64" s="20"/>
      <c r="Q64" s="20"/>
      <c r="R64" s="20" t="s">
        <v>55</v>
      </c>
    </row>
    <row r="65" spans="1:18" ht="5.0999999999999996" customHeight="1" x14ac:dyDescent="0.25"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ht="24" customHeight="1" x14ac:dyDescent="0.25"/>
    <row r="67" spans="1:18" ht="1.5" customHeight="1" x14ac:dyDescent="0.25"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 spans="1:18" ht="5.0999999999999996" customHeight="1" x14ac:dyDescent="0.25"/>
    <row r="69" spans="1:18" ht="15.75" x14ac:dyDescent="0.25">
      <c r="J69" s="4" t="s">
        <v>20</v>
      </c>
      <c r="K69" s="3"/>
      <c r="L69" s="6" t="str">
        <f ca="1">psID</f>
        <v>*KEY_ERR</v>
      </c>
      <c r="M69" s="3"/>
      <c r="N69" s="4" t="s">
        <v>19</v>
      </c>
      <c r="P69" s="31" t="str">
        <f ca="1">B35</f>
        <v>*KEY_ERR</v>
      </c>
      <c r="Q69" s="32"/>
      <c r="R69" s="33"/>
    </row>
    <row r="70" spans="1:18" ht="5.0999999999999996" customHeight="1" x14ac:dyDescent="0.25"/>
    <row r="71" spans="1:18" ht="15.75" x14ac:dyDescent="0.25">
      <c r="J71" s="4" t="s">
        <v>52</v>
      </c>
      <c r="L71" s="26" t="str">
        <f ca="1">$B$61</f>
        <v>*KEY_ERR\Attachments\*KEY_ERR\*KEY_ERR</v>
      </c>
      <c r="M71" s="27"/>
      <c r="N71" s="27"/>
      <c r="O71" s="27"/>
      <c r="P71" s="27"/>
      <c r="Q71" s="27"/>
      <c r="R71" s="28"/>
    </row>
    <row r="72" spans="1:18" ht="5.0999999999999996" customHeight="1" x14ac:dyDescent="0.25"/>
    <row r="73" spans="1:18" x14ac:dyDescent="0.25">
      <c r="C73" s="15" t="s">
        <v>67</v>
      </c>
      <c r="D73" s="15" t="s">
        <v>68</v>
      </c>
      <c r="J73" s="4" t="s">
        <v>49</v>
      </c>
      <c r="L73" s="10" t="s">
        <v>60</v>
      </c>
    </row>
    <row r="74" spans="1:18" ht="5.0999999999999996" customHeight="1" x14ac:dyDescent="0.25"/>
    <row r="75" spans="1:18" s="14" customFormat="1" ht="36" customHeight="1" x14ac:dyDescent="0.25">
      <c r="A75" s="12" t="s">
        <v>46</v>
      </c>
      <c r="B75" s="12" t="s">
        <v>46</v>
      </c>
      <c r="C75" s="12" t="s">
        <v>47</v>
      </c>
      <c r="D75" s="12" t="s">
        <v>47</v>
      </c>
      <c r="E75" s="13" t="s">
        <v>51</v>
      </c>
      <c r="F75"/>
      <c r="G75"/>
      <c r="J75" s="21" t="s">
        <v>50</v>
      </c>
      <c r="L75" s="21" t="s">
        <v>66</v>
      </c>
      <c r="N75" s="37" t="s">
        <v>64</v>
      </c>
      <c r="O75" s="37"/>
      <c r="P75" s="37"/>
      <c r="R75" s="21" t="s">
        <v>65</v>
      </c>
    </row>
    <row r="76" spans="1:18" ht="5.0999999999999996" customHeight="1" x14ac:dyDescent="0.25">
      <c r="L76" s="7"/>
      <c r="N76" s="8"/>
      <c r="O76" s="8"/>
      <c r="P76" s="8"/>
    </row>
    <row r="77" spans="1:18" ht="45" customHeight="1" x14ac:dyDescent="0.25">
      <c r="A77" s="2" t="s">
        <v>36</v>
      </c>
      <c r="B77" s="2" t="s">
        <v>26</v>
      </c>
      <c r="C77" s="2" t="str">
        <f ca="1">IF(AND(psHLYear&lt;&gt;$B$11,psScenario&lt;&gt;$B$12),"sys_"&amp;$B77,IF(OR($B$33="unauthorised",$B$33="draft",$B$33="submitted"),$B77,"sys_"&amp;$B77))</f>
        <v>sys_Attachment 01</v>
      </c>
      <c r="D77" s="2" t="str">
        <f ca="1">IF(AND(psHLYear&lt;&gt;$B$11,psScenario&lt;&gt;$B$12),"sys_"&amp;$A77,IF(OR($B$33="unauthorised",$B$33="draft",$B$33="submitted"),$A77,"sys_"&amp;$A77))</f>
        <v>sys_Attachment 01 Desc</v>
      </c>
      <c r="E77" s="2" t="str">
        <f ca="1">IF($L77="","",$B$62&amp;$L77)</f>
        <v>*KEY_ERR/*KEY_ERR/*KEY_ERR/*KEY_ERR/*KEY_ERR</v>
      </c>
      <c r="J77" s="11" t="s">
        <v>26</v>
      </c>
      <c r="L77" s="17" t="str" cm="1">
        <f t="array" aca="1" ref="L77" ca="1">_xll.DBR($B$32,$B$45,$B$46,$B$47,$C77)</f>
        <v>*KEY_ERR</v>
      </c>
      <c r="N77" s="38" t="str" cm="1">
        <f t="array" aca="1" ref="N77" ca="1">_xll.DBR($B$32,$B$45,$B$46,$B$47,$D77)</f>
        <v>*KEY_ERR</v>
      </c>
      <c r="O77" s="39"/>
      <c r="P77" s="40"/>
      <c r="R77" s="16" t="str">
        <f ca="1">HYPERLINK($E77)</f>
        <v>*KEY_ERR/*KEY_ERR/*KEY_ERR/*KEY_ERR/*KEY_ERR</v>
      </c>
    </row>
    <row r="78" spans="1:18" ht="5.0999999999999996" customHeight="1" x14ac:dyDescent="0.25"/>
    <row r="79" spans="1:18" ht="45" customHeight="1" x14ac:dyDescent="0.25">
      <c r="A79" s="2" t="s">
        <v>37</v>
      </c>
      <c r="B79" s="2" t="s">
        <v>27</v>
      </c>
      <c r="C79" s="2" t="str">
        <f ca="1">IF(AND(psHLYear&lt;&gt;$B$11,psScenario&lt;&gt;$B$12),"sys_"&amp;$B79,IF(OR($B$33="unauthorised",$B$33="draft",$B$33="submitted"),$B79,"sys_"&amp;$B79))</f>
        <v>sys_Attachment 02</v>
      </c>
      <c r="D79" s="2" t="str">
        <f ca="1">IF(AND(psHLYear&lt;&gt;$B$11,psScenario&lt;&gt;$B$12),"sys_"&amp;$A79,IF(OR($B$33="unauthorised",$B$33="draft",$B$33="submitted"),$A79,"sys_"&amp;$A79))</f>
        <v>sys_Attachment 02 Desc</v>
      </c>
      <c r="E79" s="2" t="str">
        <f ca="1">IF($L79="","",$B$62&amp;$L79)</f>
        <v>*KEY_ERR/*KEY_ERR/*KEY_ERR/*KEY_ERR/*KEY_ERR</v>
      </c>
      <c r="J79" s="11" t="s">
        <v>27</v>
      </c>
      <c r="L79" s="17" t="str" cm="1">
        <f t="array" aca="1" ref="L79" ca="1">_xll.DBR($B$32,$B$45,$B$46,$B$47,$C79)</f>
        <v>*KEY_ERR</v>
      </c>
      <c r="M79" s="18"/>
      <c r="N79" s="38" t="str" cm="1">
        <f t="array" aca="1" ref="N79" ca="1">_xll.DBR($B$32,$B$45,$B$46,$B$47,$D79)</f>
        <v>*KEY_ERR</v>
      </c>
      <c r="O79" s="39"/>
      <c r="P79" s="40"/>
      <c r="Q79" s="18"/>
      <c r="R79" s="19" t="str">
        <f ca="1">HYPERLINK($E79)</f>
        <v>*KEY_ERR/*KEY_ERR/*KEY_ERR/*KEY_ERR/*KEY_ERR</v>
      </c>
    </row>
    <row r="80" spans="1:18" ht="5.0999999999999996" customHeight="1" x14ac:dyDescent="0.25">
      <c r="L80" s="18"/>
      <c r="M80" s="18"/>
      <c r="N80" s="18"/>
      <c r="O80" s="18"/>
      <c r="P80" s="18"/>
      <c r="Q80" s="18"/>
      <c r="R80" s="18"/>
    </row>
    <row r="81" spans="1:18" ht="45" customHeight="1" x14ac:dyDescent="0.25">
      <c r="A81" s="2" t="s">
        <v>38</v>
      </c>
      <c r="B81" s="2" t="s">
        <v>28</v>
      </c>
      <c r="C81" s="2" t="str">
        <f ca="1">IF(AND(psHLYear&lt;&gt;$B$11,psScenario&lt;&gt;$B$12),"sys_"&amp;$B81,IF(OR($B$33="unauthorised",$B$33="draft",$B$33="submitted"),$B81,"sys_"&amp;$B81))</f>
        <v>sys_Attachment 03</v>
      </c>
      <c r="D81" s="2" t="str">
        <f ca="1">IF(AND(psHLYear&lt;&gt;$B$11,psScenario&lt;&gt;$B$12),"sys_"&amp;$A81,IF(OR($B$33="unauthorised",$B$33="draft",$B$33="submitted"),$A81,"sys_"&amp;$A81))</f>
        <v>sys_Attachment 03 Desc</v>
      </c>
      <c r="E81" s="2" t="str">
        <f ca="1">IF($L81="","",$B$62&amp;$L81)</f>
        <v>*KEY_ERR/*KEY_ERR/*KEY_ERR/*KEY_ERR/*KEY_ERR</v>
      </c>
      <c r="J81" s="11" t="s">
        <v>28</v>
      </c>
      <c r="L81" s="17" t="str" cm="1">
        <f t="array" aca="1" ref="L81" ca="1">_xll.DBR($B$32,$B$45,$B$46,$B$47,$C81)</f>
        <v>*KEY_ERR</v>
      </c>
      <c r="M81" s="18"/>
      <c r="N81" s="38" t="str" cm="1">
        <f t="array" aca="1" ref="N81" ca="1">_xll.DBR($B$32,$B$45,$B$46,$B$47,$D81)</f>
        <v>*KEY_ERR</v>
      </c>
      <c r="O81" s="39"/>
      <c r="P81" s="40"/>
      <c r="Q81" s="18"/>
      <c r="R81" s="19" t="str">
        <f ca="1">HYPERLINK($E81)</f>
        <v>*KEY_ERR/*KEY_ERR/*KEY_ERR/*KEY_ERR/*KEY_ERR</v>
      </c>
    </row>
    <row r="82" spans="1:18" ht="5.0999999999999996" customHeight="1" x14ac:dyDescent="0.25">
      <c r="L82" s="18"/>
      <c r="M82" s="18"/>
      <c r="N82" s="18"/>
      <c r="O82" s="18"/>
      <c r="P82" s="18"/>
      <c r="Q82" s="18"/>
      <c r="R82" s="18"/>
    </row>
    <row r="83" spans="1:18" ht="45" customHeight="1" x14ac:dyDescent="0.25">
      <c r="A83" s="2" t="s">
        <v>39</v>
      </c>
      <c r="B83" s="2" t="s">
        <v>29</v>
      </c>
      <c r="C83" s="2" t="str">
        <f ca="1">IF(AND(psHLYear&lt;&gt;$B$11,psScenario&lt;&gt;$B$12),"sys_"&amp;$B83,IF(OR($B$33="unauthorised",$B$33="draft",$B$33="submitted"),$B83,"sys_"&amp;$B83))</f>
        <v>sys_Attachment 04</v>
      </c>
      <c r="D83" s="2" t="str">
        <f ca="1">IF(AND(psHLYear&lt;&gt;$B$11,psScenario&lt;&gt;$B$12),"sys_"&amp;$A83,IF(OR($B$33="unauthorised",$B$33="draft",$B$33="submitted"),$A83,"sys_"&amp;$A83))</f>
        <v>sys_Attachment 04 Desc</v>
      </c>
      <c r="E83" s="2" t="str">
        <f ca="1">IF($L83="","",$B$62&amp;$L83)</f>
        <v>*KEY_ERR/*KEY_ERR/*KEY_ERR/*KEY_ERR/*KEY_ERR</v>
      </c>
      <c r="J83" s="11" t="s">
        <v>29</v>
      </c>
      <c r="L83" s="17" t="str" cm="1">
        <f t="array" aca="1" ref="L83" ca="1">_xll.DBR($B$32,$B$45,$B$46,$B$47,$C83)</f>
        <v>*KEY_ERR</v>
      </c>
      <c r="M83" s="18"/>
      <c r="N83" s="38" t="str" cm="1">
        <f t="array" aca="1" ref="N83" ca="1">_xll.DBR($B$32,$B$45,$B$46,$B$47,$D83)</f>
        <v>*KEY_ERR</v>
      </c>
      <c r="O83" s="39"/>
      <c r="P83" s="40"/>
      <c r="Q83" s="18"/>
      <c r="R83" s="19" t="str">
        <f ca="1">HYPERLINK($E83)</f>
        <v>*KEY_ERR/*KEY_ERR/*KEY_ERR/*KEY_ERR/*KEY_ERR</v>
      </c>
    </row>
    <row r="84" spans="1:18" ht="5.0999999999999996" customHeight="1" x14ac:dyDescent="0.25">
      <c r="L84" s="18"/>
      <c r="M84" s="18"/>
      <c r="N84" s="18"/>
      <c r="O84" s="18"/>
      <c r="P84" s="18"/>
      <c r="Q84" s="18"/>
      <c r="R84" s="18"/>
    </row>
    <row r="85" spans="1:18" ht="45" customHeight="1" x14ac:dyDescent="0.25">
      <c r="A85" s="2" t="s">
        <v>40</v>
      </c>
      <c r="B85" s="2" t="s">
        <v>30</v>
      </c>
      <c r="C85" s="2" t="str">
        <f ca="1">IF(AND(psHLYear&lt;&gt;$B$11,psScenario&lt;&gt;$B$12),"sys_"&amp;$B85,IF(OR($B$33="unauthorised",$B$33="draft",$B$33="submitted"),$B85,"sys_"&amp;$B85))</f>
        <v>sys_Attachment 05</v>
      </c>
      <c r="D85" s="2" t="str">
        <f ca="1">IF(AND(psHLYear&lt;&gt;$B$11,psScenario&lt;&gt;$B$12),"sys_"&amp;$A85,IF(OR($B$33="unauthorised",$B$33="draft",$B$33="submitted"),$A85,"sys_"&amp;$A85))</f>
        <v>sys_Attachment 05 Desc</v>
      </c>
      <c r="E85" s="2" t="str">
        <f ca="1">IF($L85="","",$B$62&amp;$L85)</f>
        <v>*KEY_ERR/*KEY_ERR/*KEY_ERR/*KEY_ERR/*KEY_ERR</v>
      </c>
      <c r="J85" s="11" t="s">
        <v>30</v>
      </c>
      <c r="L85" s="17" t="str" cm="1">
        <f t="array" aca="1" ref="L85" ca="1">_xll.DBR($B$32,$B$45,$B$46,$B$47,$C85)</f>
        <v>*KEY_ERR</v>
      </c>
      <c r="M85" s="18"/>
      <c r="N85" s="38" t="str" cm="1">
        <f t="array" aca="1" ref="N85" ca="1">_xll.DBR($B$32,$B$45,$B$46,$B$47,$D85)</f>
        <v>*KEY_ERR</v>
      </c>
      <c r="O85" s="39"/>
      <c r="P85" s="40"/>
      <c r="Q85" s="18"/>
      <c r="R85" s="19" t="str">
        <f ca="1">HYPERLINK($E85)</f>
        <v>*KEY_ERR/*KEY_ERR/*KEY_ERR/*KEY_ERR/*KEY_ERR</v>
      </c>
    </row>
    <row r="86" spans="1:18" ht="5.0999999999999996" customHeight="1" x14ac:dyDescent="0.25">
      <c r="L86" s="18"/>
      <c r="M86" s="18"/>
      <c r="N86" s="18"/>
      <c r="O86" s="18"/>
      <c r="P86" s="18"/>
      <c r="Q86" s="18"/>
      <c r="R86" s="18"/>
    </row>
    <row r="87" spans="1:18" ht="45" customHeight="1" x14ac:dyDescent="0.25">
      <c r="A87" s="2" t="s">
        <v>41</v>
      </c>
      <c r="B87" s="2" t="s">
        <v>31</v>
      </c>
      <c r="C87" s="2" t="str">
        <f ca="1">IF(AND(psHLYear&lt;&gt;$B$11,psScenario&lt;&gt;$B$12),"sys_"&amp;$B87,IF(OR($B$33="unauthorised",$B$33="draft",$B$33="submitted"),$B87,"sys_"&amp;$B87))</f>
        <v>sys_Attachment 06</v>
      </c>
      <c r="D87" s="2" t="str">
        <f ca="1">IF(AND(psHLYear&lt;&gt;$B$11,psScenario&lt;&gt;$B$12),"sys_"&amp;$A87,IF(OR($B$33="unauthorised",$B$33="draft",$B$33="submitted"),$A87,"sys_"&amp;$A87))</f>
        <v>sys_Attachment 06 Desc</v>
      </c>
      <c r="E87" s="2" t="str">
        <f ca="1">IF($L87="","",$B$62&amp;$L87)</f>
        <v>*KEY_ERR/*KEY_ERR/*KEY_ERR/*KEY_ERR/*KEY_ERR</v>
      </c>
      <c r="J87" s="11" t="s">
        <v>31</v>
      </c>
      <c r="L87" s="17" t="str" cm="1">
        <f t="array" aca="1" ref="L87" ca="1">_xll.DBR($B$32,$B$45,$B$46,$B$47,$C87)</f>
        <v>*KEY_ERR</v>
      </c>
      <c r="M87" s="18"/>
      <c r="N87" s="38" t="str" cm="1">
        <f t="array" aca="1" ref="N87" ca="1">_xll.DBR($B$32,$B$45,$B$46,$B$47,$D87)</f>
        <v>*KEY_ERR</v>
      </c>
      <c r="O87" s="39"/>
      <c r="P87" s="40"/>
      <c r="Q87" s="18"/>
      <c r="R87" s="19" t="str">
        <f ca="1">HYPERLINK($E87)</f>
        <v>*KEY_ERR/*KEY_ERR/*KEY_ERR/*KEY_ERR/*KEY_ERR</v>
      </c>
    </row>
    <row r="88" spans="1:18" ht="5.0999999999999996" customHeight="1" x14ac:dyDescent="0.25">
      <c r="L88" s="18"/>
      <c r="M88" s="18"/>
      <c r="N88" s="18"/>
      <c r="O88" s="18"/>
      <c r="P88" s="18"/>
      <c r="Q88" s="18"/>
      <c r="R88" s="18"/>
    </row>
    <row r="89" spans="1:18" ht="45" customHeight="1" x14ac:dyDescent="0.25">
      <c r="A89" s="2" t="s">
        <v>42</v>
      </c>
      <c r="B89" s="2" t="s">
        <v>32</v>
      </c>
      <c r="C89" s="2" t="str">
        <f ca="1">IF(AND(psHLYear&lt;&gt;$B$11,psScenario&lt;&gt;$B$12),"sys_"&amp;$B89,IF(OR($B$33="unauthorised",$B$33="draft",$B$33="submitted"),$B89,"sys_"&amp;$B89))</f>
        <v>sys_Attachment 07</v>
      </c>
      <c r="D89" s="2" t="str">
        <f ca="1">IF(AND(psHLYear&lt;&gt;$B$11,psScenario&lt;&gt;$B$12),"sys_"&amp;$A89,IF(OR($B$33="unauthorised",$B$33="draft",$B$33="submitted"),$A89,"sys_"&amp;$A89))</f>
        <v>sys_Attachment 07 Desc</v>
      </c>
      <c r="E89" s="2" t="str">
        <f ca="1">IF($L89="","",$B$62&amp;$L89)</f>
        <v>*KEY_ERR/*KEY_ERR/*KEY_ERR/*KEY_ERR/*KEY_ERR</v>
      </c>
      <c r="J89" s="11" t="s">
        <v>32</v>
      </c>
      <c r="L89" s="17" t="str" cm="1">
        <f t="array" aca="1" ref="L89" ca="1">_xll.DBR($B$32,$B$45,$B$46,$B$47,$C89)</f>
        <v>*KEY_ERR</v>
      </c>
      <c r="M89" s="18"/>
      <c r="N89" s="38" t="str" cm="1">
        <f t="array" aca="1" ref="N89" ca="1">_xll.DBR($B$32,$B$45,$B$46,$B$47,$D89)</f>
        <v>*KEY_ERR</v>
      </c>
      <c r="O89" s="39"/>
      <c r="P89" s="40"/>
      <c r="Q89" s="18"/>
      <c r="R89" s="19" t="str">
        <f ca="1">HYPERLINK($E89)</f>
        <v>*KEY_ERR/*KEY_ERR/*KEY_ERR/*KEY_ERR/*KEY_ERR</v>
      </c>
    </row>
    <row r="90" spans="1:18" ht="5.0999999999999996" customHeight="1" x14ac:dyDescent="0.25">
      <c r="L90" s="18"/>
      <c r="M90" s="18"/>
      <c r="N90" s="18"/>
      <c r="O90" s="18"/>
      <c r="P90" s="18"/>
      <c r="Q90" s="18"/>
      <c r="R90" s="18"/>
    </row>
    <row r="91" spans="1:18" ht="45" customHeight="1" x14ac:dyDescent="0.25">
      <c r="A91" s="2" t="s">
        <v>43</v>
      </c>
      <c r="B91" s="2" t="s">
        <v>33</v>
      </c>
      <c r="C91" s="2" t="str">
        <f ca="1">IF(AND(psHLYear&lt;&gt;$B$11,psScenario&lt;&gt;$B$12),"sys_"&amp;$B91,IF(OR($B$33="unauthorised",$B$33="draft",$B$33="submitted"),$B91,"sys_"&amp;$B91))</f>
        <v>sys_Attachment 08</v>
      </c>
      <c r="D91" s="2" t="str">
        <f ca="1">IF(AND(psHLYear&lt;&gt;$B$11,psScenario&lt;&gt;$B$12),"sys_"&amp;$A91,IF(OR($B$33="unauthorised",$B$33="draft",$B$33="submitted"),$A91,"sys_"&amp;$A91))</f>
        <v>sys_Attachment 08 Desc</v>
      </c>
      <c r="E91" s="2" t="str">
        <f ca="1">IF($L91="","",$B$62&amp;$L91)</f>
        <v>*KEY_ERR/*KEY_ERR/*KEY_ERR/*KEY_ERR/*KEY_ERR</v>
      </c>
      <c r="J91" s="11" t="s">
        <v>33</v>
      </c>
      <c r="L91" s="17" t="str" cm="1">
        <f t="array" aca="1" ref="L91" ca="1">_xll.DBR($B$32,$B$45,$B$46,$B$47,$C91)</f>
        <v>*KEY_ERR</v>
      </c>
      <c r="M91" s="18"/>
      <c r="N91" s="38" t="str" cm="1">
        <f t="array" aca="1" ref="N91" ca="1">_xll.DBR($B$32,$B$45,$B$46,$B$47,$D91)</f>
        <v>*KEY_ERR</v>
      </c>
      <c r="O91" s="39"/>
      <c r="P91" s="40"/>
      <c r="Q91" s="18"/>
      <c r="R91" s="19" t="str">
        <f ca="1">HYPERLINK($E91)</f>
        <v>*KEY_ERR/*KEY_ERR/*KEY_ERR/*KEY_ERR/*KEY_ERR</v>
      </c>
    </row>
    <row r="92" spans="1:18" ht="5.0999999999999996" customHeight="1" x14ac:dyDescent="0.25">
      <c r="L92" s="18"/>
      <c r="M92" s="18"/>
      <c r="N92" s="18"/>
      <c r="O92" s="18"/>
      <c r="P92" s="18"/>
      <c r="Q92" s="18"/>
      <c r="R92" s="18"/>
    </row>
    <row r="93" spans="1:18" ht="45" customHeight="1" x14ac:dyDescent="0.25">
      <c r="A93" s="2" t="s">
        <v>44</v>
      </c>
      <c r="B93" s="2" t="s">
        <v>34</v>
      </c>
      <c r="C93" s="2" t="str">
        <f ca="1">IF(AND(psHLYear&lt;&gt;$B$11,psScenario&lt;&gt;$B$12),"sys_"&amp;$B93,IF(OR($B$33="unauthorised",$B$33="draft",$B$33="submitted"),$B93,"sys_"&amp;$B93))</f>
        <v>sys_Attachment 09</v>
      </c>
      <c r="D93" s="2" t="str">
        <f ca="1">IF(AND(psHLYear&lt;&gt;$B$11,psScenario&lt;&gt;$B$12),"sys_"&amp;$A93,IF(OR($B$33="unauthorised",$B$33="draft",$B$33="submitted"),$A93,"sys_"&amp;$A93))</f>
        <v>sys_Attachment 09 Desc</v>
      </c>
      <c r="E93" s="2" t="str">
        <f ca="1">IF($L93="","",$B$62&amp;$L93)</f>
        <v>*KEY_ERR/*KEY_ERR/*KEY_ERR/*KEY_ERR/*KEY_ERR</v>
      </c>
      <c r="J93" s="11" t="s">
        <v>34</v>
      </c>
      <c r="L93" s="17" t="str" cm="1">
        <f t="array" aca="1" ref="L93" ca="1">_xll.DBR($B$32,$B$45,$B$46,$B$47,$C93)</f>
        <v>*KEY_ERR</v>
      </c>
      <c r="M93" s="18"/>
      <c r="N93" s="38" t="str" cm="1">
        <f t="array" aca="1" ref="N93" ca="1">_xll.DBR($B$32,$B$45,$B$46,$B$47,$D93)</f>
        <v>*KEY_ERR</v>
      </c>
      <c r="O93" s="39"/>
      <c r="P93" s="40"/>
      <c r="Q93" s="18"/>
      <c r="R93" s="19" t="str">
        <f ca="1">HYPERLINK($E93)</f>
        <v>*KEY_ERR/*KEY_ERR/*KEY_ERR/*KEY_ERR/*KEY_ERR</v>
      </c>
    </row>
    <row r="94" spans="1:18" ht="5.0999999999999996" customHeight="1" x14ac:dyDescent="0.25">
      <c r="L94" s="18"/>
      <c r="M94" s="18"/>
      <c r="N94" s="18"/>
      <c r="O94" s="18"/>
      <c r="P94" s="18"/>
      <c r="Q94" s="18"/>
      <c r="R94" s="18"/>
    </row>
    <row r="95" spans="1:18" ht="45" customHeight="1" x14ac:dyDescent="0.25">
      <c r="A95" s="2" t="s">
        <v>45</v>
      </c>
      <c r="B95" s="2" t="s">
        <v>35</v>
      </c>
      <c r="C95" s="2" t="str">
        <f ca="1">IF(AND(psHLYear&lt;&gt;$B$11,psScenario&lt;&gt;$B$12),"sys_"&amp;$B95,IF(OR($B$33="unauthorised",$B$33="draft",$B$33="submitted"),$B95,"sys_"&amp;$B95))</f>
        <v>sys_Attachment 10</v>
      </c>
      <c r="D95" s="2" t="str">
        <f ca="1">IF(AND(psHLYear&lt;&gt;$B$11,psScenario&lt;&gt;$B$12),"sys_"&amp;$A95,IF(OR($B$33="unauthorised",$B$33="draft",$B$33="submitted"),$A95,"sys_"&amp;$A95))</f>
        <v>sys_Attachment 10 Desc</v>
      </c>
      <c r="E95" s="2" t="str">
        <f ca="1">IF($L95="","",$B$62&amp;$L95)</f>
        <v>*KEY_ERR/*KEY_ERR/*KEY_ERR/*KEY_ERR/*KEY_ERR</v>
      </c>
      <c r="J95" s="11" t="s">
        <v>35</v>
      </c>
      <c r="L95" s="17" t="str" cm="1">
        <f t="array" aca="1" ref="L95" ca="1">_xll.DBR($B$32,$B$45,$B$46,$B$47,$C95)</f>
        <v>*KEY_ERR</v>
      </c>
      <c r="M95" s="18"/>
      <c r="N95" s="38" t="str" cm="1">
        <f t="array" aca="1" ref="N95" ca="1">_xll.DBR($B$32,$B$45,$B$46,$B$47,$D95)</f>
        <v>*KEY_ERR</v>
      </c>
      <c r="O95" s="39"/>
      <c r="P95" s="40"/>
      <c r="Q95" s="18"/>
      <c r="R95" s="19" t="str">
        <f ca="1">HYPERLINK($E95)</f>
        <v>*KEY_ERR/*KEY_ERR/*KEY_ERR/*KEY_ERR/*KEY_ERR</v>
      </c>
    </row>
  </sheetData>
  <sheetProtection sheet="1" objects="1" scenarios="1"/>
  <mergeCells count="19">
    <mergeCell ref="N95:P95"/>
    <mergeCell ref="N85:P85"/>
    <mergeCell ref="N87:P87"/>
    <mergeCell ref="N89:P89"/>
    <mergeCell ref="N91:P91"/>
    <mergeCell ref="N93:P93"/>
    <mergeCell ref="N75:P75"/>
    <mergeCell ref="N77:P77"/>
    <mergeCell ref="N79:P79"/>
    <mergeCell ref="N81:P81"/>
    <mergeCell ref="N83:P83"/>
    <mergeCell ref="L71:R71"/>
    <mergeCell ref="A54:B54"/>
    <mergeCell ref="P69:R69"/>
    <mergeCell ref="A1:B1"/>
    <mergeCell ref="A9:B9"/>
    <mergeCell ref="A42:B42"/>
    <mergeCell ref="A31:B31"/>
    <mergeCell ref="A15:C15"/>
  </mergeCells>
  <pageMargins left="0.39370078740157483" right="0.39370078740157483" top="0.39370078740157483" bottom="0.39370078740157483" header="0.31496062992125984" footer="0.31496062992125984"/>
  <pageSetup paperSize="9" scale="55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5" r:id="rId4" name="TIButton1">
          <controlPr defaultSize="0" print="0" autoLine="0" r:id="rId5">
            <anchor moveWithCells="1" sizeWithCells="1">
              <from>
                <xdr:col>9</xdr:col>
                <xdr:colOff>828675</xdr:colOff>
                <xdr:row>65</xdr:row>
                <xdr:rowOff>0</xdr:rowOff>
              </from>
              <to>
                <xdr:col>11</xdr:col>
                <xdr:colOff>381000</xdr:colOff>
                <xdr:row>65</xdr:row>
                <xdr:rowOff>247650</xdr:rowOff>
              </to>
            </anchor>
          </controlPr>
        </control>
      </mc:Choice>
      <mc:Fallback>
        <control shapeId="1035" r:id="rId4" name="TIButton1"/>
      </mc:Fallback>
    </mc:AlternateContent>
    <mc:AlternateContent xmlns:mc="http://schemas.openxmlformats.org/markup-compatibility/2006">
      <mc:Choice Requires="x14">
        <control shapeId="1036" r:id="rId6" name="TIButton2">
          <controlPr defaultSize="0" print="0" autoLine="0" r:id="rId7">
            <anchor moveWithCells="1" sizeWithCells="1">
              <from>
                <xdr:col>8</xdr:col>
                <xdr:colOff>76200</xdr:colOff>
                <xdr:row>65</xdr:row>
                <xdr:rowOff>0</xdr:rowOff>
              </from>
              <to>
                <xdr:col>9</xdr:col>
                <xdr:colOff>781050</xdr:colOff>
                <xdr:row>65</xdr:row>
                <xdr:rowOff>247650</xdr:rowOff>
              </to>
            </anchor>
          </controlPr>
        </control>
      </mc:Choice>
      <mc:Fallback>
        <control shapeId="1036" r:id="rId6" name="TI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attachment</vt:lpstr>
      <vt:lpstr>db_name</vt:lpstr>
      <vt:lpstr>psApp</vt:lpstr>
      <vt:lpstr>psHLYear</vt:lpstr>
      <vt:lpstr>psID</vt:lpstr>
      <vt:lpstr>psScenario</vt:lpstr>
      <vt:lpstr>psStatus</vt:lpstr>
      <vt:lpstr>psUser</vt:lpstr>
      <vt:lpstr>TM1AdjIDListCAP</vt:lpstr>
      <vt:lpstr>TM1AdjIDListWB</vt:lpstr>
      <vt:lpstr>TM1AdjIDListWS</vt:lpstr>
      <vt:lpstr>TM1BackToAdjWB</vt:lpstr>
      <vt:lpstr>TM1BackToAdjWS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TM1UploadTempCAP</vt:lpstr>
      <vt:lpstr>TM1UploadTempWB</vt:lpstr>
      <vt:lpstr>TM1UploadTempWS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ian0404</dc:creator>
  <cp:lastModifiedBy>Xin HE</cp:lastModifiedBy>
  <cp:lastPrinted>2016-11-30T03:19:19Z</cp:lastPrinted>
  <dcterms:created xsi:type="dcterms:W3CDTF">2015-09-15T04:18:27Z</dcterms:created>
  <dcterms:modified xsi:type="dcterms:W3CDTF">2025-08-05T04:38:44Z</dcterms:modified>
  <cp:category>Applications\GBMS\GBMS Lite\Data Entry\new adj 98 - attachments.xlsx</cp:category>
</cp:coreProperties>
</file>