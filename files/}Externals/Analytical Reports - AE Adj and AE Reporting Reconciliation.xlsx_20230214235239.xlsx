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643AD451-AA62-4006-9189-C85549D52899}" xr6:coauthVersionLast="47" xr6:coauthVersionMax="47" xr10:uidLastSave="{00000000-0000-0000-0000-000000000000}"/>
  <bookViews>
    <workbookView xWindow="29580" yWindow="780" windowWidth="21600" windowHeight="11385" xr2:uid="{E3B6BB73-054F-4AF9-AAE1-4657C4FDE64A}"/>
  </bookViews>
  <sheets>
    <sheet name="reco" sheetId="1" r:id="rId1"/>
  </sheets>
  <definedNames>
    <definedName name="cbAE">reco!$C$46</definedName>
    <definedName name="cbRpt">reco!$C$51</definedName>
    <definedName name="curHLYear">reco!$C$21</definedName>
    <definedName name="curScenario">reco!$C$22</definedName>
    <definedName name="db_name">reco!$C$11</definedName>
    <definedName name="psApp">reco!$C$29</definedName>
    <definedName name="psSourceHLYear">reco!$L$96</definedName>
    <definedName name="psSourceScenario">reco!$L$97</definedName>
    <definedName name="psTargetMeas">reco!$C$76</definedName>
    <definedName name="psUser">reco!$C$13</definedName>
    <definedName name="psYr1">reco!$L$83</definedName>
    <definedName name="psYr2">reco!$M$83</definedName>
    <definedName name="psYr3">reco!$N$83</definedName>
    <definedName name="psYr4">reco!$O$83</definedName>
    <definedName name="psYr5">reco!$P$83</definedName>
    <definedName name="TM1AnalRptARTRecoCAP">reco!$D$40</definedName>
    <definedName name="TM1AnalRptARTRecoWB">reco!$F$40</definedName>
    <definedName name="TM1AnalRptARTRecoWS">reco!$H$40</definedName>
    <definedName name="TM1AnalRptDashboardCAP">reco!$D$39</definedName>
    <definedName name="TM1AnalRptDashboardWB">reco!$F$39</definedName>
    <definedName name="TM1AnalRptDashboardWS">reco!$H$39</definedName>
    <definedName name="TM1AnalRptExportToCSVCAP">reco!$D$41</definedName>
    <definedName name="TM1AnalRptExportToCSVWB">reco!$F$41</definedName>
    <definedName name="TM1AnalRptExportToCSVWS">reco!$H$41</definedName>
    <definedName name="TM1AnalRptRecoCAP">reco!$D$38</definedName>
    <definedName name="TM1AnalRptRecoWB">reco!$F$38</definedName>
    <definedName name="TM1AnalRptRecoWS">reco!$H$38</definedName>
    <definedName name="TM1AnalRptRepAdjRecoCAP">reco!$D$37</definedName>
    <definedName name="TM1AnalRptRepAdjRecoWB">reco!$F$37</definedName>
    <definedName name="TM1AnalRptRepAdjRecoWS">reco!$H$37</definedName>
    <definedName name="TM1AnalRptRepStageMaintCAP">reco!$D$42</definedName>
    <definedName name="TM1AnalRptRepStageMaintWB">reco!$F$42</definedName>
    <definedName name="TM1AnalRptRepStageMaintWS">reco!$H$42</definedName>
    <definedName name="TM1AnalRptTransCAP">reco!$D$36</definedName>
    <definedName name="TM1AnalRptTransWB">reco!$F$36</definedName>
    <definedName name="TM1AnalRptTransWS">reco!$H$36</definedName>
    <definedName name="TM1HomeAECAP">reco!$D$32</definedName>
    <definedName name="TM1HomeAEWB">reco!$F$32</definedName>
    <definedName name="TM1HomeAEWS">reco!$H$32</definedName>
    <definedName name="TM1HomeCAP">reco!$D$31</definedName>
    <definedName name="TM1HomeRepAnalyticalCAP">reco!$D$35</definedName>
    <definedName name="TM1HomeRepAnalyticalWB">reco!$F$35</definedName>
    <definedName name="TM1HomeRepAnalyticalWS">reco!$H$35</definedName>
    <definedName name="TM1HomeRepCAP">reco!$D$33</definedName>
    <definedName name="TM1HomeRepOtherCAP">reco!$D$34</definedName>
    <definedName name="TM1HomeRepOtherWB">reco!$F$34</definedName>
    <definedName name="TM1HomeRepOtherWS">reco!$H$34</definedName>
    <definedName name="TM1HomeRepWB">reco!$F$33</definedName>
    <definedName name="TM1HomeRepWS">reco!$H$33</definedName>
    <definedName name="TM1HomeWB">reco!$F$31</definedName>
    <definedName name="TM1HomeWS">reco!$H$31</definedName>
    <definedName name="TM1REBUILDOPTION">1</definedName>
    <definedName name="TM1RPTDATARNG3" localSheetId="0">reco!$124:$124</definedName>
    <definedName name="TM1RPTDATARNGARPT1" localSheetId="0">reco!$201:$201</definedName>
    <definedName name="TM1RPTFMTIDCOL" localSheetId="0">reco!$A$1:$A$8</definedName>
    <definedName name="TM1RPTFMTRNG" localSheetId="0">reco!$B$1:$AE$8</definedName>
    <definedName name="TM1ViewAdj01HeaderCAP">reco!$D$43</definedName>
    <definedName name="TM1ViewAdj01HeaderWB">reco!$F$43</definedName>
    <definedName name="TM1ViewAdj01HeaderWS">reco!$H$43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19" i="1" a="1"/>
  <c r="C19" i="1"/>
  <c r="C21" i="1" a="1"/>
  <c r="C21" i="1"/>
  <c r="L96" i="1" a="1"/>
  <c r="L96" i="1"/>
  <c r="C22" i="1" a="1"/>
  <c r="C22" i="1"/>
  <c r="L97" i="1" a="1"/>
  <c r="L97" i="1"/>
  <c r="C25" i="1" a="1"/>
  <c r="C25" i="1"/>
  <c r="L98" i="1"/>
  <c r="C75" i="1" a="1"/>
  <c r="C75" i="1"/>
  <c r="C63" i="1" a="1"/>
  <c r="C63" i="1"/>
  <c r="C64" i="1" a="1"/>
  <c r="C65" i="1" a="1"/>
  <c r="C66" i="1" a="1"/>
  <c r="C67" i="1" a="1"/>
  <c r="C68" i="1" a="1"/>
  <c r="C69" i="1" a="1"/>
  <c r="C70" i="1" a="1"/>
  <c r="C73" i="1" a="1"/>
  <c r="C71" i="1" a="1"/>
  <c r="L99" i="1" a="1"/>
  <c r="C74" i="1" a="1"/>
  <c r="C72" i="1" a="1"/>
  <c r="C76" i="1" a="1"/>
  <c r="C64" i="1"/>
  <c r="C65" i="1"/>
  <c r="C66" i="1"/>
  <c r="C67" i="1"/>
  <c r="C68" i="1"/>
  <c r="C69" i="1"/>
  <c r="C70" i="1"/>
  <c r="C73" i="1"/>
  <c r="C71" i="1"/>
  <c r="L99" i="1"/>
  <c r="C74" i="1"/>
  <c r="C72" i="1"/>
  <c r="C76" i="1"/>
  <c r="C53" i="1" a="1"/>
  <c r="C53" i="1"/>
  <c r="P96" i="1" a="1"/>
  <c r="P96" i="1"/>
  <c r="C47" i="1" a="1"/>
  <c r="C47" i="1"/>
  <c r="L100" i="1" a="1"/>
  <c r="L100" i="1"/>
  <c r="C58" i="1"/>
  <c r="K124" i="1" a="1"/>
  <c r="K124" i="1"/>
  <c r="R124" i="1"/>
  <c r="P83" i="1" a="1"/>
  <c r="P83" i="1"/>
  <c r="W123" i="1"/>
  <c r="W124" i="1" a="1"/>
  <c r="W124" i="1"/>
  <c r="O83" i="1" a="1"/>
  <c r="O83" i="1"/>
  <c r="V123" i="1"/>
  <c r="V124" i="1" a="1"/>
  <c r="V124" i="1"/>
  <c r="N83" i="1" a="1"/>
  <c r="N83" i="1"/>
  <c r="U123" i="1"/>
  <c r="U124" i="1" a="1"/>
  <c r="U124" i="1"/>
  <c r="M83" i="1" a="1"/>
  <c r="M83" i="1"/>
  <c r="T123" i="1"/>
  <c r="T124" i="1" a="1"/>
  <c r="T124" i="1"/>
  <c r="L83" i="1" a="1"/>
  <c r="L83" i="1"/>
  <c r="S123" i="1"/>
  <c r="S124" i="1" a="1"/>
  <c r="S124" i="1"/>
  <c r="P123" i="1"/>
  <c r="P124" i="1" a="1"/>
  <c r="P124" i="1"/>
  <c r="O123" i="1"/>
  <c r="O124" i="1" a="1"/>
  <c r="O124" i="1"/>
  <c r="N123" i="1"/>
  <c r="N124" i="1" a="1"/>
  <c r="N124" i="1"/>
  <c r="M123" i="1"/>
  <c r="M124" i="1" a="1"/>
  <c r="M124" i="1"/>
  <c r="L123" i="1"/>
  <c r="L124" i="1" a="1"/>
  <c r="L124" i="1"/>
  <c r="A124" i="1" a="1"/>
  <c r="A124" i="1"/>
  <c r="R117" i="1"/>
  <c r="W106" i="1"/>
  <c r="W117" i="1" a="1"/>
  <c r="W117" i="1"/>
  <c r="V106" i="1"/>
  <c r="V117" i="1" a="1"/>
  <c r="V117" i="1"/>
  <c r="U106" i="1"/>
  <c r="U117" i="1" a="1"/>
  <c r="U117" i="1"/>
  <c r="T106" i="1"/>
  <c r="T117" i="1" a="1"/>
  <c r="T117" i="1"/>
  <c r="S106" i="1"/>
  <c r="S117" i="1" a="1"/>
  <c r="S117" i="1"/>
  <c r="C50" i="1" a="1"/>
  <c r="C50" i="1"/>
  <c r="P106" i="1"/>
  <c r="P117" i="1" a="1"/>
  <c r="P117" i="1"/>
  <c r="O106" i="1"/>
  <c r="O117" i="1" a="1"/>
  <c r="O117" i="1"/>
  <c r="N106" i="1"/>
  <c r="N117" i="1" a="1"/>
  <c r="N117" i="1"/>
  <c r="M106" i="1"/>
  <c r="M117" i="1" a="1"/>
  <c r="M117" i="1"/>
  <c r="L106" i="1"/>
  <c r="L117" i="1" a="1"/>
  <c r="L117" i="1"/>
  <c r="R116" i="1"/>
  <c r="W116" i="1" a="1"/>
  <c r="W116" i="1"/>
  <c r="V116" i="1" a="1"/>
  <c r="V116" i="1"/>
  <c r="U116" i="1" a="1"/>
  <c r="U116" i="1"/>
  <c r="T116" i="1" a="1"/>
  <c r="T116" i="1"/>
  <c r="S116" i="1" a="1"/>
  <c r="S116" i="1"/>
  <c r="P116" i="1" a="1"/>
  <c r="P116" i="1"/>
  <c r="O116" i="1" a="1"/>
  <c r="O116" i="1"/>
  <c r="N116" i="1" a="1"/>
  <c r="N116" i="1"/>
  <c r="M116" i="1" a="1"/>
  <c r="M116" i="1"/>
  <c r="L116" i="1" a="1"/>
  <c r="L116" i="1"/>
  <c r="R115" i="1"/>
  <c r="W115" i="1" a="1"/>
  <c r="W115" i="1"/>
  <c r="V115" i="1" a="1"/>
  <c r="V115" i="1"/>
  <c r="U115" i="1" a="1"/>
  <c r="U115" i="1"/>
  <c r="T115" i="1" a="1"/>
  <c r="T115" i="1"/>
  <c r="S115" i="1" a="1"/>
  <c r="S115" i="1"/>
  <c r="P115" i="1" a="1"/>
  <c r="P115" i="1"/>
  <c r="O115" i="1" a="1"/>
  <c r="O115" i="1"/>
  <c r="N115" i="1" a="1"/>
  <c r="N115" i="1"/>
  <c r="M115" i="1" a="1"/>
  <c r="M115" i="1"/>
  <c r="L115" i="1" a="1"/>
  <c r="L115" i="1"/>
  <c r="R114" i="1"/>
  <c r="W114" i="1" a="1"/>
  <c r="W114" i="1"/>
  <c r="V114" i="1" a="1"/>
  <c r="V114" i="1"/>
  <c r="U114" i="1" a="1"/>
  <c r="U114" i="1"/>
  <c r="T114" i="1" a="1"/>
  <c r="T114" i="1"/>
  <c r="S114" i="1" a="1"/>
  <c r="S114" i="1"/>
  <c r="P114" i="1" a="1"/>
  <c r="P114" i="1"/>
  <c r="O114" i="1" a="1"/>
  <c r="O114" i="1"/>
  <c r="N114" i="1" a="1"/>
  <c r="N114" i="1"/>
  <c r="M114" i="1" a="1"/>
  <c r="M114" i="1"/>
  <c r="L114" i="1" a="1"/>
  <c r="L114" i="1"/>
  <c r="R112" i="1"/>
  <c r="W112" i="1" a="1"/>
  <c r="W112" i="1"/>
  <c r="V112" i="1" a="1"/>
  <c r="V112" i="1"/>
  <c r="U112" i="1" a="1"/>
  <c r="U112" i="1"/>
  <c r="T112" i="1" a="1"/>
  <c r="T112" i="1"/>
  <c r="S112" i="1" a="1"/>
  <c r="S112" i="1"/>
  <c r="P112" i="1" a="1"/>
  <c r="P112" i="1"/>
  <c r="O112" i="1" a="1"/>
  <c r="O112" i="1"/>
  <c r="N112" i="1" a="1"/>
  <c r="N112" i="1"/>
  <c r="M112" i="1" a="1"/>
  <c r="M112" i="1"/>
  <c r="L112" i="1" a="1"/>
  <c r="L112" i="1"/>
  <c r="R111" i="1"/>
  <c r="W111" i="1" a="1"/>
  <c r="W111" i="1"/>
  <c r="V111" i="1" a="1"/>
  <c r="V111" i="1"/>
  <c r="U111" i="1" a="1"/>
  <c r="U111" i="1"/>
  <c r="T111" i="1" a="1"/>
  <c r="T111" i="1"/>
  <c r="S111" i="1" a="1"/>
  <c r="S111" i="1"/>
  <c r="P111" i="1" a="1"/>
  <c r="P111" i="1"/>
  <c r="O111" i="1" a="1"/>
  <c r="O111" i="1"/>
  <c r="N111" i="1" a="1"/>
  <c r="N111" i="1"/>
  <c r="M111" i="1" a="1"/>
  <c r="M111" i="1"/>
  <c r="L111" i="1" a="1"/>
  <c r="L111" i="1"/>
  <c r="R110" i="1"/>
  <c r="W110" i="1" a="1"/>
  <c r="W110" i="1"/>
  <c r="V110" i="1" a="1"/>
  <c r="V110" i="1"/>
  <c r="U110" i="1" a="1"/>
  <c r="U110" i="1"/>
  <c r="T110" i="1" a="1"/>
  <c r="T110" i="1"/>
  <c r="S110" i="1" a="1"/>
  <c r="S110" i="1"/>
  <c r="P110" i="1" a="1"/>
  <c r="P110" i="1"/>
  <c r="O110" i="1" a="1"/>
  <c r="O110" i="1"/>
  <c r="N110" i="1" a="1"/>
  <c r="N110" i="1"/>
  <c r="M110" i="1" a="1"/>
  <c r="M110" i="1"/>
  <c r="L110" i="1" a="1"/>
  <c r="L110" i="1"/>
  <c r="R108" i="1"/>
  <c r="W108" i="1" a="1"/>
  <c r="W108" i="1"/>
  <c r="V108" i="1" a="1"/>
  <c r="V108" i="1"/>
  <c r="U108" i="1" a="1"/>
  <c r="U108" i="1"/>
  <c r="T108" i="1" a="1"/>
  <c r="T108" i="1"/>
  <c r="S108" i="1" a="1"/>
  <c r="S108" i="1"/>
  <c r="P108" i="1" a="1"/>
  <c r="P108" i="1"/>
  <c r="O108" i="1" a="1"/>
  <c r="O108" i="1"/>
  <c r="N108" i="1" a="1"/>
  <c r="N108" i="1"/>
  <c r="M108" i="1" a="1"/>
  <c r="M108" i="1"/>
  <c r="L108" i="1" a="1"/>
  <c r="L108" i="1"/>
  <c r="R107" i="1"/>
  <c r="W107" i="1" a="1"/>
  <c r="W107" i="1"/>
  <c r="V107" i="1" a="1"/>
  <c r="V107" i="1"/>
  <c r="U107" i="1" a="1"/>
  <c r="U107" i="1"/>
  <c r="T107" i="1" a="1"/>
  <c r="T107" i="1"/>
  <c r="S107" i="1" a="1"/>
  <c r="S107" i="1"/>
  <c r="P107" i="1" a="1"/>
  <c r="P107" i="1"/>
  <c r="O107" i="1" a="1"/>
  <c r="O107" i="1"/>
  <c r="N107" i="1" a="1"/>
  <c r="N107" i="1"/>
  <c r="M107" i="1" a="1"/>
  <c r="M107" i="1"/>
  <c r="L107" i="1" a="1"/>
  <c r="L107" i="1"/>
  <c r="C52" i="1" a="1"/>
  <c r="C52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4" i="1" a="1"/>
  <c r="C24" i="1"/>
  <c r="C23" i="1" a="1"/>
  <c r="C23" i="1"/>
  <c r="C12" i="1" a="1"/>
  <c r="C12" i="1"/>
  <c r="C13" i="1" a="1"/>
  <c r="C13" i="1"/>
  <c r="C15" i="1" a="1"/>
  <c r="C15" i="1"/>
  <c r="C14" i="1" a="1"/>
  <c r="C14" i="1"/>
  <c r="D22" i="1"/>
  <c r="C16" i="1"/>
  <c r="AD123" i="1"/>
  <c r="AC123" i="1"/>
  <c r="AB123" i="1"/>
  <c r="AA123" i="1"/>
  <c r="Z123" i="1"/>
  <c r="AD106" i="1"/>
  <c r="AC106" i="1"/>
  <c r="AB106" i="1"/>
  <c r="AA106" i="1"/>
  <c r="Z106" i="1"/>
  <c r="AD124" i="1"/>
  <c r="AC124" i="1"/>
  <c r="AB124" i="1"/>
  <c r="AA124" i="1"/>
  <c r="Z124" i="1"/>
  <c r="AD117" i="1"/>
  <c r="AC117" i="1"/>
  <c r="AB117" i="1"/>
  <c r="AA117" i="1"/>
  <c r="Z117" i="1"/>
  <c r="AD116" i="1"/>
  <c r="AC116" i="1"/>
  <c r="AB116" i="1"/>
  <c r="AA116" i="1"/>
  <c r="Z116" i="1"/>
  <c r="AD115" i="1"/>
  <c r="AC115" i="1"/>
  <c r="AB115" i="1"/>
  <c r="AA115" i="1"/>
  <c r="Z115" i="1"/>
  <c r="AD114" i="1"/>
  <c r="AC114" i="1"/>
  <c r="AB114" i="1"/>
  <c r="AA114" i="1"/>
  <c r="Z114" i="1"/>
  <c r="AD112" i="1"/>
  <c r="AC112" i="1"/>
  <c r="AB112" i="1"/>
  <c r="AA112" i="1"/>
  <c r="Z112" i="1"/>
  <c r="AD111" i="1"/>
  <c r="AC111" i="1"/>
  <c r="AB111" i="1"/>
  <c r="AA111" i="1"/>
  <c r="Z111" i="1"/>
  <c r="AD110" i="1"/>
  <c r="AC110" i="1"/>
  <c r="AB110" i="1"/>
  <c r="AA110" i="1"/>
  <c r="Z110" i="1"/>
  <c r="AD108" i="1"/>
  <c r="AC108" i="1"/>
  <c r="AB108" i="1"/>
  <c r="AA108" i="1"/>
  <c r="Z108" i="1"/>
  <c r="AD107" i="1"/>
  <c r="AC107" i="1"/>
  <c r="AB107" i="1"/>
  <c r="AA107" i="1"/>
  <c r="Z107" i="1"/>
  <c r="Y124" i="1"/>
  <c r="Y117" i="1"/>
  <c r="Y116" i="1"/>
  <c r="Y115" i="1"/>
  <c r="Y114" i="1"/>
  <c r="Y112" i="1"/>
  <c r="Y111" i="1"/>
  <c r="Y110" i="1"/>
  <c r="Y108" i="1"/>
  <c r="Y107" i="1"/>
  <c r="R104" i="1"/>
  <c r="Y104" i="1"/>
  <c r="C57" i="1"/>
  <c r="C59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<sst xmlns="http://schemas.openxmlformats.org/spreadsheetml/2006/main" count="111" uniqueCount="100">
  <si>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</si>
  <si>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</si>
  <si>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</si>
  <si>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</si>
  <si>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</si>
  <si>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</si>
  <si>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</si>
  <si>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</si>
  <si>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</si>
  <si>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appropriation item</t>
  </si>
  <si>
    <t>jurisdiction</t>
  </si>
  <si>
    <t>movement account</t>
  </si>
  <si>
    <t>id</t>
  </si>
  <si>
    <t>1000001 - Income</t>
  </si>
  <si>
    <t>2000000 - Total Expenses</t>
  </si>
  <si>
    <t>3800001 - Balance Sheet</t>
  </si>
  <si>
    <t>3900000 - Liabilities and Equity</t>
  </si>
  <si>
    <t>5000000 - Total Assets</t>
  </si>
  <si>
    <t>9000003 - Cashflow Statement</t>
  </si>
  <si>
    <t>6210000 - Net Cash (from)/to Operating Activities</t>
  </si>
  <si>
    <t>6220000 - Net Cash (from)/to Investing Activities</t>
  </si>
  <si>
    <t>6230000 - Net Cash (from)/to Financing Activities</t>
  </si>
  <si>
    <t>D</t>
  </si>
  <si>
    <t>N</t>
  </si>
  <si>
    <t>[Begin Format Range]</t>
  </si>
  <si>
    <t>[End Format Range]</t>
  </si>
  <si>
    <t>System Parameters</t>
  </si>
  <si>
    <t>Database Name</t>
  </si>
  <si>
    <t>Current User</t>
  </si>
  <si>
    <t>Cube</t>
  </si>
  <si>
    <t>Name</t>
  </si>
  <si>
    <t>TM1rptview</t>
  </si>
  <si>
    <t>AE Adjustments</t>
  </si>
  <si>
    <t>MDX</t>
  </si>
  <si>
    <t>Account</t>
  </si>
  <si>
    <t>drilldown with single element</t>
  </si>
  <si>
    <t>nlevel elements</t>
  </si>
  <si>
    <t>Period</t>
  </si>
  <si>
    <t>headline scenario</t>
  </si>
  <si>
    <t>value</t>
  </si>
  <si>
    <t>}ElementAttributes_variables</t>
  </si>
  <si>
    <t>reporting stage</t>
  </si>
  <si>
    <t>AE Reporting</t>
  </si>
  <si>
    <t>AE Reporting measure</t>
  </si>
  <si>
    <t>Dimensions</t>
  </si>
  <si>
    <t>Sliceview</t>
  </si>
  <si>
    <t>`</t>
  </si>
  <si>
    <t>Top-level Snapshot - Financial Statements</t>
  </si>
  <si>
    <t>Cube - AE Adjustment</t>
  </si>
  <si>
    <t>Cube - AE Reporting</t>
  </si>
  <si>
    <t>TM1rptview - Zero Supress on</t>
  </si>
  <si>
    <t>TM1rptview - Zero Supress off</t>
  </si>
  <si>
    <t>No</t>
  </si>
  <si>
    <t>Yes</t>
  </si>
  <si>
    <t>Drilldown by account level</t>
  </si>
  <si>
    <t>Variances</t>
  </si>
  <si>
    <t>AE Reporting and AE Adjustment Reconciliation</t>
  </si>
  <si>
    <t>DISPLAY SETTINGS</t>
  </si>
  <si>
    <t>REPORT PARAMETERS</t>
  </si>
  <si>
    <t>}Clients</t>
  </si>
  <si>
    <t>TM1 User</t>
  </si>
  <si>
    <t>}TM1_DefaultDisplayValue</t>
  </si>
  <si>
    <t>GEUS User Name</t>
  </si>
  <si>
    <t>System Variables</t>
  </si>
  <si>
    <t>archive year</t>
  </si>
  <si>
    <t>archive scenario</t>
  </si>
  <si>
    <t>current budget round</t>
  </si>
  <si>
    <t>sys_application</t>
  </si>
  <si>
    <t>Slice View</t>
  </si>
  <si>
    <t>Current Workbook</t>
  </si>
  <si>
    <t>Analytical Reports - Transcation Listing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</si>
  <si>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</si>
  <si>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</si>
  <si>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</si>
  <si>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</si>
  <si>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</si>
  <si>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</si>
  <si>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</si>
  <si>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</si>
  <si>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</si>
  <si>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</si>
  <si>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Homepage - Reports - Analytical</t>
  </si>
  <si>
    <t>Analytical Reports - Transaction Listing</t>
  </si>
  <si>
    <t>Analytical Reports - Reporting Cube and AE Adj Reconciliation</t>
  </si>
  <si>
    <t>Analytical Reports - Validations and Reconciliation</t>
  </si>
  <si>
    <t>Analytical Reports - Dashboard Reporting</t>
  </si>
  <si>
    <t>Analytical Reports - Agency Resourcing Table Reconciliation</t>
  </si>
  <si>
    <t>Analytical Reports - Export To CSV</t>
  </si>
  <si>
    <t>Analytical Reports - Reporting Stage Maintenance</t>
  </si>
  <si>
    <t>Data Entry - View Adj 01 - Header Details</t>
  </si>
  <si>
    <t xml:space="preserve"> </t>
  </si>
  <si>
    <t xml:space="preserve">Note : This screen is used to ensure that the data transfer from AE Adjustment matches with data in the AE reporting Cube. </t>
  </si>
  <si>
    <t>Note : The AE reporting cube is used for the Transaction Listing report under Analytical Reports</t>
  </si>
  <si>
    <t xml:space="preserve">Headline Year : </t>
  </si>
  <si>
    <t xml:space="preserve">Scenario : </t>
  </si>
  <si>
    <t xml:space="preserve">Program : </t>
  </si>
  <si>
    <t xml:space="preserve">Account : </t>
  </si>
  <si>
    <t xml:space="preserve">Zero Supress : </t>
  </si>
  <si>
    <t xml:space="preserve">Budget Stage Name : 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</si>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</sst>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 &quot;@"/>
    <numFmt numFmtId="165" formatCode="_-* #,##0_-;[Red]* \(#,##0\)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7" fillId="5" borderId="10" xfId="0" applyFont="1" applyFill="1" applyBorder="1" applyAlignment="1">
      <alignment horizontal="center"/>
    </xf>
    <xf numFmtId="164" fontId="6" fillId="0" borderId="0" xfId="0" applyNumberFormat="1" applyFont="1"/>
    <xf numFmtId="0" fontId="6" fillId="6" borderId="0" xfId="0" applyFont="1" applyFill="1"/>
    <xf numFmtId="0" fontId="7" fillId="5" borderId="10" xfId="0" applyFont="1" applyFill="1" applyBorder="1" applyAlignment="1">
      <alignment horizontal="left"/>
    </xf>
    <xf numFmtId="0" fontId="8" fillId="0" borderId="0" xfId="1" applyFont="1" applyAlignment="1">
      <alignment horizontal="right"/>
    </xf>
    <xf numFmtId="0" fontId="10" fillId="0" borderId="9" xfId="0" applyFont="1" applyBorder="1"/>
    <xf numFmtId="0" fontId="10" fillId="0" borderId="0" xfId="0" applyFont="1"/>
    <xf numFmtId="0" fontId="1" fillId="4" borderId="1" xfId="0" applyFont="1" applyFill="1" applyBorder="1"/>
    <xf numFmtId="0" fontId="1" fillId="4" borderId="2" xfId="0" applyFont="1" applyFill="1" applyBorder="1"/>
    <xf numFmtId="0" fontId="11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righ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6" borderId="3" xfId="0" applyFill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3" xfId="0" applyFont="1" applyBorder="1" applyAlignment="1" applyProtection="1">
      <alignment horizontal="center"/>
      <protection locked="0"/>
    </xf>
    <xf numFmtId="0" fontId="9" fillId="7" borderId="0" xfId="0" applyFont="1" applyFill="1" applyAlignment="1">
      <alignment horizontal="left" vertical="center"/>
    </xf>
    <xf numFmtId="164" fontId="2" fillId="0" borderId="3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left" indent="1"/>
      <protection locked="0"/>
    </xf>
    <xf numFmtId="0" fontId="2" fillId="6" borderId="3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2" fillId="0" borderId="0" xfId="0" applyFont="1" applyAlignment="1">
      <alignment horizontal="left"/>
    </xf>
  </cellXfs>
  <cellStyles count="2">
    <cellStyle name="Normal" xfId="0" builtinId="0"/>
    <cellStyle name="Normal 3" xfId="1" xr:uid="{AE3FAD23-A589-4D8A-BE29-DF834567E1B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86</xdr:row>
      <xdr:rowOff>19050</xdr:rowOff>
    </xdr:from>
    <xdr:to>
      <xdr:col>10</xdr:col>
      <xdr:colOff>1771650</xdr:colOff>
      <xdr:row>86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112585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88</xdr:row>
          <xdr:rowOff>0</xdr:rowOff>
        </xdr:from>
        <xdr:to>
          <xdr:col>10</xdr:col>
          <xdr:colOff>666750</xdr:colOff>
          <xdr:row>88</xdr:row>
          <xdr:rowOff>247650</xdr:rowOff>
        </xdr:to>
        <xdr:sp macro="" textlink="">
          <xdr:nvSpPr>
            <xdr:cNvPr id="1033" name="TIButton1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695325</xdr:colOff>
          <xdr:row>88</xdr:row>
          <xdr:rowOff>0</xdr:rowOff>
        </xdr:from>
        <xdr:to>
          <xdr:col>10</xdr:col>
          <xdr:colOff>1419225</xdr:colOff>
          <xdr:row>88</xdr:row>
          <xdr:rowOff>247650</xdr:rowOff>
        </xdr:to>
        <xdr:sp macro="" textlink="">
          <xdr:nvSpPr>
            <xdr:cNvPr id="1034" name="TIButton2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2828925</xdr:colOff>
          <xdr:row>88</xdr:row>
          <xdr:rowOff>0</xdr:rowOff>
        </xdr:from>
        <xdr:to>
          <xdr:col>12</xdr:col>
          <xdr:colOff>314325</xdr:colOff>
          <xdr:row>88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1114425</xdr:colOff>
          <xdr:row>88</xdr:row>
          <xdr:rowOff>0</xdr:rowOff>
        </xdr:from>
        <xdr:to>
          <xdr:col>17</xdr:col>
          <xdr:colOff>1895475</xdr:colOff>
          <xdr:row>88</xdr:row>
          <xdr:rowOff>247650</xdr:rowOff>
        </xdr:to>
        <xdr:sp macro="" textlink="">
          <xdr:nvSpPr>
            <xdr:cNvPr id="1036" name="TIButton4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2352675</xdr:colOff>
          <xdr:row>87</xdr:row>
          <xdr:rowOff>38100</xdr:rowOff>
        </xdr:from>
        <xdr:to>
          <xdr:col>17</xdr:col>
          <xdr:colOff>2667000</xdr:colOff>
          <xdr:row>88</xdr:row>
          <xdr:rowOff>295275</xdr:rowOff>
        </xdr:to>
        <xdr:sp macro="" textlink="">
          <xdr:nvSpPr>
            <xdr:cNvPr id="1037" name="TIButton5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342900</xdr:colOff>
          <xdr:row>88</xdr:row>
          <xdr:rowOff>0</xdr:rowOff>
        </xdr:from>
        <xdr:to>
          <xdr:col>13</xdr:col>
          <xdr:colOff>628650</xdr:colOff>
          <xdr:row>88</xdr:row>
          <xdr:rowOff>247650</xdr:rowOff>
        </xdr:to>
        <xdr:sp macro="" textlink="">
          <xdr:nvSpPr>
            <xdr:cNvPr id="1038" name="TIButton6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657225</xdr:colOff>
          <xdr:row>88</xdr:row>
          <xdr:rowOff>0</xdr:rowOff>
        </xdr:from>
        <xdr:to>
          <xdr:col>15</xdr:col>
          <xdr:colOff>104775</xdr:colOff>
          <xdr:row>88</xdr:row>
          <xdr:rowOff>247650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133350</xdr:colOff>
          <xdr:row>88</xdr:row>
          <xdr:rowOff>0</xdr:rowOff>
        </xdr:from>
        <xdr:to>
          <xdr:col>16</xdr:col>
          <xdr:colOff>85725</xdr:colOff>
          <xdr:row>88</xdr:row>
          <xdr:rowOff>247650</xdr:rowOff>
        </xdr:to>
        <xdr:sp macro="" textlink="">
          <xdr:nvSpPr>
            <xdr:cNvPr id="1041" name="TIButton9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47625</xdr:colOff>
          <xdr:row>88</xdr:row>
          <xdr:rowOff>0</xdr:rowOff>
        </xdr:from>
        <xdr:to>
          <xdr:col>17</xdr:col>
          <xdr:colOff>1047750</xdr:colOff>
          <xdr:row>88</xdr:row>
          <xdr:rowOff>247650</xdr:rowOff>
        </xdr:to>
        <xdr:sp macro="" textlink="">
          <xdr:nvSpPr>
            <xdr:cNvPr id="1042" name="TIButton10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1447800</xdr:colOff>
          <xdr:row>88</xdr:row>
          <xdr:rowOff>0</xdr:rowOff>
        </xdr:from>
        <xdr:to>
          <xdr:col>10</xdr:col>
          <xdr:colOff>2809875</xdr:colOff>
          <xdr:row>88</xdr:row>
          <xdr:rowOff>247650</xdr:rowOff>
        </xdr:to>
        <xdr:sp macro="" textlink="">
          <xdr:nvSpPr>
            <xdr:cNvPr id="1043" name="TIButton8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09B0-2CED-4E0B-9B53-F8E3CDFB4126}">
  <sheetPr codeName="Sheet1">
    <outlinePr showOutlineSymbols="0"/>
  </sheetPr>
  <dimension ref="A1:AD126"/>
  <sheetViews>
    <sheetView showGridLines="0" showRowColHeaders="0" tabSelected="1" showOutlineSymbols="0" topLeftCell="A87" zoomScaleNormal="100" workbookViewId="0">
      <pane xSplit="17" ySplit="20" topLeftCell="R107" activePane="bottomRight" state="frozen"/>
      <selection activeCell="J87" sqref="J87"/>
      <selection pane="topRight" activeCell="R87" sqref="R87"/>
      <selection pane="bottomLeft" activeCell="J107" sqref="J107"/>
      <selection pane="bottomRight"/>
    </sheetView>
  </sheetViews>
  <sheetFormatPr defaultRowHeight="15" outlineLevelRow="1" outlineLevelCol="1" x14ac:dyDescent="0.25"/>
  <cols>
    <col min="1" max="1" width="7.28515625" hidden="1" customWidth="1" outlineLevel="1"/>
    <col min="2" max="2" width="28.42578125" hidden="1" customWidth="1" outlineLevel="1"/>
    <col min="3" max="3" width="55" hidden="1" customWidth="1" outlineLevel="1"/>
    <col min="4" max="4" width="9.7109375" hidden="1" customWidth="1" outlineLevel="1"/>
    <col min="5" max="5" width="27.7109375" hidden="1" customWidth="1" outlineLevel="1"/>
    <col min="6" max="7" width="9.7109375" hidden="1" customWidth="1" outlineLevel="1"/>
    <col min="8" max="8" width="9.140625" hidden="1" customWidth="1" outlineLevel="1"/>
    <col min="9" max="9" width="41.28515625" hidden="1" customWidth="1" outlineLevel="1"/>
    <col min="10" max="10" width="0.85546875" customWidth="1" collapsed="1"/>
    <col min="11" max="11" width="47.42578125" customWidth="1"/>
    <col min="12" max="16" width="12.7109375" customWidth="1"/>
    <col min="17" max="17" width="1.7109375" customWidth="1"/>
    <col min="18" max="18" width="47.42578125" customWidth="1"/>
    <col min="19" max="23" width="12.7109375" customWidth="1"/>
    <col min="24" max="24" width="1.7109375" customWidth="1"/>
    <col min="25" max="25" width="47.42578125" customWidth="1"/>
    <col min="26" max="30" width="12.7109375" customWidth="1"/>
  </cols>
  <sheetData>
    <row r="1" spans="1:30" hidden="1" outlineLevel="1" x14ac:dyDescent="0.25">
      <c r="A1" t="s">
        <v>24</v>
      </c>
    </row>
    <row r="2" spans="1:30" hidden="1" outlineLevel="1" x14ac:dyDescent="0.25">
      <c r="A2">
        <f>0</f>
        <v>0</v>
      </c>
      <c r="B2" s="2"/>
      <c r="C2" s="4"/>
      <c r="D2" s="4"/>
      <c r="E2" s="4"/>
      <c r="F2" s="4"/>
      <c r="G2" s="4"/>
      <c r="K2" s="31"/>
      <c r="L2" s="32"/>
      <c r="M2" s="32"/>
      <c r="N2" s="32"/>
      <c r="O2" s="32"/>
      <c r="P2" s="32"/>
      <c r="R2" s="31"/>
      <c r="S2" s="32"/>
      <c r="T2" s="32"/>
      <c r="U2" s="32"/>
      <c r="V2" s="32"/>
      <c r="W2" s="32"/>
      <c r="Y2" s="31"/>
      <c r="Z2" s="32"/>
      <c r="AA2" s="32"/>
      <c r="AB2" s="32"/>
      <c r="AC2" s="32"/>
      <c r="AD2" s="32"/>
    </row>
    <row r="3" spans="1:30" hidden="1" outlineLevel="1" x14ac:dyDescent="0.25">
      <c r="A3">
        <f>1</f>
        <v>1</v>
      </c>
      <c r="B3" s="3"/>
      <c r="C3" s="5"/>
      <c r="D3" s="5"/>
      <c r="E3" s="5"/>
      <c r="F3" s="5"/>
      <c r="G3" s="5"/>
      <c r="K3" s="31"/>
      <c r="L3" s="32"/>
      <c r="M3" s="32"/>
      <c r="N3" s="32"/>
      <c r="O3" s="32"/>
      <c r="P3" s="32"/>
      <c r="R3" s="31"/>
      <c r="S3" s="32"/>
      <c r="T3" s="32"/>
      <c r="U3" s="32"/>
      <c r="V3" s="32"/>
      <c r="W3" s="32"/>
      <c r="Y3" s="31"/>
      <c r="Z3" s="32"/>
      <c r="AA3" s="32"/>
      <c r="AB3" s="32"/>
      <c r="AC3" s="32"/>
      <c r="AD3" s="32"/>
    </row>
    <row r="4" spans="1:30" hidden="1" outlineLevel="1" x14ac:dyDescent="0.25">
      <c r="A4">
        <f>2</f>
        <v>2</v>
      </c>
      <c r="B4" s="3"/>
      <c r="C4" s="5"/>
      <c r="D4" s="5"/>
      <c r="E4" s="5"/>
      <c r="F4" s="5"/>
      <c r="G4" s="5"/>
      <c r="K4" s="31"/>
      <c r="L4" s="32"/>
      <c r="M4" s="32"/>
      <c r="N4" s="32"/>
      <c r="O4" s="32"/>
      <c r="P4" s="32"/>
      <c r="R4" s="31"/>
      <c r="S4" s="32"/>
      <c r="T4" s="32"/>
      <c r="U4" s="32"/>
      <c r="V4" s="32"/>
      <c r="W4" s="32"/>
      <c r="Y4" s="31"/>
      <c r="Z4" s="32"/>
      <c r="AA4" s="32"/>
      <c r="AB4" s="32"/>
      <c r="AC4" s="32"/>
      <c r="AD4" s="32"/>
    </row>
    <row r="5" spans="1:30" hidden="1" outlineLevel="1" x14ac:dyDescent="0.25">
      <c r="A5">
        <f>3</f>
        <v>3</v>
      </c>
      <c r="B5" s="3"/>
      <c r="C5" s="5"/>
      <c r="D5" s="5"/>
      <c r="E5" s="5"/>
      <c r="F5" s="5"/>
      <c r="G5" s="5"/>
      <c r="K5" s="31"/>
      <c r="L5" s="32"/>
      <c r="M5" s="32"/>
      <c r="N5" s="32"/>
      <c r="O5" s="32"/>
      <c r="P5" s="32"/>
      <c r="R5" s="31"/>
      <c r="S5" s="32"/>
      <c r="T5" s="32"/>
      <c r="U5" s="32"/>
      <c r="V5" s="32"/>
      <c r="W5" s="32"/>
      <c r="Y5" s="31"/>
      <c r="Z5" s="32"/>
      <c r="AA5" s="32"/>
      <c r="AB5" s="32"/>
      <c r="AC5" s="32"/>
      <c r="AD5" s="32"/>
    </row>
    <row r="6" spans="1:30" hidden="1" outlineLevel="1" x14ac:dyDescent="0.25">
      <c r="A6" t="s">
        <v>22</v>
      </c>
      <c r="B6" s="3"/>
      <c r="C6" s="5"/>
      <c r="D6" s="5"/>
      <c r="E6" s="5"/>
      <c r="F6" s="5"/>
      <c r="G6" s="5"/>
      <c r="K6" s="31"/>
      <c r="L6" s="32"/>
      <c r="M6" s="32"/>
      <c r="N6" s="32"/>
      <c r="O6" s="32"/>
      <c r="P6" s="32"/>
      <c r="R6" s="31"/>
      <c r="S6" s="32"/>
      <c r="T6" s="32"/>
      <c r="U6" s="32"/>
      <c r="V6" s="32"/>
      <c r="W6" s="32"/>
      <c r="Y6" s="31"/>
      <c r="Z6" s="32"/>
      <c r="AA6" s="32"/>
      <c r="AB6" s="32"/>
      <c r="AC6" s="32"/>
      <c r="AD6" s="32"/>
    </row>
    <row r="7" spans="1:30" hidden="1" outlineLevel="1" x14ac:dyDescent="0.25">
      <c r="A7" t="s">
        <v>23</v>
      </c>
      <c r="C7" s="6"/>
      <c r="D7" s="6"/>
      <c r="E7" s="6"/>
      <c r="F7" s="6"/>
      <c r="G7" s="6"/>
      <c r="K7" s="31"/>
      <c r="L7" s="32"/>
      <c r="M7" s="32"/>
      <c r="N7" s="32"/>
      <c r="O7" s="32"/>
      <c r="P7" s="32"/>
      <c r="R7" s="31"/>
      <c r="S7" s="32"/>
      <c r="T7" s="32"/>
      <c r="U7" s="32"/>
      <c r="V7" s="32"/>
      <c r="W7" s="32"/>
      <c r="Y7" s="31"/>
      <c r="Z7" s="32"/>
      <c r="AA7" s="32"/>
      <c r="AB7" s="32"/>
      <c r="AC7" s="32"/>
      <c r="AD7" s="32"/>
    </row>
    <row r="8" spans="1:30" hidden="1" outlineLevel="1" x14ac:dyDescent="0.25">
      <c r="A8" t="s">
        <v>25</v>
      </c>
    </row>
    <row r="9" spans="1:30" hidden="1" outlineLevel="1" x14ac:dyDescent="0.25"/>
    <row r="10" spans="1:30" hidden="1" outlineLevel="1" x14ac:dyDescent="0.25">
      <c r="B10" s="41" t="s">
        <v>26</v>
      </c>
      <c r="C10" s="42"/>
    </row>
    <row r="11" spans="1:30" hidden="1" outlineLevel="1" x14ac:dyDescent="0.25">
      <c r="B11" s="7" t="s">
        <v>27</v>
      </c>
      <c r="C11" s="7" t="s">
        <v>99</v>
      </c>
    </row>
    <row r="12" spans="1:30" hidden="1" outlineLevel="1" x14ac:dyDescent="0.25">
      <c r="B12" s="13" t="s">
        <v>59</v>
      </c>
      <c r="C12" s="28" t="str" cm="1">
        <f t="array" aca="1" ref="C12" ca="1">_xll.VIEW(db_name&amp;":}ElementAttributes_}Clients","!","!")</f>
        <v>dcceew_geus:}ElementAttributes_}Clients</v>
      </c>
    </row>
    <row r="13" spans="1:30" hidden="1" outlineLevel="1" x14ac:dyDescent="0.25">
      <c r="B13" s="13" t="s">
        <v>60</v>
      </c>
      <c r="C13" s="29" t="str" cm="1">
        <f t="array" aca="1" ref="C13" ca="1">_xll.TM1USER(db_name)</f>
        <v/>
      </c>
    </row>
    <row r="14" spans="1:30" hidden="1" outlineLevel="1" x14ac:dyDescent="0.25">
      <c r="B14" s="13" t="s">
        <v>61</v>
      </c>
      <c r="C14" s="29" t="str" cm="1">
        <f t="array" aca="1" ref="C14" ca="1">_xll.DBR($C$12,psUser,$B14)</f>
        <v>*KEY_ERR</v>
      </c>
    </row>
    <row r="15" spans="1:30" hidden="1" outlineLevel="1" x14ac:dyDescent="0.25">
      <c r="B15" s="13" t="s">
        <v>62</v>
      </c>
      <c r="C15" s="29" t="str" cm="1">
        <f t="array" aca="1" ref="C15" ca="1">_xll.DBR($C$12,psUser,$B15)</f>
        <v>*KEY_ERR</v>
      </c>
    </row>
    <row r="16" spans="1:30" hidden="1" outlineLevel="1" x14ac:dyDescent="0.25">
      <c r="B16" s="13" t="s">
        <v>28</v>
      </c>
      <c r="C16" s="29" t="str">
        <f ca="1">IF(LEFT($C$14,6)="CAM_AD",$C$15,$C$14)</f>
        <v>*KEY_ERR</v>
      </c>
    </row>
    <row r="17" spans="2:8" hidden="1" outlineLevel="1" x14ac:dyDescent="0.25"/>
    <row r="18" spans="2:8" hidden="1" outlineLevel="1" x14ac:dyDescent="0.25">
      <c r="B18" s="44" t="s">
        <v>63</v>
      </c>
      <c r="C18" s="45"/>
      <c r="D18" s="46"/>
    </row>
    <row r="19" spans="2:8" hidden="1" outlineLevel="1" x14ac:dyDescent="0.25">
      <c r="B19" s="7" t="s">
        <v>30</v>
      </c>
      <c r="C19" s="7" t="str" cm="1">
        <f t="array" aca="1" ref="C19" ca="1">_xll.VIEW(db_name&amp;":}ElementAttributes_variables","!","!")</f>
        <v>dcceew_geus:}ElementAttributes_variables</v>
      </c>
    </row>
    <row r="20" spans="2:8" hidden="1" outlineLevel="1" x14ac:dyDescent="0.25">
      <c r="B20" s="7"/>
      <c r="C20" s="30" t="s">
        <v>39</v>
      </c>
    </row>
    <row r="21" spans="2:8" hidden="1" outlineLevel="1" x14ac:dyDescent="0.25">
      <c r="B21" s="13" t="s">
        <v>0</v>
      </c>
      <c r="C21" s="7" t="str" cm="1">
        <f t="array" aca="1" ref="C21" ca="1">_xll.DBR($C$19,$B21,$C$20)</f>
        <v>*KEY_ERR</v>
      </c>
    </row>
    <row r="22" spans="2:8" hidden="1" outlineLevel="1" x14ac:dyDescent="0.25">
      <c r="B22" s="13" t="s">
        <v>38</v>
      </c>
      <c r="C22" s="7" t="str" cm="1">
        <f t="array" aca="1" ref="C22" ca="1">_xll.DBR($C$19,$B22,$C$20)</f>
        <v>*KEY_ERR</v>
      </c>
      <c r="D22" s="7" t="str">
        <f ca="1">IF(curScenario="current",$C$25,curScenario)</f>
        <v>*KEY_ERR</v>
      </c>
    </row>
    <row r="23" spans="2:8" hidden="1" outlineLevel="1" x14ac:dyDescent="0.25">
      <c r="B23" s="13" t="s">
        <v>64</v>
      </c>
      <c r="C23" s="7" t="str" cm="1">
        <f t="array" aca="1" ref="C23" ca="1">_xll.DBR($C$19,$B23,$C$20)</f>
        <v>*KEY_ERR</v>
      </c>
    </row>
    <row r="24" spans="2:8" hidden="1" outlineLevel="1" x14ac:dyDescent="0.25">
      <c r="B24" s="13" t="s">
        <v>65</v>
      </c>
      <c r="C24" s="7" t="str" cm="1">
        <f t="array" aca="1" ref="C24" ca="1">_xll.DBR($C$19,$B24,$C$20)</f>
        <v>*KEY_ERR</v>
      </c>
    </row>
    <row r="25" spans="2:8" hidden="1" outlineLevel="1" x14ac:dyDescent="0.25">
      <c r="B25" s="13" t="s">
        <v>66</v>
      </c>
      <c r="C25" s="7" t="str" cm="1">
        <f t="array" aca="1" ref="C25" ca="1">_xll.DBR($C$19,$B25,$C$20)</f>
        <v>*KEY_ERR</v>
      </c>
    </row>
    <row r="26" spans="2:8" hidden="1" outlineLevel="1" x14ac:dyDescent="0.25"/>
    <row r="27" spans="2:8" hidden="1" outlineLevel="1" x14ac:dyDescent="0.25">
      <c r="B27" s="44" t="s">
        <v>67</v>
      </c>
      <c r="C27" s="45"/>
      <c r="D27" s="46"/>
    </row>
    <row r="28" spans="2:8" hidden="1" outlineLevel="1" x14ac:dyDescent="0.25">
      <c r="B28" s="13" t="s">
        <v>68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13" t="s">
        <v>69</v>
      </c>
      <c r="C29" s="7" t="s">
        <v>70</v>
      </c>
      <c r="D29" s="7"/>
    </row>
    <row r="30" spans="2:8" hidden="1" outlineLevel="1" x14ac:dyDescent="0.25">
      <c r="B30" s="7"/>
      <c r="C30" s="13" t="s">
        <v>71</v>
      </c>
      <c r="D30" s="13" t="s">
        <v>72</v>
      </c>
      <c r="E30" s="13" t="s">
        <v>73</v>
      </c>
      <c r="F30" s="13" t="s">
        <v>74</v>
      </c>
      <c r="G30" s="13" t="s">
        <v>75</v>
      </c>
      <c r="H30" s="13" t="s">
        <v>76</v>
      </c>
    </row>
    <row r="31" spans="2:8" hidden="1" outlineLevel="1" x14ac:dyDescent="0.25">
      <c r="B31" s="7" t="s">
        <v>77</v>
      </c>
      <c r="C31" s="7" t="str" cm="1">
        <f t="array" aca="1" ref="C31" ca="1">_xll.DBR($C$28,$B31,C$30)</f>
        <v>*KEY_ERR</v>
      </c>
      <c r="D31" s="7" t="str" cm="1">
        <f t="array" aca="1" ref="D31" ca="1">_xll.DBR($C$28,$B31,D$30)</f>
        <v>*KEY_ERR</v>
      </c>
      <c r="E31" s="7" t="str" cm="1">
        <f t="array" aca="1" ref="E31" ca="1">_xll.DBR($C$28,$B31,E$30)</f>
        <v>*KEY_ERR</v>
      </c>
      <c r="F31" s="7" t="str" cm="1">
        <f t="array" aca="1" ref="F31" ca="1">_xll.DBR($C$28,$B31,F$30)</f>
        <v>*KEY_ERR</v>
      </c>
      <c r="G31" s="7" t="str" cm="1">
        <f t="array" aca="1" ref="G31" ca="1">_xll.DBR($C$28,$B31,G$30)</f>
        <v>*KEY_ERR</v>
      </c>
      <c r="H31" s="7" t="str" cm="1">
        <f t="array" aca="1" ref="H31" ca="1">_xll.DBR($C$28,$B31,H$30)</f>
        <v>*KEY_ERR</v>
      </c>
    </row>
    <row r="32" spans="2:8" hidden="1" outlineLevel="1" x14ac:dyDescent="0.25">
      <c r="B32" s="7" t="s">
        <v>78</v>
      </c>
      <c r="C32" s="7" t="str" cm="1">
        <f t="array" aca="1" ref="C32" ca="1">_xll.DBR($C$28,$B32,C$30)</f>
        <v>*KEY_ERR</v>
      </c>
      <c r="D32" s="7" t="str" cm="1">
        <f t="array" aca="1" ref="D32" ca="1">_xll.DBR($C$28,$B32,D$30)</f>
        <v>*KEY_ERR</v>
      </c>
      <c r="E32" s="7" t="str" cm="1">
        <f t="array" aca="1" ref="E32" ca="1">_xll.DBR($C$28,$B32,E$30)</f>
        <v>*KEY_ERR</v>
      </c>
      <c r="F32" s="7" t="str" cm="1">
        <f t="array" aca="1" ref="F32" ca="1">_xll.DBR($C$28,$B32,F$30)</f>
        <v>*KEY_ERR</v>
      </c>
      <c r="G32" s="7" t="str" cm="1">
        <f t="array" aca="1" ref="G32" ca="1">_xll.DBR($C$28,$B32,G$30)</f>
        <v>*KEY_ERR</v>
      </c>
      <c r="H32" s="7" t="str" cm="1">
        <f t="array" aca="1" ref="H32" ca="1">_xll.DBR($C$28,$B32,H$30)</f>
        <v>*KEY_ERR</v>
      </c>
    </row>
    <row r="33" spans="2:9" hidden="1" outlineLevel="1" x14ac:dyDescent="0.25">
      <c r="B33" s="7" t="s">
        <v>79</v>
      </c>
      <c r="C33" s="7" t="str" cm="1">
        <f t="array" aca="1" ref="C33" ca="1">_xll.DBR($C$28,$B33,C$30)</f>
        <v>*KEY_ERR</v>
      </c>
      <c r="D33" s="7" t="str" cm="1">
        <f t="array" aca="1" ref="D33" ca="1">_xll.DBR($C$28,$B33,D$30)</f>
        <v>*KEY_ERR</v>
      </c>
      <c r="E33" s="7" t="str" cm="1">
        <f t="array" aca="1" ref="E33" ca="1">_xll.DBR($C$28,$B33,E$30)</f>
        <v>*KEY_ERR</v>
      </c>
      <c r="F33" s="7" t="str" cm="1">
        <f t="array" aca="1" ref="F33" ca="1">_xll.DBR($C$28,$B33,F$30)</f>
        <v>*KEY_ERR</v>
      </c>
      <c r="G33" s="7" t="str" cm="1">
        <f t="array" aca="1" ref="G33" ca="1">_xll.DBR($C$28,$B33,G$30)</f>
        <v>*KEY_ERR</v>
      </c>
      <c r="H33" s="7" t="str" cm="1">
        <f t="array" aca="1" ref="H33" ca="1">_xll.DBR($C$28,$B33,H$30)</f>
        <v>*KEY_ERR</v>
      </c>
    </row>
    <row r="34" spans="2:9" hidden="1" outlineLevel="1" x14ac:dyDescent="0.25">
      <c r="B34" s="7" t="s">
        <v>80</v>
      </c>
      <c r="C34" s="7" t="str" cm="1">
        <f t="array" aca="1" ref="C34" ca="1">_xll.DBR($C$28,$B34,C$30)</f>
        <v>*KEY_ERR</v>
      </c>
      <c r="D34" s="7" t="str" cm="1">
        <f t="array" aca="1" ref="D34" ca="1">_xll.DBR($C$28,$B34,D$30)</f>
        <v>*KEY_ERR</v>
      </c>
      <c r="E34" s="7" t="str" cm="1">
        <f t="array" aca="1" ref="E34" ca="1">_xll.DBR($C$28,$B34,E$30)</f>
        <v>*KEY_ERR</v>
      </c>
      <c r="F34" s="7" t="str" cm="1">
        <f t="array" aca="1" ref="F34" ca="1">_xll.DBR($C$28,$B34,F$30)</f>
        <v>*KEY_ERR</v>
      </c>
      <c r="G34" s="7" t="str" cm="1">
        <f t="array" aca="1" ref="G34" ca="1">_xll.DBR($C$28,$B34,G$30)</f>
        <v>*KEY_ERR</v>
      </c>
      <c r="H34" s="7" t="str" cm="1">
        <f t="array" aca="1" ref="H34" ca="1">_xll.DBR($C$28,$B34,H$30)</f>
        <v>*KEY_ERR</v>
      </c>
    </row>
    <row r="35" spans="2:9" hidden="1" outlineLevel="1" x14ac:dyDescent="0.25">
      <c r="B35" s="7" t="s">
        <v>81</v>
      </c>
      <c r="C35" s="7" t="str" cm="1">
        <f t="array" aca="1" ref="C35" ca="1">_xll.DBR($C$28,$B35,C$30)</f>
        <v>*KEY_ERR</v>
      </c>
      <c r="D35" s="7" t="str" cm="1">
        <f t="array" aca="1" ref="D35" ca="1">_xll.DBR($C$28,$B35,D$30)</f>
        <v>*KEY_ERR</v>
      </c>
      <c r="E35" s="7" t="str" cm="1">
        <f t="array" aca="1" ref="E35" ca="1">_xll.DBR($C$28,$B35,E$30)</f>
        <v>*KEY_ERR</v>
      </c>
      <c r="F35" s="7" t="str" cm="1">
        <f t="array" aca="1" ref="F35" ca="1">_xll.DBR($C$28,$B35,F$30)</f>
        <v>*KEY_ERR</v>
      </c>
      <c r="G35" s="7" t="str" cm="1">
        <f t="array" aca="1" ref="G35" ca="1">_xll.DBR($C$28,$B35,G$30)</f>
        <v>*KEY_ERR</v>
      </c>
      <c r="H35" s="7" t="str" cm="1">
        <f t="array" aca="1" ref="H35" ca="1">_xll.DBR($C$28,$B35,H$30)</f>
        <v>*KEY_ERR</v>
      </c>
    </row>
    <row r="36" spans="2:9" hidden="1" outlineLevel="1" x14ac:dyDescent="0.25">
      <c r="B36" s="7" t="s">
        <v>82</v>
      </c>
      <c r="C36" s="7" t="str" cm="1">
        <f t="array" aca="1" ref="C36" ca="1">_xll.DBR($C$28,$B36,C$30)</f>
        <v>*KEY_ERR</v>
      </c>
      <c r="D36" s="7" t="str" cm="1">
        <f t="array" aca="1" ref="D36" ca="1">_xll.DBR($C$28,$B36,D$30)</f>
        <v>*KEY_ERR</v>
      </c>
      <c r="E36" s="7" t="str" cm="1">
        <f t="array" aca="1" ref="E36" ca="1">_xll.DBR($C$28,$B36,E$30)</f>
        <v>*KEY_ERR</v>
      </c>
      <c r="F36" s="7" t="str" cm="1">
        <f t="array" aca="1" ref="F36" ca="1">_xll.DBR($C$28,$B36,F$30)</f>
        <v>*KEY_ERR</v>
      </c>
      <c r="G36" s="7" t="str" cm="1">
        <f t="array" aca="1" ref="G36" ca="1">_xll.DBR($C$28,$B36,G$30)</f>
        <v>*KEY_ERR</v>
      </c>
      <c r="H36" s="7" t="str" cm="1">
        <f t="array" aca="1" ref="H36" ca="1">_xll.DBR($C$28,$B36,H$30)</f>
        <v>*KEY_ERR</v>
      </c>
    </row>
    <row r="37" spans="2:9" hidden="1" outlineLevel="1" x14ac:dyDescent="0.25">
      <c r="B37" s="7" t="s">
        <v>83</v>
      </c>
      <c r="C37" s="7" t="str" cm="1">
        <f t="array" aca="1" ref="C37" ca="1">_xll.DBR($C$28,$B37,C$30)</f>
        <v>*KEY_ERR</v>
      </c>
      <c r="D37" s="7" t="str" cm="1">
        <f t="array" aca="1" ref="D37" ca="1">_xll.DBR($C$28,$B37,D$30)</f>
        <v>*KEY_ERR</v>
      </c>
      <c r="E37" s="7" t="str" cm="1">
        <f t="array" aca="1" ref="E37" ca="1">_xll.DBR($C$28,$B37,E$30)</f>
        <v>*KEY_ERR</v>
      </c>
      <c r="F37" s="7" t="str" cm="1">
        <f t="array" aca="1" ref="F37" ca="1">_xll.DBR($C$28,$B37,F$30)</f>
        <v>*KEY_ERR</v>
      </c>
      <c r="G37" s="7" t="str" cm="1">
        <f t="array" aca="1" ref="G37" ca="1">_xll.DBR($C$28,$B37,G$30)</f>
        <v>*KEY_ERR</v>
      </c>
      <c r="H37" s="7" t="str" cm="1">
        <f t="array" aca="1" ref="H37" ca="1">_xll.DBR($C$28,$B37,H$30)</f>
        <v>*KEY_ERR</v>
      </c>
    </row>
    <row r="38" spans="2:9" hidden="1" outlineLevel="1" x14ac:dyDescent="0.25">
      <c r="B38" s="7" t="s">
        <v>84</v>
      </c>
      <c r="C38" s="7" t="str" cm="1">
        <f t="array" aca="1" ref="C38" ca="1">_xll.DBR($C$28,$B38,C$30)</f>
        <v>*KEY_ERR</v>
      </c>
      <c r="D38" s="7" t="str" cm="1">
        <f t="array" aca="1" ref="D38" ca="1">_xll.DBR($C$28,$B38,D$30)</f>
        <v>*KEY_ERR</v>
      </c>
      <c r="E38" s="7" t="str" cm="1">
        <f t="array" aca="1" ref="E38" ca="1">_xll.DBR($C$28,$B38,E$30)</f>
        <v>*KEY_ERR</v>
      </c>
      <c r="F38" s="7" t="str" cm="1">
        <f t="array" aca="1" ref="F38" ca="1">_xll.DBR($C$28,$B38,F$30)</f>
        <v>*KEY_ERR</v>
      </c>
      <c r="G38" s="7" t="str" cm="1">
        <f t="array" aca="1" ref="G38" ca="1">_xll.DBR($C$28,$B38,G$30)</f>
        <v>*KEY_ERR</v>
      </c>
      <c r="H38" s="7" t="str" cm="1">
        <f t="array" aca="1" ref="H38" ca="1">_xll.DBR($C$28,$B38,H$30)</f>
        <v>*KEY_ERR</v>
      </c>
    </row>
    <row r="39" spans="2:9" hidden="1" outlineLevel="1" x14ac:dyDescent="0.25">
      <c r="B39" s="7" t="s">
        <v>85</v>
      </c>
      <c r="C39" s="7" t="str" cm="1">
        <f t="array" aca="1" ref="C39" ca="1">_xll.DBR($C$28,$B39,C$30)</f>
        <v>*KEY_ERR</v>
      </c>
      <c r="D39" s="7" t="str" cm="1">
        <f t="array" aca="1" ref="D39" ca="1">_xll.DBR($C$28,$B39,D$30)</f>
        <v>*KEY_ERR</v>
      </c>
      <c r="E39" s="7" t="str" cm="1">
        <f t="array" aca="1" ref="E39" ca="1">_xll.DBR($C$28,$B39,E$30)</f>
        <v>*KEY_ERR</v>
      </c>
      <c r="F39" s="7" t="str" cm="1">
        <f t="array" aca="1" ref="F39" ca="1">_xll.DBR($C$28,$B39,F$30)</f>
        <v>*KEY_ERR</v>
      </c>
      <c r="G39" s="7" t="str" cm="1">
        <f t="array" aca="1" ref="G39" ca="1">_xll.DBR($C$28,$B39,G$30)</f>
        <v>*KEY_ERR</v>
      </c>
      <c r="H39" s="7" t="str" cm="1">
        <f t="array" aca="1" ref="H39" ca="1">_xll.DBR($C$28,$B39,H$30)</f>
        <v>*KEY_ERR</v>
      </c>
    </row>
    <row r="40" spans="2:9" hidden="1" outlineLevel="1" x14ac:dyDescent="0.25">
      <c r="B40" s="7" t="s">
        <v>86</v>
      </c>
      <c r="C40" s="7" t="str" cm="1">
        <f t="array" aca="1" ref="C40" ca="1">_xll.DBR($C$28,$B40,C$30)</f>
        <v>*KEY_ERR</v>
      </c>
      <c r="D40" s="7" t="str" cm="1">
        <f t="array" aca="1" ref="D40" ca="1">_xll.DBR($C$28,$B40,D$30)</f>
        <v>*KEY_ERR</v>
      </c>
      <c r="E40" s="7" t="str" cm="1">
        <f t="array" aca="1" ref="E40" ca="1">_xll.DBR($C$28,$B40,E$30)</f>
        <v>*KEY_ERR</v>
      </c>
      <c r="F40" s="7" t="str" cm="1">
        <f t="array" aca="1" ref="F40" ca="1">_xll.DBR($C$28,$B40,F$30)</f>
        <v>*KEY_ERR</v>
      </c>
      <c r="G40" s="7" t="str" cm="1">
        <f t="array" aca="1" ref="G40" ca="1">_xll.DBR($C$28,$B40,G$30)</f>
        <v>*KEY_ERR</v>
      </c>
      <c r="H40" s="7" t="str" cm="1">
        <f t="array" aca="1" ref="H40" ca="1">_xll.DBR($C$28,$B40,H$30)</f>
        <v>*KEY_ERR</v>
      </c>
    </row>
    <row r="41" spans="2:9" hidden="1" outlineLevel="1" x14ac:dyDescent="0.25">
      <c r="B41" s="7" t="s">
        <v>87</v>
      </c>
      <c r="C41" s="7" t="str" cm="1">
        <f t="array" aca="1" ref="C41" ca="1">_xll.DBR($C$28,$B41,C$30)</f>
        <v>*KEY_ERR</v>
      </c>
      <c r="D41" s="7" t="str" cm="1">
        <f t="array" aca="1" ref="D41" ca="1">_xll.DBR($C$28,$B41,D$30)</f>
        <v>*KEY_ERR</v>
      </c>
      <c r="E41" s="7" t="str" cm="1">
        <f t="array" aca="1" ref="E41" ca="1">_xll.DBR($C$28,$B41,E$30)</f>
        <v>*KEY_ERR</v>
      </c>
      <c r="F41" s="7" t="str" cm="1">
        <f t="array" aca="1" ref="F41" ca="1">_xll.DBR($C$28,$B41,F$30)</f>
        <v>*KEY_ERR</v>
      </c>
      <c r="G41" s="7" t="str" cm="1">
        <f t="array" aca="1" ref="G41" ca="1">_xll.DBR($C$28,$B41,G$30)</f>
        <v>*KEY_ERR</v>
      </c>
      <c r="H41" s="7" t="str" cm="1">
        <f t="array" aca="1" ref="H41" ca="1">_xll.DBR($C$28,$B41,H$30)</f>
        <v>*KEY_ERR</v>
      </c>
    </row>
    <row r="42" spans="2:9" hidden="1" outlineLevel="1" x14ac:dyDescent="0.25">
      <c r="B42" s="7" t="s">
        <v>88</v>
      </c>
      <c r="C42" s="7" t="str" cm="1">
        <f t="array" aca="1" ref="C42" ca="1">_xll.DBR($C$28,$B42,C$30)</f>
        <v>*KEY_ERR</v>
      </c>
      <c r="D42" s="7" t="str" cm="1">
        <f t="array" aca="1" ref="D42" ca="1">_xll.DBR($C$28,$B42,D$30)</f>
        <v>*KEY_ERR</v>
      </c>
      <c r="E42" s="7" t="str" cm="1">
        <f t="array" aca="1" ref="E42" ca="1">_xll.DBR($C$28,$B42,E$30)</f>
        <v>*KEY_ERR</v>
      </c>
      <c r="F42" s="7" t="str" cm="1">
        <f t="array" aca="1" ref="F42" ca="1">_xll.DBR($C$28,$B42,F$30)</f>
        <v>*KEY_ERR</v>
      </c>
      <c r="G42" s="7" t="str" cm="1">
        <f t="array" aca="1" ref="G42" ca="1">_xll.DBR($C$28,$B42,G$30)</f>
        <v>*KEY_ERR</v>
      </c>
      <c r="H42" s="7" t="str" cm="1">
        <f t="array" aca="1" ref="H42" ca="1">_xll.DBR($C$28,$B42,H$30)</f>
        <v>*KEY_ERR</v>
      </c>
    </row>
    <row r="43" spans="2:9" hidden="1" outlineLevel="1" x14ac:dyDescent="0.25">
      <c r="B43" s="7" t="s">
        <v>89</v>
      </c>
      <c r="C43" s="7" t="str" cm="1">
        <f t="array" aca="1" ref="C43" ca="1">_xll.DBR($C$28,$B43,C$30)</f>
        <v>*KEY_ERR</v>
      </c>
      <c r="D43" s="7" t="str" cm="1">
        <f t="array" aca="1" ref="D43" ca="1">_xll.DBR($C$28,$B43,D$30)</f>
        <v>*KEY_ERR</v>
      </c>
      <c r="E43" s="7" t="str" cm="1">
        <f t="array" aca="1" ref="E43" ca="1">_xll.DBR($C$28,$B43,E$30)</f>
        <v>*KEY_ERR</v>
      </c>
      <c r="F43" s="7" t="str" cm="1">
        <f t="array" aca="1" ref="F43" ca="1">_xll.DBR($C$28,$B43,F$30)</f>
        <v>*KEY_ERR</v>
      </c>
      <c r="G43" s="7" t="str" cm="1">
        <f t="array" aca="1" ref="G43" ca="1">_xll.DBR($C$28,$B43,G$30)</f>
        <v>*KEY_ERR</v>
      </c>
      <c r="H43" s="7" t="str" cm="1">
        <f t="array" aca="1" ref="H43" ca="1">_xll.DBR($C$28,$B43,H$30)</f>
        <v>*KEY_ERR</v>
      </c>
    </row>
    <row r="44" spans="2:9" hidden="1" outlineLevel="1" x14ac:dyDescent="0.25">
      <c r="I44" s="1"/>
    </row>
    <row r="45" spans="2:9" hidden="1" outlineLevel="1" x14ac:dyDescent="0.25">
      <c r="B45" s="41" t="s">
        <v>29</v>
      </c>
      <c r="C45" s="42"/>
      <c r="I45" s="1"/>
    </row>
    <row r="46" spans="2:9" hidden="1" outlineLevel="1" x14ac:dyDescent="0.25">
      <c r="B46" s="10" t="s">
        <v>30</v>
      </c>
      <c r="C46" s="9" t="s">
        <v>32</v>
      </c>
      <c r="I46" s="1"/>
    </row>
    <row r="47" spans="2:9" hidden="1" outlineLevel="1" x14ac:dyDescent="0.25">
      <c r="B47" s="12" t="s">
        <v>31</v>
      </c>
      <c r="C47" s="8" t="str" cm="1">
        <f t="array" aca="1" ref="C47" ca="1">IF($P$96=$D$48,_xll.TM1RPTVIEW(db_name&amp;":"&amp;cbAE&amp;":3", $C$48, _xll.TM1RPTTITLE(db_name&amp;":headline year",$L$96), _xll.TM1RPTTITLE(db_name&amp;":scenario",$L$97), _xll.TM1RPTTITLE(db_name&amp;":status",$C$63), _xll.TM1RPTTITLE(db_name&amp;":outcome",$C$64), _xll.TM1RPTTITLE(db_name&amp;":related entity",$C$65), _xll.TM1RPTTITLE(db_name&amp;":function",$C$66), _xll.TM1RPTTITLE(db_name&amp;":reason",$C$67), _xll.TM1RPTTITLE(db_name&amp;":spp",$C$68), _xll.TM1RPTTITLE(db_name&amp;":measure code",$C$69), _xll.TM1RPTTITLE(db_name&amp;":appropriation type",$C$70), _xll.TM1RPTTITLE(db_name&amp;":movement account",$C$73), _xll.TM1RPTTITLE(db_name&amp;":appropriation item",$C$71), _xll.TM1RPTTITLE(db_name&amp;":programme",$L$99), _xll.TM1RPTTITLE(db_name&amp;":id",$C$74), _xll.TM1RPTTITLE(db_name&amp;":jurisdiction",$C$72),TM1RPTFMTRNG,TM1RPTFMTIDCOL),_xll.TM1RPTVIEW(db_name&amp;":"&amp;cbAE&amp;":3", $C$49, _xll.TM1RPTTITLE(db_name&amp;":headline year",$L$96), _xll.TM1RPTTITLE(db_name&amp;":scenario",$L$97), _xll.TM1RPTTITLE(db_name&amp;":status",$C$63), _xll.TM1RPTTITLE(db_name&amp;":outcome",$C$64), _xll.TM1RPTTITLE(db_name&amp;":related entity",$C$65), _xll.TM1RPTTITLE(db_name&amp;":function",$C$66), _xll.TM1RPTTITLE(db_name&amp;":reason",$C$67), _xll.TM1RPTTITLE(db_name&amp;":spp",$C$68), _xll.TM1RPTTITLE(db_name&amp;":measure code",$C$69), _xll.TM1RPTTITLE(db_name&amp;":appropriation type",$C$70), _xll.TM1RPTTITLE(db_name&amp;":movement account",$C$73), _xll.TM1RPTTITLE(db_name&amp;":appropriation item",$C$71), _xll.TM1RPTTITLE(db_name&amp;":programme",$L$99), _xll.TM1RPTTITLE(db_name&amp;":id",$C$74), _xll.TM1RPTTITLE(db_name&amp;":jurisdiction",$C$72),TM1RPTFMTRNG,TM1RPTFMTIDCOL))</f>
        <v>dcceew_geus:AE Adjustments:3</v>
      </c>
      <c r="D47" s="7"/>
      <c r="E47" s="7" t="s">
        <v>40</v>
      </c>
      <c r="I47" s="1"/>
    </row>
    <row r="48" spans="2:9" hidden="1" outlineLevel="1" x14ac:dyDescent="0.25">
      <c r="B48" s="12" t="s">
        <v>50</v>
      </c>
      <c r="C48" s="8">
        <v>1</v>
      </c>
      <c r="D48" s="7" t="s">
        <v>53</v>
      </c>
      <c r="E48" s="7"/>
      <c r="I48" s="1"/>
    </row>
    <row r="49" spans="2:9" hidden="1" outlineLevel="1" x14ac:dyDescent="0.25">
      <c r="B49" s="12" t="s">
        <v>51</v>
      </c>
      <c r="C49" s="8">
        <v>0</v>
      </c>
      <c r="D49" s="7" t="s">
        <v>52</v>
      </c>
      <c r="E49" s="7"/>
      <c r="I49" s="1"/>
    </row>
    <row r="50" spans="2:9" hidden="1" outlineLevel="1" x14ac:dyDescent="0.25">
      <c r="B50" s="12" t="s">
        <v>45</v>
      </c>
      <c r="C50" s="8" t="str" cm="1">
        <f t="array" aca="1" ref="C50" ca="1">_xll.VIEW(db_name&amp;":"&amp;cbAE,$L$96,$L$97,$C$63,$C$64,$C$65,$C$66,$C$67,$C$68,$C$69,$C$70,$C$73,$C$71,$L$99,"!",$C$74,$C$72,"!")</f>
        <v>dcceew_geus:AE Adjustments</v>
      </c>
      <c r="I50" s="1"/>
    </row>
    <row r="51" spans="2:9" hidden="1" outlineLevel="1" x14ac:dyDescent="0.25">
      <c r="B51" s="10" t="s">
        <v>30</v>
      </c>
      <c r="C51" s="10" t="s">
        <v>42</v>
      </c>
      <c r="I51" s="1"/>
    </row>
    <row r="52" spans="2:9" hidden="1" outlineLevel="1" x14ac:dyDescent="0.25">
      <c r="B52" s="12" t="s">
        <v>31</v>
      </c>
      <c r="C52" s="12" t="str" cm="1">
        <f t="array" aca="1" ref="C52" ca="1">_xll.TM1RPTVIEW(db_name&amp;":"&amp;cbRpt&amp;":ARPT1", 1, _xll.TM1RPTTITLE(db_name&amp;":reporting stage",$C$75), _xll.TM1RPTTITLE(db_name&amp;":status",$C$63), _xll.TM1RPTTITLE(db_name&amp;":outcome",$C$64), _xll.TM1RPTTITLE(db_name&amp;":related entity",$C$65), _xll.TM1RPTTITLE(db_name&amp;":function",$C$66), _xll.TM1RPTTITLE(db_name&amp;":reason",$C$67), _xll.TM1RPTTITLE(db_name&amp;":spp",$C$68), _xll.TM1RPTTITLE(db_name&amp;":measure code",$C$69), _xll.TM1RPTTITLE(db_name&amp;":appropriation type",$C$70), _xll.TM1RPTTITLE(db_name&amp;":movement account",$C$73), _xll.TM1RPTTITLE(db_name&amp;":appropriation item",$C$71), _xll.TM1RPTTITLE(db_name&amp;":programme",$L$99), _xll.TM1RPTTITLE(db_name&amp;":id",$C$74), _xll.TM1RPTTITLE(db_name&amp;":jurisdiction",$C$72), _xll.TM1RPTTITLE(db_name&amp;":"&amp;cbRpt&amp;" measure",$C$76),TM1RPTFMTRNG,TM1RPTFMTIDCOL)</f>
        <v>dcceew_geus:AE Reporting:ARPT1</v>
      </c>
      <c r="I52" s="1"/>
    </row>
    <row r="53" spans="2:9" hidden="1" outlineLevel="1" x14ac:dyDescent="0.25">
      <c r="B53" s="11" t="s">
        <v>45</v>
      </c>
      <c r="C53" s="11" t="str" cm="1">
        <f t="array" aca="1" ref="C53" ca="1">_xll.VIEW(db_name&amp;":"&amp;cbRpt,$C$75,$C$63,$C$64,$C$65,$C$66,$C$67,$C$68,$C$69,$C$70,$C$73,$C$71,$L$99,"!",$C$74,$C$72,"!",$C$76)</f>
        <v>dcceew_geus:AE Reporting</v>
      </c>
      <c r="I53" s="1"/>
    </row>
    <row r="54" spans="2:9" hidden="1" outlineLevel="1" x14ac:dyDescent="0.25">
      <c r="I54" s="1"/>
    </row>
    <row r="55" spans="2:9" hidden="1" outlineLevel="1" x14ac:dyDescent="0.25">
      <c r="B55" s="41" t="s">
        <v>33</v>
      </c>
      <c r="C55" s="42"/>
      <c r="I55" s="1"/>
    </row>
    <row r="56" spans="2:9" hidden="1" outlineLevel="1" x14ac:dyDescent="0.25">
      <c r="B56" s="7" t="s">
        <v>33</v>
      </c>
      <c r="C56" s="7" t="s">
        <v>34</v>
      </c>
      <c r="I56" s="1"/>
    </row>
    <row r="57" spans="2:9" hidden="1" outlineLevel="1" x14ac:dyDescent="0.25">
      <c r="B57" s="7" t="s">
        <v>36</v>
      </c>
      <c r="C57" s="7" t="str">
        <f ca="1">"{TM1FILTERBYLEVEL( {TM1DRILLDOWNMEMBER( {[account].["&amp;$L$100&amp;"]}, ALL, RECURSIVE )}, 0)}"</f>
        <v>{TM1FILTERBYLEVEL( {TM1DRILLDOWNMEMBER( {[account].[]}, ALL, RECURSIVE )}, 0)}</v>
      </c>
      <c r="I57" s="1"/>
    </row>
    <row r="58" spans="2:9" hidden="1" outlineLevel="1" x14ac:dyDescent="0.25">
      <c r="B58" s="7" t="s">
        <v>35</v>
      </c>
      <c r="C58" s="7" t="str">
        <f ca="1">"{[account].["&amp;$L$100&amp;"]}"</f>
        <v>{[account].[]}</v>
      </c>
    </row>
    <row r="59" spans="2:9" hidden="1" outlineLevel="1" x14ac:dyDescent="0.25">
      <c r="C59" t="str">
        <f ca="1">"{DESCENDANTS ([account].[" &amp; $L$100 &amp; "]," &amp; $D$59 &amp; ",SELF_AND_BEFORE)}"</f>
        <v>{DESCENDANTS ([account].[],1,SELF_AND_BEFORE)}</v>
      </c>
      <c r="D59">
        <v>1</v>
      </c>
    </row>
    <row r="60" spans="2:9" hidden="1" outlineLevel="1" x14ac:dyDescent="0.25"/>
    <row r="61" spans="2:9" hidden="1" outlineLevel="1" x14ac:dyDescent="0.25"/>
    <row r="62" spans="2:9" hidden="1" outlineLevel="1" x14ac:dyDescent="0.25">
      <c r="B62" s="41" t="s">
        <v>44</v>
      </c>
      <c r="C62" s="42"/>
    </row>
    <row r="63" spans="2:9" hidden="1" outlineLevel="1" x14ac:dyDescent="0.25">
      <c r="B63" s="13" t="s">
        <v>1</v>
      </c>
      <c r="C63" s="7" t="str" cm="1">
        <f t="array" aca="1" ref="C63" ca="1">_xll.SUBNM(db_name&amp;":status","","Total approved")</f>
        <v/>
      </c>
    </row>
    <row r="64" spans="2:9" hidden="1" outlineLevel="1" x14ac:dyDescent="0.25">
      <c r="B64" s="13" t="s">
        <v>2</v>
      </c>
      <c r="C64" s="7" t="str" cm="1">
        <f t="array" aca="1" ref="C64" ca="1">_xll.SUBNM(db_name&amp;":outcome","","Total outcomes")</f>
        <v/>
      </c>
    </row>
    <row r="65" spans="2:28" hidden="1" outlineLevel="1" x14ac:dyDescent="0.25">
      <c r="B65" s="13" t="s">
        <v>3</v>
      </c>
      <c r="C65" s="7" t="str" cm="1">
        <f t="array" aca="1" ref="C65" ca="1">_xll.SUBNM(db_name&amp;":related entity","","Total related entity")</f>
        <v/>
      </c>
    </row>
    <row r="66" spans="2:28" hidden="1" outlineLevel="1" x14ac:dyDescent="0.25">
      <c r="B66" s="13" t="s">
        <v>4</v>
      </c>
      <c r="C66" s="7" t="str" cm="1">
        <f t="array" aca="1" ref="C66" ca="1">_xll.SUBNM(db_name&amp;":function","","Total functions")</f>
        <v/>
      </c>
    </row>
    <row r="67" spans="2:28" hidden="1" outlineLevel="1" x14ac:dyDescent="0.25">
      <c r="B67" s="13" t="s">
        <v>5</v>
      </c>
      <c r="C67" s="7" t="str" cm="1">
        <f t="array" aca="1" ref="C67" ca="1">_xll.SUBNM(db_name&amp;":reason","","Total reason")</f>
        <v/>
      </c>
    </row>
    <row r="68" spans="2:28" hidden="1" outlineLevel="1" x14ac:dyDescent="0.25">
      <c r="B68" s="13" t="s">
        <v>6</v>
      </c>
      <c r="C68" s="7" t="str" cm="1">
        <f t="array" aca="1" ref="C68" ca="1">_xll.SUBNM(db_name&amp;":spp","","Total SPP")</f>
        <v/>
      </c>
    </row>
    <row r="69" spans="2:28" hidden="1" outlineLevel="1" x14ac:dyDescent="0.25">
      <c r="B69" s="13" t="s">
        <v>7</v>
      </c>
      <c r="C69" s="7" t="str" cm="1">
        <f t="array" aca="1" ref="C69" ca="1">_xll.SUBNM(db_name&amp;":measure code","","Total Measures")</f>
        <v/>
      </c>
    </row>
    <row r="70" spans="2:28" hidden="1" outlineLevel="1" x14ac:dyDescent="0.25">
      <c r="B70" s="13" t="s">
        <v>8</v>
      </c>
      <c r="C70" s="7" t="str" cm="1">
        <f t="array" aca="1" ref="C70" ca="1">_xll.SUBNM(db_name&amp;":appropriation type","","Total approp types")</f>
        <v/>
      </c>
    </row>
    <row r="71" spans="2:28" hidden="1" outlineLevel="1" x14ac:dyDescent="0.25">
      <c r="B71" s="13" t="s">
        <v>9</v>
      </c>
      <c r="C71" s="7" t="str" cm="1">
        <f t="array" aca="1" ref="C71" ca="1">_xll.SUBNM(db_name&amp;":appropriation item","","Total approp item")</f>
        <v/>
      </c>
    </row>
    <row r="72" spans="2:28" hidden="1" outlineLevel="1" x14ac:dyDescent="0.25">
      <c r="B72" s="13" t="s">
        <v>10</v>
      </c>
      <c r="C72" s="7" t="str" cm="1">
        <f t="array" aca="1" ref="C72" ca="1">_xll.SUBNM(db_name&amp;":jurisdiction","","Total jurisdictions")</f>
        <v/>
      </c>
    </row>
    <row r="73" spans="2:28" hidden="1" outlineLevel="1" x14ac:dyDescent="0.25">
      <c r="B73" s="13" t="s">
        <v>11</v>
      </c>
      <c r="C73" s="7" t="str" cm="1">
        <f t="array" aca="1" ref="C73" ca="1">_xll.SUBNM(db_name&amp;":movement account","","Total movement","code and description")</f>
        <v/>
      </c>
    </row>
    <row r="74" spans="2:28" hidden="1" outlineLevel="1" x14ac:dyDescent="0.25">
      <c r="B74" s="13" t="s">
        <v>12</v>
      </c>
      <c r="C74" s="7" t="str" cm="1">
        <f t="array" aca="1" ref="C74" ca="1">_xll.SUBNM(db_name&amp;":id","","Total IDs")</f>
        <v/>
      </c>
    </row>
    <row r="75" spans="2:28" hidden="1" outlineLevel="1" x14ac:dyDescent="0.25">
      <c r="B75" s="13" t="s">
        <v>41</v>
      </c>
      <c r="C75" s="7" t="str" cm="1">
        <f t="array" aca="1" ref="C75" ca="1">_xll.SUBNM(db_name&amp;":reporting stage","",MID(psSourceHLYear,3,9)&amp;" "&amp;$L$98,"AE Stage Description")</f>
        <v/>
      </c>
    </row>
    <row r="76" spans="2:28" hidden="1" outlineLevel="1" x14ac:dyDescent="0.25">
      <c r="B76" s="13" t="s">
        <v>43</v>
      </c>
      <c r="C76" s="7" t="str" cm="1">
        <f t="array" aca="1" ref="C76" ca="1">_xll.SUBNM(db_name&amp;":"&amp;cbRpt&amp;" measure","","value")</f>
        <v/>
      </c>
      <c r="U76" t="s">
        <v>46</v>
      </c>
      <c r="AB76" t="s">
        <v>46</v>
      </c>
    </row>
    <row r="77" spans="2:28" hidden="1" outlineLevel="1" x14ac:dyDescent="0.25"/>
    <row r="78" spans="2:28" hidden="1" outlineLevel="1" x14ac:dyDescent="0.25">
      <c r="B78" s="1"/>
    </row>
    <row r="79" spans="2:28" hidden="1" outlineLevel="1" x14ac:dyDescent="0.25">
      <c r="B79" s="1"/>
    </row>
    <row r="80" spans="2:28" hidden="1" outlineLevel="1" x14ac:dyDescent="0.25">
      <c r="B80" s="1"/>
    </row>
    <row r="81" spans="2:30" hidden="1" outlineLevel="1" x14ac:dyDescent="0.25">
      <c r="B81" s="1"/>
      <c r="L81" s="24" t="s">
        <v>37</v>
      </c>
      <c r="M81" s="25"/>
    </row>
    <row r="82" spans="2:30" hidden="1" outlineLevel="1" x14ac:dyDescent="0.25">
      <c r="B82" s="1"/>
      <c r="L82" s="7">
        <v>-1</v>
      </c>
      <c r="M82" s="7">
        <v>0</v>
      </c>
      <c r="N82" s="7">
        <v>1</v>
      </c>
      <c r="O82" s="7">
        <v>2</v>
      </c>
      <c r="P82" s="7">
        <v>3</v>
      </c>
    </row>
    <row r="83" spans="2:30" hidden="1" outlineLevel="1" x14ac:dyDescent="0.25">
      <c r="B83" s="1"/>
      <c r="L83" s="7" t="str" cm="1">
        <f t="array" aca="1" ref="L83" ca="1">_xll.DIMNM(db_name&amp;": period",_xll.DIMIX(db_name&amp;":period",MID(psSourceHLYear,3,9))+L$82)</f>
        <v/>
      </c>
      <c r="M83" s="7" t="str" cm="1">
        <f t="array" aca="1" ref="M83" ca="1">_xll.DIMNM(db_name&amp;": period",_xll.DIMIX(db_name&amp;":period",MID(psSourceHLYear,3,9))+M$82)</f>
        <v/>
      </c>
      <c r="N83" s="7" t="str" cm="1">
        <f t="array" aca="1" ref="N83" ca="1">_xll.DIMNM(db_name&amp;": period",_xll.DIMIX(db_name&amp;":period",MID(psSourceHLYear,3,9))+N$82)</f>
        <v/>
      </c>
      <c r="O83" s="7" t="str" cm="1">
        <f t="array" aca="1" ref="O83" ca="1">_xll.DIMNM(db_name&amp;": period",_xll.DIMIX(db_name&amp;":period",MID(psSourceHLYear,3,9))+O$82)</f>
        <v/>
      </c>
      <c r="P83" s="7" t="str" cm="1">
        <f t="array" aca="1" ref="P83" ca="1">_xll.DIMNM(db_name&amp;": period",_xll.DIMIX(db_name&amp;":period",MID(psSourceHLYear,3,9))+P$82)</f>
        <v/>
      </c>
    </row>
    <row r="84" spans="2:30" hidden="1" outlineLevel="1" x14ac:dyDescent="0.25">
      <c r="B84" s="1"/>
    </row>
    <row r="85" spans="2:30" hidden="1" outlineLevel="1" x14ac:dyDescent="0.25">
      <c r="B85" s="1"/>
    </row>
    <row r="86" spans="2:30" hidden="1" outlineLevel="1" x14ac:dyDescent="0.25">
      <c r="B86" s="1"/>
    </row>
    <row r="87" spans="2:30" ht="39.950000000000003" customHeight="1" collapsed="1" x14ac:dyDescent="0.25">
      <c r="B87" s="1"/>
      <c r="J87" s="27"/>
      <c r="K87" s="27"/>
      <c r="L87" s="27"/>
      <c r="M87" s="27"/>
      <c r="N87" s="27"/>
      <c r="O87" s="27"/>
      <c r="P87" s="27"/>
      <c r="Q87" s="27"/>
      <c r="R87" s="34" t="s">
        <v>56</v>
      </c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2:30" ht="4.5" customHeight="1" x14ac:dyDescent="0.25"/>
    <row r="89" spans="2:30" ht="24" customHeight="1" x14ac:dyDescent="0.25"/>
    <row r="90" spans="2:30" ht="1.5" customHeight="1" x14ac:dyDescent="0.25"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2:30" ht="4.5" customHeight="1" x14ac:dyDescent="0.25"/>
    <row r="92" spans="2:30" x14ac:dyDescent="0.25">
      <c r="K92" s="47" t="s">
        <v>91</v>
      </c>
      <c r="L92" s="47"/>
      <c r="M92" s="47"/>
      <c r="N92" s="47"/>
      <c r="O92" s="47"/>
      <c r="P92" s="47"/>
    </row>
    <row r="93" spans="2:30" x14ac:dyDescent="0.25">
      <c r="K93" s="47" t="s">
        <v>92</v>
      </c>
      <c r="L93" s="47"/>
      <c r="M93" s="47"/>
      <c r="N93" s="47"/>
      <c r="O93" s="47"/>
      <c r="P93" s="47"/>
    </row>
    <row r="95" spans="2:30" x14ac:dyDescent="0.25">
      <c r="L95" s="43" t="s">
        <v>58</v>
      </c>
      <c r="M95" s="43"/>
      <c r="O95" s="43" t="s">
        <v>57</v>
      </c>
      <c r="P95" s="43"/>
    </row>
    <row r="96" spans="2:30" x14ac:dyDescent="0.25">
      <c r="K96" s="21" t="s">
        <v>93</v>
      </c>
      <c r="L96" s="39" t="str" cm="1">
        <f t="array" aca="1" ref="L96" ca="1">_xll.SUBNM(db_name&amp;":headline year","",curHLYear)</f>
        <v/>
      </c>
      <c r="M96" s="39"/>
      <c r="O96" s="21" t="s">
        <v>97</v>
      </c>
      <c r="P96" s="33" t="str" cm="1">
        <f t="array" aca="1" ref="P96" ca="1">_xll.SUBNM(db_name&amp;":sys_YesNo","","Yes")</f>
        <v/>
      </c>
      <c r="R96" s="1"/>
      <c r="Y96" s="1"/>
    </row>
    <row r="97" spans="11:30" x14ac:dyDescent="0.25">
      <c r="K97" s="21" t="s">
        <v>94</v>
      </c>
      <c r="L97" s="39" t="str" cm="1">
        <f t="array" aca="1" ref="L97" ca="1">_xll.SUBNM(db_name&amp;":scenario","sys_BudgetRound",$C$22)</f>
        <v/>
      </c>
      <c r="M97" s="39"/>
      <c r="R97" s="1"/>
      <c r="Y97" s="1"/>
    </row>
    <row r="98" spans="11:30" x14ac:dyDescent="0.25">
      <c r="K98" s="21" t="s">
        <v>98</v>
      </c>
      <c r="L98" s="40" t="str">
        <f ca="1">IF(psSourceScenario="current",$C$25,psSourceScenario)</f>
        <v/>
      </c>
      <c r="M98" s="40"/>
      <c r="R98" s="1"/>
      <c r="Y98" s="1"/>
    </row>
    <row r="99" spans="11:30" x14ac:dyDescent="0.25">
      <c r="K99" s="21" t="s">
        <v>95</v>
      </c>
      <c r="L99" s="39" t="str" cm="1">
        <f t="array" aca="1" ref="L99" ca="1">_xll.SUBNM(db_name&amp;":programme","","Administered Programmes","code and description")</f>
        <v/>
      </c>
      <c r="M99" s="39"/>
      <c r="R99" s="1"/>
      <c r="Y99" s="1"/>
    </row>
    <row r="100" spans="11:30" x14ac:dyDescent="0.25">
      <c r="K100" s="21" t="s">
        <v>96</v>
      </c>
      <c r="L100" s="39" t="str" cm="1">
        <f t="array" aca="1" ref="L100" ca="1">_xll.SUBNM(db_name&amp;":account","","2000000","code and description")</f>
        <v/>
      </c>
      <c r="M100" s="39"/>
      <c r="R100" s="1"/>
      <c r="Y100" s="1"/>
    </row>
    <row r="101" spans="11:30" ht="4.5" customHeight="1" x14ac:dyDescent="0.25">
      <c r="K101" s="21" t="s">
        <v>90</v>
      </c>
      <c r="R101" s="1"/>
      <c r="Y101" s="1"/>
    </row>
    <row r="102" spans="11:30" ht="28.5" customHeight="1" x14ac:dyDescent="0.3">
      <c r="K102" s="36" t="s">
        <v>48</v>
      </c>
      <c r="L102" s="37"/>
      <c r="M102" s="37"/>
      <c r="N102" s="37"/>
      <c r="O102" s="37"/>
      <c r="P102" s="38"/>
      <c r="Q102" s="14"/>
      <c r="R102" s="36" t="s">
        <v>49</v>
      </c>
      <c r="S102" s="37"/>
      <c r="T102" s="37"/>
      <c r="U102" s="37"/>
      <c r="V102" s="37"/>
      <c r="W102" s="38"/>
      <c r="Y102" s="36" t="s">
        <v>55</v>
      </c>
      <c r="Z102" s="37"/>
      <c r="AA102" s="37"/>
      <c r="AB102" s="37"/>
      <c r="AC102" s="37"/>
      <c r="AD102" s="38"/>
    </row>
    <row r="103" spans="11:30" ht="18.75" x14ac:dyDescent="0.3"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Y103" s="14"/>
      <c r="Z103" s="14"/>
      <c r="AA103" s="14"/>
      <c r="AB103" s="14"/>
      <c r="AC103" s="14"/>
      <c r="AD103" s="14"/>
    </row>
    <row r="104" spans="11:30" s="23" customFormat="1" ht="18.75" customHeight="1" x14ac:dyDescent="0.25">
      <c r="K104" s="22" t="s">
        <v>47</v>
      </c>
      <c r="L104" s="22"/>
      <c r="M104" s="22"/>
      <c r="N104" s="22"/>
      <c r="O104" s="22"/>
      <c r="P104" s="22"/>
      <c r="R104" s="22" t="str">
        <f ca="1">K104</f>
        <v>Top-level Snapshot - Financial Statements</v>
      </c>
      <c r="S104" s="22"/>
      <c r="T104" s="22"/>
      <c r="U104" s="22"/>
      <c r="V104" s="22"/>
      <c r="W104" s="22"/>
      <c r="Y104" s="22" t="str">
        <f ca="1">R104</f>
        <v>Top-level Snapshot - Financial Statements</v>
      </c>
      <c r="Z104" s="22"/>
      <c r="AA104" s="22"/>
      <c r="AB104" s="22"/>
      <c r="AC104" s="22"/>
      <c r="AD104" s="22"/>
    </row>
    <row r="105" spans="11:30" ht="6" customHeight="1" x14ac:dyDescent="0.25"/>
    <row r="106" spans="11:30" x14ac:dyDescent="0.25">
      <c r="K106" s="26"/>
      <c r="L106" s="26" t="str">
        <f ca="1">psYr1</f>
        <v/>
      </c>
      <c r="M106" s="26" t="str">
        <f ca="1">psYr2</f>
        <v/>
      </c>
      <c r="N106" s="26" t="str">
        <f ca="1">psYr3</f>
        <v/>
      </c>
      <c r="O106" s="26" t="str">
        <f ca="1">psYr4</f>
        <v/>
      </c>
      <c r="P106" s="26" t="str">
        <f ca="1">psYr5</f>
        <v/>
      </c>
      <c r="R106" s="26"/>
      <c r="S106" s="26" t="str">
        <f ca="1">psYr1</f>
        <v/>
      </c>
      <c r="T106" s="26" t="str">
        <f ca="1">psYr2</f>
        <v/>
      </c>
      <c r="U106" s="26" t="str">
        <f ca="1">psYr3</f>
        <v/>
      </c>
      <c r="V106" s="26" t="str">
        <f ca="1">psYr4</f>
        <v/>
      </c>
      <c r="W106" s="26" t="str">
        <f ca="1">psYr5</f>
        <v/>
      </c>
      <c r="Y106" s="26"/>
      <c r="Z106" s="26" t="str">
        <f ca="1">psYr1</f>
        <v/>
      </c>
      <c r="AA106" s="26" t="str">
        <f ca="1">psYr2</f>
        <v/>
      </c>
      <c r="AB106" s="26" t="str">
        <f ca="1">psYr3</f>
        <v/>
      </c>
      <c r="AC106" s="26" t="str">
        <f ca="1">psYr4</f>
        <v/>
      </c>
      <c r="AD106" s="26" t="str">
        <f ca="1">psYr5</f>
        <v/>
      </c>
    </row>
    <row r="107" spans="11:30" x14ac:dyDescent="0.25">
      <c r="K107" s="15" t="s">
        <v>13</v>
      </c>
      <c r="L107" s="16" t="str" cm="1">
        <f t="array" aca="1" ref="L107" ca="1">_xll.DBRW($C$50,$L$96,$L$97,$C$63,$C$64,$C$65,$C$66,$C$67,$C$68,$C$69,$C$70,$C$73,$C$71,$L$99,$K107,$C$74,$C$72,L$106)</f>
        <v/>
      </c>
      <c r="M107" s="16" t="str" cm="1">
        <f t="array" aca="1" ref="M107" ca="1">_xll.DBRW($C$50,$L$96,$L$97,$C$63,$C$64,$C$65,$C$66,$C$67,$C$68,$C$69,$C$70,$C$73,$C$71,$L$99,$K107,$C$74,$C$72,M$106)</f>
        <v/>
      </c>
      <c r="N107" s="16" t="str" cm="1">
        <f t="array" aca="1" ref="N107" ca="1">_xll.DBRW($C$50,$L$96,$L$97,$C$63,$C$64,$C$65,$C$66,$C$67,$C$68,$C$69,$C$70,$C$73,$C$71,$L$99,$K107,$C$74,$C$72,N$106)</f>
        <v/>
      </c>
      <c r="O107" s="16" t="str" cm="1">
        <f t="array" aca="1" ref="O107" ca="1">_xll.DBRW($C$50,$L$96,$L$97,$C$63,$C$64,$C$65,$C$66,$C$67,$C$68,$C$69,$C$70,$C$73,$C$71,$L$99,$K107,$C$74,$C$72,O$106)</f>
        <v/>
      </c>
      <c r="P107" s="16" t="str" cm="1">
        <f t="array" aca="1" ref="P107" ca="1">_xll.DBRW($C$50,$L$96,$L$97,$C$63,$C$64,$C$65,$C$66,$C$67,$C$68,$C$69,$C$70,$C$73,$C$71,$L$99,$K107,$C$74,$C$72,P$106)</f>
        <v/>
      </c>
      <c r="R107" s="15" t="str">
        <f ca="1">K107</f>
        <v>1000001 - Income</v>
      </c>
      <c r="S107" s="16" t="str" cm="1">
        <f t="array" aca="1" ref="S107" ca="1">_xll.DBRW($C$53,$C$75,$C$63,$C$64,$C$65,$C$66,$C$67,$C$68,$C$69,$C$70,$C$73,$C$71,$L$99,$R107,$C$74,$C$72,S$106,$C$76)</f>
        <v/>
      </c>
      <c r="T107" s="16" t="str" cm="1">
        <f t="array" aca="1" ref="T107" ca="1">_xll.DBRW($C$53,$C$75,$C$63,$C$64,$C$65,$C$66,$C$67,$C$68,$C$69,$C$70,$C$73,$C$71,$L$99,$R107,$C$74,$C$72,T$106,$C$76)</f>
        <v/>
      </c>
      <c r="U107" s="16" t="str" cm="1">
        <f t="array" aca="1" ref="U107" ca="1">_xll.DBRW($C$53,$C$75,$C$63,$C$64,$C$65,$C$66,$C$67,$C$68,$C$69,$C$70,$C$73,$C$71,$L$99,$R107,$C$74,$C$72,U$106,$C$76)</f>
        <v/>
      </c>
      <c r="V107" s="16" t="str" cm="1">
        <f t="array" aca="1" ref="V107" ca="1">_xll.DBRW($C$53,$C$75,$C$63,$C$64,$C$65,$C$66,$C$67,$C$68,$C$69,$C$70,$C$73,$C$71,$L$99,$R107,$C$74,$C$72,V$106,$C$76)</f>
        <v/>
      </c>
      <c r="W107" s="16" t="str" cm="1">
        <f t="array" aca="1" ref="W107" ca="1">_xll.DBRW($C$53,$C$75,$C$63,$C$64,$C$65,$C$66,$C$67,$C$68,$C$69,$C$70,$C$73,$C$71,$L$99,$R107,$C$74,$C$72,W$106,$C$76)</f>
        <v/>
      </c>
      <c r="Y107" s="15" t="str">
        <f ca="1">R107</f>
        <v>1000001 - Income</v>
      </c>
      <c r="Z107" s="16" t="e">
        <f ca="1">S107-L107</f>
        <v>#VALUE!</v>
      </c>
      <c r="AA107" s="16" t="e">
        <f t="shared" ref="AA107:AD107" ca="1" si="0">T107-M107</f>
        <v>#VALUE!</v>
      </c>
      <c r="AB107" s="16" t="e">
        <f t="shared" ca="1" si="0"/>
        <v>#VALUE!</v>
      </c>
      <c r="AC107" s="16" t="e">
        <f t="shared" ca="1" si="0"/>
        <v>#VALUE!</v>
      </c>
      <c r="AD107" s="16" t="e">
        <f t="shared" ca="1" si="0"/>
        <v>#VALUE!</v>
      </c>
    </row>
    <row r="108" spans="11:30" x14ac:dyDescent="0.25">
      <c r="K108" s="15" t="s">
        <v>14</v>
      </c>
      <c r="L108" s="16" t="str" cm="1">
        <f t="array" aca="1" ref="L108" ca="1">_xll.DBRW($C$50,$L$96,$L$97,$C$63,$C$64,$C$65,$C$66,$C$67,$C$68,$C$69,$C$70,$C$73,$C$71,$L$99,$K108,$C$74,$C$72,L$106)</f>
        <v/>
      </c>
      <c r="M108" s="16" t="str" cm="1">
        <f t="array" aca="1" ref="M108" ca="1">_xll.DBRW($C$50,$L$96,$L$97,$C$63,$C$64,$C$65,$C$66,$C$67,$C$68,$C$69,$C$70,$C$73,$C$71,$L$99,$K108,$C$74,$C$72,M$106)</f>
        <v/>
      </c>
      <c r="N108" s="16" t="str" cm="1">
        <f t="array" aca="1" ref="N108" ca="1">_xll.DBRW($C$50,$L$96,$L$97,$C$63,$C$64,$C$65,$C$66,$C$67,$C$68,$C$69,$C$70,$C$73,$C$71,$L$99,$K108,$C$74,$C$72,N$106)</f>
        <v/>
      </c>
      <c r="O108" s="16" t="str" cm="1">
        <f t="array" aca="1" ref="O108" ca="1">_xll.DBRW($C$50,$L$96,$L$97,$C$63,$C$64,$C$65,$C$66,$C$67,$C$68,$C$69,$C$70,$C$73,$C$71,$L$99,$K108,$C$74,$C$72,O$106)</f>
        <v/>
      </c>
      <c r="P108" s="16" t="str" cm="1">
        <f t="array" aca="1" ref="P108" ca="1">_xll.DBRW($C$50,$L$96,$L$97,$C$63,$C$64,$C$65,$C$66,$C$67,$C$68,$C$69,$C$70,$C$73,$C$71,$L$99,$K108,$C$74,$C$72,P$106)</f>
        <v/>
      </c>
      <c r="R108" s="15" t="str">
        <f ca="1">K108</f>
        <v>2000000 - Total Expenses</v>
      </c>
      <c r="S108" s="16" t="str" cm="1">
        <f t="array" aca="1" ref="S108" ca="1">_xll.DBRW($C$53,$C$75,$C$63,$C$64,$C$65,$C$66,$C$67,$C$68,$C$69,$C$70,$C$73,$C$71,$L$99,$R108,$C$74,$C$72,S$106,$C$76)</f>
        <v/>
      </c>
      <c r="T108" s="16" t="str" cm="1">
        <f t="array" aca="1" ref="T108" ca="1">_xll.DBRW($C$53,$C$75,$C$63,$C$64,$C$65,$C$66,$C$67,$C$68,$C$69,$C$70,$C$73,$C$71,$L$99,$R108,$C$74,$C$72,T$106,$C$76)</f>
        <v/>
      </c>
      <c r="U108" s="16" t="str" cm="1">
        <f t="array" aca="1" ref="U108" ca="1">_xll.DBRW($C$53,$C$75,$C$63,$C$64,$C$65,$C$66,$C$67,$C$68,$C$69,$C$70,$C$73,$C$71,$L$99,$R108,$C$74,$C$72,U$106,$C$76)</f>
        <v/>
      </c>
      <c r="V108" s="16" t="str" cm="1">
        <f t="array" aca="1" ref="V108" ca="1">_xll.DBRW($C$53,$C$75,$C$63,$C$64,$C$65,$C$66,$C$67,$C$68,$C$69,$C$70,$C$73,$C$71,$L$99,$R108,$C$74,$C$72,V$106,$C$76)</f>
        <v/>
      </c>
      <c r="W108" s="16" t="str" cm="1">
        <f t="array" aca="1" ref="W108" ca="1">_xll.DBRW($C$53,$C$75,$C$63,$C$64,$C$65,$C$66,$C$67,$C$68,$C$69,$C$70,$C$73,$C$71,$L$99,$R108,$C$74,$C$72,W$106,$C$76)</f>
        <v/>
      </c>
      <c r="Y108" s="15" t="str">
        <f ca="1">R108</f>
        <v>2000000 - Total Expenses</v>
      </c>
      <c r="Z108" s="16" t="e">
        <f ca="1">S108-L108</f>
        <v>#VALUE!</v>
      </c>
      <c r="AA108" s="16" t="e">
        <f t="shared" ref="AA108" ca="1" si="1">T108-M108</f>
        <v>#VALUE!</v>
      </c>
      <c r="AB108" s="16" t="e">
        <f t="shared" ref="AB108" ca="1" si="2">U108-N108</f>
        <v>#VALUE!</v>
      </c>
      <c r="AC108" s="16" t="e">
        <f t="shared" ref="AC108" ca="1" si="3">V108-O108</f>
        <v>#VALUE!</v>
      </c>
      <c r="AD108" s="16" t="e">
        <f t="shared" ref="AD108" ca="1" si="4">W108-P108</f>
        <v>#VALUE!</v>
      </c>
    </row>
    <row r="109" spans="11:30" ht="3" customHeight="1" x14ac:dyDescent="0.25">
      <c r="K109" s="19"/>
      <c r="L109" s="19"/>
      <c r="M109" s="19"/>
      <c r="N109" s="19"/>
      <c r="O109" s="19"/>
      <c r="P109" s="19"/>
      <c r="R109" s="19"/>
      <c r="S109" s="19"/>
      <c r="T109" s="19"/>
      <c r="U109" s="19"/>
      <c r="V109" s="19"/>
      <c r="W109" s="19"/>
      <c r="Y109" s="19"/>
      <c r="Z109" s="19"/>
      <c r="AA109" s="19"/>
      <c r="AB109" s="19"/>
      <c r="AC109" s="19"/>
      <c r="AD109" s="19"/>
    </row>
    <row r="110" spans="11:30" ht="15" customHeight="1" x14ac:dyDescent="0.25">
      <c r="K110" s="15" t="s">
        <v>15</v>
      </c>
      <c r="L110" s="16" t="str" cm="1">
        <f t="array" aca="1" ref="L110" ca="1">_xll.DBRW($C$50,$L$96,$L$97,$C$63,$C$64,$C$65,$C$66,$C$67,$C$68,$C$69,$C$70,$C$73,$C$71,$L$99,$K110,$C$74,$C$72,L$106)</f>
        <v/>
      </c>
      <c r="M110" s="16" t="str" cm="1">
        <f t="array" aca="1" ref="M110" ca="1">_xll.DBRW($C$50,$L$96,$L$97,$C$63,$C$64,$C$65,$C$66,$C$67,$C$68,$C$69,$C$70,$C$73,$C$71,$L$99,$K110,$C$74,$C$72,M$106)</f>
        <v/>
      </c>
      <c r="N110" s="16" t="str" cm="1">
        <f t="array" aca="1" ref="N110" ca="1">_xll.DBRW($C$50,$L$96,$L$97,$C$63,$C$64,$C$65,$C$66,$C$67,$C$68,$C$69,$C$70,$C$73,$C$71,$L$99,$K110,$C$74,$C$72,N$106)</f>
        <v/>
      </c>
      <c r="O110" s="16" t="str" cm="1">
        <f t="array" aca="1" ref="O110" ca="1">_xll.DBRW($C$50,$L$96,$L$97,$C$63,$C$64,$C$65,$C$66,$C$67,$C$68,$C$69,$C$70,$C$73,$C$71,$L$99,$K110,$C$74,$C$72,O$106)</f>
        <v/>
      </c>
      <c r="P110" s="16" t="str" cm="1">
        <f t="array" aca="1" ref="P110" ca="1">_xll.DBRW($C$50,$L$96,$L$97,$C$63,$C$64,$C$65,$C$66,$C$67,$C$68,$C$69,$C$70,$C$73,$C$71,$L$99,$K110,$C$74,$C$72,P$106)</f>
        <v/>
      </c>
      <c r="R110" s="15" t="str">
        <f ca="1">K110</f>
        <v>3800001 - Balance Sheet</v>
      </c>
      <c r="S110" s="16" t="str" cm="1">
        <f t="array" aca="1" ref="S110" ca="1">_xll.DBRW($C$53,$C$75,$C$63,$C$64,$C$65,$C$66,$C$67,$C$68,$C$69,$C$70,$C$73,$C$71,$L$99,$R110,$C$74,$C$72,S$106,$C$76)</f>
        <v/>
      </c>
      <c r="T110" s="16" t="str" cm="1">
        <f t="array" aca="1" ref="T110" ca="1">_xll.DBRW($C$53,$C$75,$C$63,$C$64,$C$65,$C$66,$C$67,$C$68,$C$69,$C$70,$C$73,$C$71,$L$99,$R110,$C$74,$C$72,T$106,$C$76)</f>
        <v/>
      </c>
      <c r="U110" s="16" t="str" cm="1">
        <f t="array" aca="1" ref="U110" ca="1">_xll.DBRW($C$53,$C$75,$C$63,$C$64,$C$65,$C$66,$C$67,$C$68,$C$69,$C$70,$C$73,$C$71,$L$99,$R110,$C$74,$C$72,U$106,$C$76)</f>
        <v/>
      </c>
      <c r="V110" s="16" t="str" cm="1">
        <f t="array" aca="1" ref="V110" ca="1">_xll.DBRW($C$53,$C$75,$C$63,$C$64,$C$65,$C$66,$C$67,$C$68,$C$69,$C$70,$C$73,$C$71,$L$99,$R110,$C$74,$C$72,V$106,$C$76)</f>
        <v/>
      </c>
      <c r="W110" s="16" t="str" cm="1">
        <f t="array" aca="1" ref="W110" ca="1">_xll.DBRW($C$53,$C$75,$C$63,$C$64,$C$65,$C$66,$C$67,$C$68,$C$69,$C$70,$C$73,$C$71,$L$99,$R110,$C$74,$C$72,W$106,$C$76)</f>
        <v/>
      </c>
      <c r="Y110" s="15" t="str">
        <f ca="1">R110</f>
        <v>3800001 - Balance Sheet</v>
      </c>
      <c r="Z110" s="16" t="e">
        <f t="shared" ref="Z110:Z112" ca="1" si="5">S110-L110</f>
        <v>#VALUE!</v>
      </c>
      <c r="AA110" s="16" t="e">
        <f t="shared" ref="AA110:AA112" ca="1" si="6">T110-M110</f>
        <v>#VALUE!</v>
      </c>
      <c r="AB110" s="16" t="e">
        <f t="shared" ref="AB110:AB112" ca="1" si="7">U110-N110</f>
        <v>#VALUE!</v>
      </c>
      <c r="AC110" s="16" t="e">
        <f t="shared" ref="AC110:AC112" ca="1" si="8">V110-O110</f>
        <v>#VALUE!</v>
      </c>
      <c r="AD110" s="16" t="e">
        <f t="shared" ref="AD110:AD112" ca="1" si="9">W110-P110</f>
        <v>#VALUE!</v>
      </c>
    </row>
    <row r="111" spans="11:30" x14ac:dyDescent="0.25">
      <c r="K111" s="15" t="s">
        <v>16</v>
      </c>
      <c r="L111" s="16" t="str" cm="1">
        <f t="array" aca="1" ref="L111" ca="1">_xll.DBRW($C$50,$L$96,$L$97,$C$63,$C$64,$C$65,$C$66,$C$67,$C$68,$C$69,$C$70,$C$73,$C$71,$L$99,$K111,$C$74,$C$72,L$106)</f>
        <v/>
      </c>
      <c r="M111" s="16" t="str" cm="1">
        <f t="array" aca="1" ref="M111" ca="1">_xll.DBRW($C$50,$L$96,$L$97,$C$63,$C$64,$C$65,$C$66,$C$67,$C$68,$C$69,$C$70,$C$73,$C$71,$L$99,$K111,$C$74,$C$72,M$106)</f>
        <v/>
      </c>
      <c r="N111" s="16" t="str" cm="1">
        <f t="array" aca="1" ref="N111" ca="1">_xll.DBRW($C$50,$L$96,$L$97,$C$63,$C$64,$C$65,$C$66,$C$67,$C$68,$C$69,$C$70,$C$73,$C$71,$L$99,$K111,$C$74,$C$72,N$106)</f>
        <v/>
      </c>
      <c r="O111" s="16" t="str" cm="1">
        <f t="array" aca="1" ref="O111" ca="1">_xll.DBRW($C$50,$L$96,$L$97,$C$63,$C$64,$C$65,$C$66,$C$67,$C$68,$C$69,$C$70,$C$73,$C$71,$L$99,$K111,$C$74,$C$72,O$106)</f>
        <v/>
      </c>
      <c r="P111" s="16" t="str" cm="1">
        <f t="array" aca="1" ref="P111" ca="1">_xll.DBRW($C$50,$L$96,$L$97,$C$63,$C$64,$C$65,$C$66,$C$67,$C$68,$C$69,$C$70,$C$73,$C$71,$L$99,$K111,$C$74,$C$72,P$106)</f>
        <v/>
      </c>
      <c r="R111" s="15" t="str">
        <f ca="1">K111</f>
        <v>3900000 - Liabilities and Equity</v>
      </c>
      <c r="S111" s="16" t="str" cm="1">
        <f t="array" aca="1" ref="S111" ca="1">_xll.DBRW($C$53,$C$75,$C$63,$C$64,$C$65,$C$66,$C$67,$C$68,$C$69,$C$70,$C$73,$C$71,$L$99,$R111,$C$74,$C$72,S$106,$C$76)</f>
        <v/>
      </c>
      <c r="T111" s="16" t="str" cm="1">
        <f t="array" aca="1" ref="T111" ca="1">_xll.DBRW($C$53,$C$75,$C$63,$C$64,$C$65,$C$66,$C$67,$C$68,$C$69,$C$70,$C$73,$C$71,$L$99,$R111,$C$74,$C$72,T$106,$C$76)</f>
        <v/>
      </c>
      <c r="U111" s="16" t="str" cm="1">
        <f t="array" aca="1" ref="U111" ca="1">_xll.DBRW($C$53,$C$75,$C$63,$C$64,$C$65,$C$66,$C$67,$C$68,$C$69,$C$70,$C$73,$C$71,$L$99,$R111,$C$74,$C$72,U$106,$C$76)</f>
        <v/>
      </c>
      <c r="V111" s="16" t="str" cm="1">
        <f t="array" aca="1" ref="V111" ca="1">_xll.DBRW($C$53,$C$75,$C$63,$C$64,$C$65,$C$66,$C$67,$C$68,$C$69,$C$70,$C$73,$C$71,$L$99,$R111,$C$74,$C$72,V$106,$C$76)</f>
        <v/>
      </c>
      <c r="W111" s="16" t="str" cm="1">
        <f t="array" aca="1" ref="W111" ca="1">_xll.DBRW($C$53,$C$75,$C$63,$C$64,$C$65,$C$66,$C$67,$C$68,$C$69,$C$70,$C$73,$C$71,$L$99,$R111,$C$74,$C$72,W$106,$C$76)</f>
        <v/>
      </c>
      <c r="Y111" s="15" t="str">
        <f ca="1">R111</f>
        <v>3900000 - Liabilities and Equity</v>
      </c>
      <c r="Z111" s="16" t="e">
        <f t="shared" ca="1" si="5"/>
        <v>#VALUE!</v>
      </c>
      <c r="AA111" s="16" t="e">
        <f t="shared" ca="1" si="6"/>
        <v>#VALUE!</v>
      </c>
      <c r="AB111" s="16" t="e">
        <f t="shared" ca="1" si="7"/>
        <v>#VALUE!</v>
      </c>
      <c r="AC111" s="16" t="e">
        <f t="shared" ca="1" si="8"/>
        <v>#VALUE!</v>
      </c>
      <c r="AD111" s="16" t="e">
        <f t="shared" ca="1" si="9"/>
        <v>#VALUE!</v>
      </c>
    </row>
    <row r="112" spans="11:30" x14ac:dyDescent="0.25">
      <c r="K112" s="15" t="s">
        <v>17</v>
      </c>
      <c r="L112" s="16" t="str" cm="1">
        <f t="array" aca="1" ref="L112" ca="1">_xll.DBRW($C$50,$L$96,$L$97,$C$63,$C$64,$C$65,$C$66,$C$67,$C$68,$C$69,$C$70,$C$73,$C$71,$L$99,$K112,$C$74,$C$72,L$106)</f>
        <v/>
      </c>
      <c r="M112" s="16" t="str" cm="1">
        <f t="array" aca="1" ref="M112" ca="1">_xll.DBRW($C$50,$L$96,$L$97,$C$63,$C$64,$C$65,$C$66,$C$67,$C$68,$C$69,$C$70,$C$73,$C$71,$L$99,$K112,$C$74,$C$72,M$106)</f>
        <v/>
      </c>
      <c r="N112" s="16" t="str" cm="1">
        <f t="array" aca="1" ref="N112" ca="1">_xll.DBRW($C$50,$L$96,$L$97,$C$63,$C$64,$C$65,$C$66,$C$67,$C$68,$C$69,$C$70,$C$73,$C$71,$L$99,$K112,$C$74,$C$72,N$106)</f>
        <v/>
      </c>
      <c r="O112" s="16" t="str" cm="1">
        <f t="array" aca="1" ref="O112" ca="1">_xll.DBRW($C$50,$L$96,$L$97,$C$63,$C$64,$C$65,$C$66,$C$67,$C$68,$C$69,$C$70,$C$73,$C$71,$L$99,$K112,$C$74,$C$72,O$106)</f>
        <v/>
      </c>
      <c r="P112" s="16" t="str" cm="1">
        <f t="array" aca="1" ref="P112" ca="1">_xll.DBRW($C$50,$L$96,$L$97,$C$63,$C$64,$C$65,$C$66,$C$67,$C$68,$C$69,$C$70,$C$73,$C$71,$L$99,$K112,$C$74,$C$72,P$106)</f>
        <v/>
      </c>
      <c r="R112" s="15" t="str">
        <f ca="1">K112</f>
        <v>5000000 - Total Assets</v>
      </c>
      <c r="S112" s="16" t="str" cm="1">
        <f t="array" aca="1" ref="S112" ca="1">_xll.DBRW($C$53,$C$75,$C$63,$C$64,$C$65,$C$66,$C$67,$C$68,$C$69,$C$70,$C$73,$C$71,$L$99,$R112,$C$74,$C$72,S$106,$C$76)</f>
        <v/>
      </c>
      <c r="T112" s="16" t="str" cm="1">
        <f t="array" aca="1" ref="T112" ca="1">_xll.DBRW($C$53,$C$75,$C$63,$C$64,$C$65,$C$66,$C$67,$C$68,$C$69,$C$70,$C$73,$C$71,$L$99,$R112,$C$74,$C$72,T$106,$C$76)</f>
        <v/>
      </c>
      <c r="U112" s="16" t="str" cm="1">
        <f t="array" aca="1" ref="U112" ca="1">_xll.DBRW($C$53,$C$75,$C$63,$C$64,$C$65,$C$66,$C$67,$C$68,$C$69,$C$70,$C$73,$C$71,$L$99,$R112,$C$74,$C$72,U$106,$C$76)</f>
        <v/>
      </c>
      <c r="V112" s="16" t="str" cm="1">
        <f t="array" aca="1" ref="V112" ca="1">_xll.DBRW($C$53,$C$75,$C$63,$C$64,$C$65,$C$66,$C$67,$C$68,$C$69,$C$70,$C$73,$C$71,$L$99,$R112,$C$74,$C$72,V$106,$C$76)</f>
        <v/>
      </c>
      <c r="W112" s="16" t="str" cm="1">
        <f t="array" aca="1" ref="W112" ca="1">_xll.DBRW($C$53,$C$75,$C$63,$C$64,$C$65,$C$66,$C$67,$C$68,$C$69,$C$70,$C$73,$C$71,$L$99,$R112,$C$74,$C$72,W$106,$C$76)</f>
        <v/>
      </c>
      <c r="Y112" s="15" t="str">
        <f ca="1">R112</f>
        <v>5000000 - Total Assets</v>
      </c>
      <c r="Z112" s="16" t="e">
        <f t="shared" ca="1" si="5"/>
        <v>#VALUE!</v>
      </c>
      <c r="AA112" s="16" t="e">
        <f t="shared" ca="1" si="6"/>
        <v>#VALUE!</v>
      </c>
      <c r="AB112" s="16" t="e">
        <f t="shared" ca="1" si="7"/>
        <v>#VALUE!</v>
      </c>
      <c r="AC112" s="16" t="e">
        <f t="shared" ca="1" si="8"/>
        <v>#VALUE!</v>
      </c>
      <c r="AD112" s="16" t="e">
        <f t="shared" ca="1" si="9"/>
        <v>#VALUE!</v>
      </c>
    </row>
    <row r="113" spans="1:30" ht="3.75" customHeight="1" x14ac:dyDescent="0.25">
      <c r="K113" s="19"/>
      <c r="L113" s="19"/>
      <c r="M113" s="19"/>
      <c r="N113" s="19"/>
      <c r="O113" s="19"/>
      <c r="P113" s="19"/>
      <c r="R113" s="19"/>
      <c r="S113" s="19"/>
      <c r="T113" s="19"/>
      <c r="U113" s="19"/>
      <c r="V113" s="19"/>
      <c r="W113" s="19"/>
      <c r="Y113" s="19"/>
      <c r="Z113" s="19"/>
      <c r="AA113" s="19"/>
      <c r="AB113" s="19"/>
      <c r="AC113" s="19"/>
      <c r="AD113" s="19"/>
    </row>
    <row r="114" spans="1:30" x14ac:dyDescent="0.25">
      <c r="K114" s="15" t="s">
        <v>18</v>
      </c>
      <c r="L114" s="16" t="str" cm="1">
        <f t="array" aca="1" ref="L114" ca="1">_xll.DBRW($C$50,$L$96,$L$97,$C$63,$C$64,$C$65,$C$66,$C$67,$C$68,$C$69,$C$70,$C$73,$C$71,$L$99,$K114,$C$74,$C$72,L$106)</f>
        <v/>
      </c>
      <c r="M114" s="16" t="str" cm="1">
        <f t="array" aca="1" ref="M114" ca="1">_xll.DBRW($C$50,$L$96,$L$97,$C$63,$C$64,$C$65,$C$66,$C$67,$C$68,$C$69,$C$70,$C$73,$C$71,$L$99,$K114,$C$74,$C$72,M$106)</f>
        <v/>
      </c>
      <c r="N114" s="16" t="str" cm="1">
        <f t="array" aca="1" ref="N114" ca="1">_xll.DBRW($C$50,$L$96,$L$97,$C$63,$C$64,$C$65,$C$66,$C$67,$C$68,$C$69,$C$70,$C$73,$C$71,$L$99,$K114,$C$74,$C$72,N$106)</f>
        <v/>
      </c>
      <c r="O114" s="16" t="str" cm="1">
        <f t="array" aca="1" ref="O114" ca="1">_xll.DBRW($C$50,$L$96,$L$97,$C$63,$C$64,$C$65,$C$66,$C$67,$C$68,$C$69,$C$70,$C$73,$C$71,$L$99,$K114,$C$74,$C$72,O$106)</f>
        <v/>
      </c>
      <c r="P114" s="16" t="str" cm="1">
        <f t="array" aca="1" ref="P114" ca="1">_xll.DBRW($C$50,$L$96,$L$97,$C$63,$C$64,$C$65,$C$66,$C$67,$C$68,$C$69,$C$70,$C$73,$C$71,$L$99,$K114,$C$74,$C$72,P$106)</f>
        <v/>
      </c>
      <c r="R114" s="15" t="str">
        <f ca="1">K114</f>
        <v>9000003 - Cashflow Statement</v>
      </c>
      <c r="S114" s="16" t="str" cm="1">
        <f t="array" aca="1" ref="S114" ca="1">_xll.DBRW($C$53,$C$75,$C$63,$C$64,$C$65,$C$66,$C$67,$C$68,$C$69,$C$70,$C$73,$C$71,$L$99,$R114,$C$74,$C$72,S$106,$C$76)</f>
        <v/>
      </c>
      <c r="T114" s="16" t="str" cm="1">
        <f t="array" aca="1" ref="T114" ca="1">_xll.DBRW($C$53,$C$75,$C$63,$C$64,$C$65,$C$66,$C$67,$C$68,$C$69,$C$70,$C$73,$C$71,$L$99,$R114,$C$74,$C$72,T$106,$C$76)</f>
        <v/>
      </c>
      <c r="U114" s="16" t="str" cm="1">
        <f t="array" aca="1" ref="U114" ca="1">_xll.DBRW($C$53,$C$75,$C$63,$C$64,$C$65,$C$66,$C$67,$C$68,$C$69,$C$70,$C$73,$C$71,$L$99,$R114,$C$74,$C$72,U$106,$C$76)</f>
        <v/>
      </c>
      <c r="V114" s="16" t="str" cm="1">
        <f t="array" aca="1" ref="V114" ca="1">_xll.DBRW($C$53,$C$75,$C$63,$C$64,$C$65,$C$66,$C$67,$C$68,$C$69,$C$70,$C$73,$C$71,$L$99,$R114,$C$74,$C$72,V$106,$C$76)</f>
        <v/>
      </c>
      <c r="W114" s="16" t="str" cm="1">
        <f t="array" aca="1" ref="W114" ca="1">_xll.DBRW($C$53,$C$75,$C$63,$C$64,$C$65,$C$66,$C$67,$C$68,$C$69,$C$70,$C$73,$C$71,$L$99,$R114,$C$74,$C$72,W$106,$C$76)</f>
        <v/>
      </c>
      <c r="Y114" s="15" t="str">
        <f ca="1">R114</f>
        <v>9000003 - Cashflow Statement</v>
      </c>
      <c r="Z114" s="16" t="e">
        <f t="shared" ref="Z114:Z117" ca="1" si="10">S114-L114</f>
        <v>#VALUE!</v>
      </c>
      <c r="AA114" s="16" t="e">
        <f t="shared" ref="AA114:AA117" ca="1" si="11">T114-M114</f>
        <v>#VALUE!</v>
      </c>
      <c r="AB114" s="16" t="e">
        <f t="shared" ref="AB114:AB117" ca="1" si="12">U114-N114</f>
        <v>#VALUE!</v>
      </c>
      <c r="AC114" s="16" t="e">
        <f t="shared" ref="AC114:AC117" ca="1" si="13">V114-O114</f>
        <v>#VALUE!</v>
      </c>
      <c r="AD114" s="16" t="e">
        <f t="shared" ref="AD114:AD117" ca="1" si="14">W114-P114</f>
        <v>#VALUE!</v>
      </c>
    </row>
    <row r="115" spans="1:30" x14ac:dyDescent="0.25">
      <c r="K115" s="15" t="s">
        <v>19</v>
      </c>
      <c r="L115" s="16" t="str" cm="1">
        <f t="array" aca="1" ref="L115" ca="1">_xll.DBRW($C$50,$L$96,$L$97,$C$63,$C$64,$C$65,$C$66,$C$67,$C$68,$C$69,$C$70,$C$73,$C$71,$L$99,$K115,$C$74,$C$72,L$106)</f>
        <v/>
      </c>
      <c r="M115" s="16" t="str" cm="1">
        <f t="array" aca="1" ref="M115" ca="1">_xll.DBRW($C$50,$L$96,$L$97,$C$63,$C$64,$C$65,$C$66,$C$67,$C$68,$C$69,$C$70,$C$73,$C$71,$L$99,$K115,$C$74,$C$72,M$106)</f>
        <v/>
      </c>
      <c r="N115" s="16" t="str" cm="1">
        <f t="array" aca="1" ref="N115" ca="1">_xll.DBRW($C$50,$L$96,$L$97,$C$63,$C$64,$C$65,$C$66,$C$67,$C$68,$C$69,$C$70,$C$73,$C$71,$L$99,$K115,$C$74,$C$72,N$106)</f>
        <v/>
      </c>
      <c r="O115" s="16" t="str" cm="1">
        <f t="array" aca="1" ref="O115" ca="1">_xll.DBRW($C$50,$L$96,$L$97,$C$63,$C$64,$C$65,$C$66,$C$67,$C$68,$C$69,$C$70,$C$73,$C$71,$L$99,$K115,$C$74,$C$72,O$106)</f>
        <v/>
      </c>
      <c r="P115" s="16" t="str" cm="1">
        <f t="array" aca="1" ref="P115" ca="1">_xll.DBRW($C$50,$L$96,$L$97,$C$63,$C$64,$C$65,$C$66,$C$67,$C$68,$C$69,$C$70,$C$73,$C$71,$L$99,$K115,$C$74,$C$72,P$106)</f>
        <v/>
      </c>
      <c r="R115" s="15" t="str">
        <f ca="1">K115</f>
        <v>6210000 - Net Cash (from)/to Operating Activities</v>
      </c>
      <c r="S115" s="16" t="str" cm="1">
        <f t="array" aca="1" ref="S115" ca="1">_xll.DBRW($C$53,$C$75,$C$63,$C$64,$C$65,$C$66,$C$67,$C$68,$C$69,$C$70,$C$73,$C$71,$L$99,$R115,$C$74,$C$72,S$106,$C$76)</f>
        <v/>
      </c>
      <c r="T115" s="16" t="str" cm="1">
        <f t="array" aca="1" ref="T115" ca="1">_xll.DBRW($C$53,$C$75,$C$63,$C$64,$C$65,$C$66,$C$67,$C$68,$C$69,$C$70,$C$73,$C$71,$L$99,$R115,$C$74,$C$72,T$106,$C$76)</f>
        <v/>
      </c>
      <c r="U115" s="16" t="str" cm="1">
        <f t="array" aca="1" ref="U115" ca="1">_xll.DBRW($C$53,$C$75,$C$63,$C$64,$C$65,$C$66,$C$67,$C$68,$C$69,$C$70,$C$73,$C$71,$L$99,$R115,$C$74,$C$72,U$106,$C$76)</f>
        <v/>
      </c>
      <c r="V115" s="16" t="str" cm="1">
        <f t="array" aca="1" ref="V115" ca="1">_xll.DBRW($C$53,$C$75,$C$63,$C$64,$C$65,$C$66,$C$67,$C$68,$C$69,$C$70,$C$73,$C$71,$L$99,$R115,$C$74,$C$72,V$106,$C$76)</f>
        <v/>
      </c>
      <c r="W115" s="16" t="str" cm="1">
        <f t="array" aca="1" ref="W115" ca="1">_xll.DBRW($C$53,$C$75,$C$63,$C$64,$C$65,$C$66,$C$67,$C$68,$C$69,$C$70,$C$73,$C$71,$L$99,$R115,$C$74,$C$72,W$106,$C$76)</f>
        <v/>
      </c>
      <c r="Y115" s="15" t="str">
        <f ca="1">R115</f>
        <v>6210000 - Net Cash (from)/to Operating Activities</v>
      </c>
      <c r="Z115" s="16" t="e">
        <f t="shared" ca="1" si="10"/>
        <v>#VALUE!</v>
      </c>
      <c r="AA115" s="16" t="e">
        <f t="shared" ca="1" si="11"/>
        <v>#VALUE!</v>
      </c>
      <c r="AB115" s="16" t="e">
        <f t="shared" ca="1" si="12"/>
        <v>#VALUE!</v>
      </c>
      <c r="AC115" s="16" t="e">
        <f t="shared" ca="1" si="13"/>
        <v>#VALUE!</v>
      </c>
      <c r="AD115" s="16" t="e">
        <f t="shared" ca="1" si="14"/>
        <v>#VALUE!</v>
      </c>
    </row>
    <row r="116" spans="1:30" x14ac:dyDescent="0.25">
      <c r="K116" s="15" t="s">
        <v>20</v>
      </c>
      <c r="L116" s="16" t="str" cm="1">
        <f t="array" aca="1" ref="L116" ca="1">_xll.DBRW($C$50,$L$96,$L$97,$C$63,$C$64,$C$65,$C$66,$C$67,$C$68,$C$69,$C$70,$C$73,$C$71,$L$99,$K116,$C$74,$C$72,L$106)</f>
        <v/>
      </c>
      <c r="M116" s="16" t="str" cm="1">
        <f t="array" aca="1" ref="M116" ca="1">_xll.DBRW($C$50,$L$96,$L$97,$C$63,$C$64,$C$65,$C$66,$C$67,$C$68,$C$69,$C$70,$C$73,$C$71,$L$99,$K116,$C$74,$C$72,M$106)</f>
        <v/>
      </c>
      <c r="N116" s="16" t="str" cm="1">
        <f t="array" aca="1" ref="N116" ca="1">_xll.DBRW($C$50,$L$96,$L$97,$C$63,$C$64,$C$65,$C$66,$C$67,$C$68,$C$69,$C$70,$C$73,$C$71,$L$99,$K116,$C$74,$C$72,N$106)</f>
        <v/>
      </c>
      <c r="O116" s="16" t="str" cm="1">
        <f t="array" aca="1" ref="O116" ca="1">_xll.DBRW($C$50,$L$96,$L$97,$C$63,$C$64,$C$65,$C$66,$C$67,$C$68,$C$69,$C$70,$C$73,$C$71,$L$99,$K116,$C$74,$C$72,O$106)</f>
        <v/>
      </c>
      <c r="P116" s="16" t="str" cm="1">
        <f t="array" aca="1" ref="P116" ca="1">_xll.DBRW($C$50,$L$96,$L$97,$C$63,$C$64,$C$65,$C$66,$C$67,$C$68,$C$69,$C$70,$C$73,$C$71,$L$99,$K116,$C$74,$C$72,P$106)</f>
        <v/>
      </c>
      <c r="R116" s="15" t="str">
        <f ca="1">K116</f>
        <v>6220000 - Net Cash (from)/to Investing Activities</v>
      </c>
      <c r="S116" s="16" t="str" cm="1">
        <f t="array" aca="1" ref="S116" ca="1">_xll.DBRW($C$53,$C$75,$C$63,$C$64,$C$65,$C$66,$C$67,$C$68,$C$69,$C$70,$C$73,$C$71,$L$99,$R116,$C$74,$C$72,S$106,$C$76)</f>
        <v/>
      </c>
      <c r="T116" s="16" t="str" cm="1">
        <f t="array" aca="1" ref="T116" ca="1">_xll.DBRW($C$53,$C$75,$C$63,$C$64,$C$65,$C$66,$C$67,$C$68,$C$69,$C$70,$C$73,$C$71,$L$99,$R116,$C$74,$C$72,T$106,$C$76)</f>
        <v/>
      </c>
      <c r="U116" s="16" t="str" cm="1">
        <f t="array" aca="1" ref="U116" ca="1">_xll.DBRW($C$53,$C$75,$C$63,$C$64,$C$65,$C$66,$C$67,$C$68,$C$69,$C$70,$C$73,$C$71,$L$99,$R116,$C$74,$C$72,U$106,$C$76)</f>
        <v/>
      </c>
      <c r="V116" s="16" t="str" cm="1">
        <f t="array" aca="1" ref="V116" ca="1">_xll.DBRW($C$53,$C$75,$C$63,$C$64,$C$65,$C$66,$C$67,$C$68,$C$69,$C$70,$C$73,$C$71,$L$99,$R116,$C$74,$C$72,V$106,$C$76)</f>
        <v/>
      </c>
      <c r="W116" s="16" t="str" cm="1">
        <f t="array" aca="1" ref="W116" ca="1">_xll.DBRW($C$53,$C$75,$C$63,$C$64,$C$65,$C$66,$C$67,$C$68,$C$69,$C$70,$C$73,$C$71,$L$99,$R116,$C$74,$C$72,W$106,$C$76)</f>
        <v/>
      </c>
      <c r="Y116" s="15" t="str">
        <f ca="1">R116</f>
        <v>6220000 - Net Cash (from)/to Investing Activities</v>
      </c>
      <c r="Z116" s="16" t="e">
        <f t="shared" ca="1" si="10"/>
        <v>#VALUE!</v>
      </c>
      <c r="AA116" s="16" t="e">
        <f t="shared" ca="1" si="11"/>
        <v>#VALUE!</v>
      </c>
      <c r="AB116" s="16" t="e">
        <f t="shared" ca="1" si="12"/>
        <v>#VALUE!</v>
      </c>
      <c r="AC116" s="16" t="e">
        <f t="shared" ca="1" si="13"/>
        <v>#VALUE!</v>
      </c>
      <c r="AD116" s="16" t="e">
        <f t="shared" ca="1" si="14"/>
        <v>#VALUE!</v>
      </c>
    </row>
    <row r="117" spans="1:30" x14ac:dyDescent="0.25">
      <c r="K117" s="15" t="s">
        <v>21</v>
      </c>
      <c r="L117" s="16" t="str" cm="1">
        <f t="array" aca="1" ref="L117" ca="1">_xll.DBRW($C$50,$L$96,$L$97,$C$63,$C$64,$C$65,$C$66,$C$67,$C$68,$C$69,$C$70,$C$73,$C$71,$L$99,$K117,$C$74,$C$72,L$106)</f>
        <v/>
      </c>
      <c r="M117" s="16" t="str" cm="1">
        <f t="array" aca="1" ref="M117" ca="1">_xll.DBRW($C$50,$L$96,$L$97,$C$63,$C$64,$C$65,$C$66,$C$67,$C$68,$C$69,$C$70,$C$73,$C$71,$L$99,$K117,$C$74,$C$72,M$106)</f>
        <v/>
      </c>
      <c r="N117" s="16" t="str" cm="1">
        <f t="array" aca="1" ref="N117" ca="1">_xll.DBRW($C$50,$L$96,$L$97,$C$63,$C$64,$C$65,$C$66,$C$67,$C$68,$C$69,$C$70,$C$73,$C$71,$L$99,$K117,$C$74,$C$72,N$106)</f>
        <v/>
      </c>
      <c r="O117" s="16" t="str" cm="1">
        <f t="array" aca="1" ref="O117" ca="1">_xll.DBRW($C$50,$L$96,$L$97,$C$63,$C$64,$C$65,$C$66,$C$67,$C$68,$C$69,$C$70,$C$73,$C$71,$L$99,$K117,$C$74,$C$72,O$106)</f>
        <v/>
      </c>
      <c r="P117" s="16" t="str" cm="1">
        <f t="array" aca="1" ref="P117" ca="1">_xll.DBRW($C$50,$L$96,$L$97,$C$63,$C$64,$C$65,$C$66,$C$67,$C$68,$C$69,$C$70,$C$73,$C$71,$L$99,$K117,$C$74,$C$72,P$106)</f>
        <v/>
      </c>
      <c r="R117" s="15" t="str">
        <f ca="1">K117</f>
        <v>6230000 - Net Cash (from)/to Financing Activities</v>
      </c>
      <c r="S117" s="16" t="str" cm="1">
        <f t="array" aca="1" ref="S117" ca="1">_xll.DBRW($C$53,$C$75,$C$63,$C$64,$C$65,$C$66,$C$67,$C$68,$C$69,$C$70,$C$73,$C$71,$L$99,$R117,$C$74,$C$72,S$106,$C$76)</f>
        <v/>
      </c>
      <c r="T117" s="16" t="str" cm="1">
        <f t="array" aca="1" ref="T117" ca="1">_xll.DBRW($C$53,$C$75,$C$63,$C$64,$C$65,$C$66,$C$67,$C$68,$C$69,$C$70,$C$73,$C$71,$L$99,$R117,$C$74,$C$72,T$106,$C$76)</f>
        <v/>
      </c>
      <c r="U117" s="16" t="str" cm="1">
        <f t="array" aca="1" ref="U117" ca="1">_xll.DBRW($C$53,$C$75,$C$63,$C$64,$C$65,$C$66,$C$67,$C$68,$C$69,$C$70,$C$73,$C$71,$L$99,$R117,$C$74,$C$72,U$106,$C$76)</f>
        <v/>
      </c>
      <c r="V117" s="16" t="str" cm="1">
        <f t="array" aca="1" ref="V117" ca="1">_xll.DBRW($C$53,$C$75,$C$63,$C$64,$C$65,$C$66,$C$67,$C$68,$C$69,$C$70,$C$73,$C$71,$L$99,$R117,$C$74,$C$72,V$106,$C$76)</f>
        <v/>
      </c>
      <c r="W117" s="16" t="str" cm="1">
        <f t="array" aca="1" ref="W117" ca="1">_xll.DBRW($C$53,$C$75,$C$63,$C$64,$C$65,$C$66,$C$67,$C$68,$C$69,$C$70,$C$73,$C$71,$L$99,$R117,$C$74,$C$72,W$106,$C$76)</f>
        <v/>
      </c>
      <c r="Y117" s="15" t="str">
        <f ca="1">R117</f>
        <v>6230000 - Net Cash (from)/to Financing Activities</v>
      </c>
      <c r="Z117" s="16" t="e">
        <f t="shared" ca="1" si="10"/>
        <v>#VALUE!</v>
      </c>
      <c r="AA117" s="16" t="e">
        <f t="shared" ca="1" si="11"/>
        <v>#VALUE!</v>
      </c>
      <c r="AB117" s="16" t="e">
        <f t="shared" ca="1" si="12"/>
        <v>#VALUE!</v>
      </c>
      <c r="AC117" s="16" t="e">
        <f t="shared" ca="1" si="13"/>
        <v>#VALUE!</v>
      </c>
      <c r="AD117" s="16" t="e">
        <f t="shared" ca="1" si="14"/>
        <v>#VALUE!</v>
      </c>
    </row>
    <row r="118" spans="1:30" ht="3.75" customHeight="1" x14ac:dyDescent="0.25">
      <c r="K118" s="19"/>
      <c r="L118" s="19"/>
      <c r="M118" s="19"/>
      <c r="N118" s="19"/>
      <c r="O118" s="19"/>
      <c r="P118" s="19"/>
      <c r="R118" s="19"/>
      <c r="S118" s="19"/>
      <c r="T118" s="19"/>
      <c r="U118" s="19"/>
      <c r="V118" s="19"/>
      <c r="W118" s="19"/>
      <c r="Y118" s="19"/>
      <c r="Z118" s="19"/>
      <c r="AA118" s="19"/>
      <c r="AB118" s="19"/>
      <c r="AC118" s="19"/>
      <c r="AD118" s="19"/>
    </row>
    <row r="121" spans="1:30" s="23" customFormat="1" ht="18.75" customHeight="1" x14ac:dyDescent="0.25">
      <c r="K121" s="22" t="s">
        <v>54</v>
      </c>
      <c r="L121" s="22"/>
      <c r="M121" s="22"/>
      <c r="N121" s="22"/>
      <c r="O121" s="22"/>
      <c r="P121" s="22"/>
      <c r="R121" s="22" t="s">
        <v>54</v>
      </c>
      <c r="S121" s="22"/>
      <c r="T121" s="22"/>
      <c r="U121" s="22"/>
      <c r="V121" s="22"/>
      <c r="W121" s="22"/>
      <c r="Y121" s="22" t="s">
        <v>54</v>
      </c>
      <c r="Z121" s="22"/>
      <c r="AA121" s="22"/>
      <c r="AB121" s="22"/>
      <c r="AC121" s="22"/>
      <c r="AD121" s="22"/>
    </row>
    <row r="122" spans="1:30" ht="6" customHeight="1" x14ac:dyDescent="0.25"/>
    <row r="123" spans="1:30" x14ac:dyDescent="0.25">
      <c r="K123" s="20" t="s">
        <v>34</v>
      </c>
      <c r="L123" s="17" t="str">
        <f ca="1">psYr1</f>
        <v/>
      </c>
      <c r="M123" s="17" t="str">
        <f ca="1">psYr2</f>
        <v/>
      </c>
      <c r="N123" s="17" t="str">
        <f ca="1">psYr3</f>
        <v/>
      </c>
      <c r="O123" s="17" t="str">
        <f ca="1">psYr4</f>
        <v/>
      </c>
      <c r="P123" s="17" t="str">
        <f ca="1">psYr5</f>
        <v/>
      </c>
      <c r="R123" s="20" t="s">
        <v>34</v>
      </c>
      <c r="S123" s="17" t="str">
        <f ca="1">psYr1</f>
        <v/>
      </c>
      <c r="T123" s="17" t="str">
        <f ca="1">psYr2</f>
        <v/>
      </c>
      <c r="U123" s="17" t="str">
        <f ca="1">psYr3</f>
        <v/>
      </c>
      <c r="V123" s="17" t="str">
        <f ca="1">psYr4</f>
        <v/>
      </c>
      <c r="W123" s="17" t="str">
        <f ca="1">psYr5</f>
        <v/>
      </c>
      <c r="Y123" s="20" t="s">
        <v>34</v>
      </c>
      <c r="Z123" s="17" t="str">
        <f ca="1">psYr1</f>
        <v/>
      </c>
      <c r="AA123" s="17" t="str">
        <f ca="1">psYr2</f>
        <v/>
      </c>
      <c r="AB123" s="17" t="str">
        <f ca="1">psYr3</f>
        <v/>
      </c>
      <c r="AC123" s="17" t="str">
        <f ca="1">psYr4</f>
        <v/>
      </c>
      <c r="AD123" s="17" t="str">
        <f ca="1">psYr5</f>
        <v/>
      </c>
    </row>
    <row r="124" spans="1:30" x14ac:dyDescent="0.25">
      <c r="A124" t="str" cm="1">
        <f t="array" aca="1" ref="A124" ca="1">IF(_xll.TM1RPTELISCONSOLIDATED($K$124,$K124),IF(_xll.TM1RPTELLEV($K$124,$K124)&lt;=3,_xll.TM1RPTELLEV($K$124,$K124),"D"),"N")</f>
        <v>N</v>
      </c>
      <c r="B124" s="2"/>
      <c r="C124" s="4"/>
      <c r="D124" s="4"/>
      <c r="E124" s="4"/>
      <c r="F124" s="4"/>
      <c r="G124" s="4"/>
      <c r="K124" s="35" t="str" cm="1">
        <f t="array" aca="1" ref="K124" ca="1">_xll.TM1RPTROW($C$47,db_name&amp;":account","",,"code and description",0,$C$58,2,1)</f>
        <v/>
      </c>
      <c r="L124" s="32" t="str" cm="1">
        <f t="array" aca="1" ref="L124" ca="1">_xll.DBRW($C$47,$L$96,$L$97,$C$63,$C$64,$C$65,$C$66,$C$67,$C$68,$C$69,$C$70,$C$73,$C$71,$L$99,$K124,$C$74,$C$72,$L$123)</f>
        <v/>
      </c>
      <c r="M124" s="32" t="str" cm="1">
        <f t="array" aca="1" ref="M124" ca="1">_xll.DBRW($C$47,$L$96,$L$97,$C$63,$C$64,$C$65,$C$66,$C$67,$C$68,$C$69,$C$70,$C$73,$C$71,$L$99,$K124,$C$74,$C$72,$M$123)</f>
        <v/>
      </c>
      <c r="N124" s="32" t="str" cm="1">
        <f t="array" aca="1" ref="N124" ca="1">_xll.DBRW($C$47,$L$96,$L$97,$C$63,$C$64,$C$65,$C$66,$C$67,$C$68,$C$69,$C$70,$C$73,$C$71,$L$99,$K124,$C$74,$C$72,$N$123)</f>
        <v/>
      </c>
      <c r="O124" s="32" t="str" cm="1">
        <f t="array" aca="1" ref="O124" ca="1">_xll.DBRW($C$47,$L$96,$L$97,$C$63,$C$64,$C$65,$C$66,$C$67,$C$68,$C$69,$C$70,$C$73,$C$71,$L$99,$K124,$C$74,$C$72,$O$123)</f>
        <v/>
      </c>
      <c r="P124" s="32" t="str" cm="1">
        <f t="array" aca="1" ref="P124" ca="1">_xll.DBRW($C$47,$L$96,$L$97,$C$63,$C$64,$C$65,$C$66,$C$67,$C$68,$C$69,$C$70,$C$73,$C$71,$L$99,$K124,$C$74,$C$72,$P$123)</f>
        <v/>
      </c>
      <c r="R124" s="31" t="str">
        <f ca="1">K124</f>
        <v/>
      </c>
      <c r="S124" s="32" t="str" cm="1">
        <f t="array" aca="1" ref="S124" ca="1">_xll.DBRW($C$53,$C$75,$C$63,$C$64,$C$65,$C$66,$C$67,$C$68,$C$69,$C$70,$C$73,$C$71,$L$99,$R124,$C$74,$C$72,S$123,$C$76)</f>
        <v/>
      </c>
      <c r="T124" s="32" t="str" cm="1">
        <f t="array" aca="1" ref="T124" ca="1">_xll.DBRW($C$53,$C$75,$C$63,$C$64,$C$65,$C$66,$C$67,$C$68,$C$69,$C$70,$C$73,$C$71,$L$99,$R124,$C$74,$C$72,T$123,$C$76)</f>
        <v/>
      </c>
      <c r="U124" s="32" t="str" cm="1">
        <f t="array" aca="1" ref="U124" ca="1">_xll.DBRW($C$53,$C$75,$C$63,$C$64,$C$65,$C$66,$C$67,$C$68,$C$69,$C$70,$C$73,$C$71,$L$99,$R124,$C$74,$C$72,U$123,$C$76)</f>
        <v/>
      </c>
      <c r="V124" s="32" t="str" cm="1">
        <f t="array" aca="1" ref="V124" ca="1">_xll.DBRW($C$53,$C$75,$C$63,$C$64,$C$65,$C$66,$C$67,$C$68,$C$69,$C$70,$C$73,$C$71,$L$99,$R124,$C$74,$C$72,V$123,$C$76)</f>
        <v/>
      </c>
      <c r="W124" s="32" t="str" cm="1">
        <f t="array" aca="1" ref="W124" ca="1">_xll.DBRW($C$53,$C$75,$C$63,$C$64,$C$65,$C$66,$C$67,$C$68,$C$69,$C$70,$C$73,$C$71,$L$99,$R124,$C$74,$C$72,W$123,$C$76)</f>
        <v/>
      </c>
      <c r="Y124" s="31" t="str">
        <f ca="1">R124</f>
        <v/>
      </c>
      <c r="Z124" s="32" t="e">
        <f ca="1">S124-L124</f>
        <v>#VALUE!</v>
      </c>
      <c r="AA124" s="32" t="e">
        <f t="shared" ref="AA124:AD124" ca="1" si="15">T124-M124</f>
        <v>#VALUE!</v>
      </c>
      <c r="AB124" s="32" t="e">
        <f t="shared" ca="1" si="15"/>
        <v>#VALUE!</v>
      </c>
      <c r="AC124" s="32" t="e">
        <f t="shared" ca="1" si="15"/>
        <v>#VALUE!</v>
      </c>
      <c r="AD124" s="32" t="e">
        <f t="shared" ca="1" si="15"/>
        <v>#VALUE!</v>
      </c>
    </row>
    <row r="125" spans="1:30" x14ac:dyDescent="0.25">
      <c r="B125" s="2"/>
      <c r="C125" s="4"/>
      <c r="D125" s="4"/>
      <c r="E125" s="4"/>
      <c r="F125" s="4"/>
      <c r="G125" s="4"/>
      <c r="K125" s="18"/>
      <c r="L125" s="16"/>
      <c r="M125" s="16"/>
      <c r="N125" s="16"/>
      <c r="O125" s="16"/>
      <c r="P125" s="16"/>
      <c r="R125" s="18"/>
      <c r="S125" s="16"/>
      <c r="T125" s="16"/>
      <c r="U125" s="16"/>
      <c r="V125" s="16"/>
      <c r="W125" s="16"/>
      <c r="Y125" s="18"/>
      <c r="Z125" s="16"/>
      <c r="AA125" s="16"/>
      <c r="AB125" s="16"/>
      <c r="AC125" s="16"/>
      <c r="AD125" s="16"/>
    </row>
    <row r="126" spans="1:30" ht="3" customHeight="1" x14ac:dyDescent="0.25">
      <c r="K126" s="19"/>
      <c r="L126" s="19"/>
      <c r="M126" s="19"/>
      <c r="N126" s="19"/>
      <c r="O126" s="19"/>
      <c r="P126" s="19"/>
      <c r="R126" s="19"/>
      <c r="S126" s="19"/>
      <c r="T126" s="19"/>
      <c r="U126" s="19"/>
      <c r="V126" s="19"/>
      <c r="W126" s="19"/>
      <c r="Y126" s="19"/>
      <c r="Z126" s="19"/>
      <c r="AA126" s="19"/>
      <c r="AB126" s="19"/>
      <c r="AC126" s="19"/>
      <c r="AD126" s="19"/>
    </row>
  </sheetData>
  <sheetProtection sheet="1" objects="1" scenarios="1"/>
  <mergeCells count="18">
    <mergeCell ref="B10:C10"/>
    <mergeCell ref="B45:C45"/>
    <mergeCell ref="B55:C55"/>
    <mergeCell ref="B62:C62"/>
    <mergeCell ref="L96:M96"/>
    <mergeCell ref="L95:M95"/>
    <mergeCell ref="B18:D18"/>
    <mergeCell ref="B27:D27"/>
    <mergeCell ref="K92:P92"/>
    <mergeCell ref="K93:P93"/>
    <mergeCell ref="O95:P95"/>
    <mergeCell ref="Y102:AD102"/>
    <mergeCell ref="K102:P102"/>
    <mergeCell ref="R102:W102"/>
    <mergeCell ref="L97:M97"/>
    <mergeCell ref="L99:M99"/>
    <mergeCell ref="L100:M100"/>
    <mergeCell ref="L98:M98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3" r:id="rId4" name="TIButton1">
          <controlPr defaultSize="0" print="0" autoLine="0" r:id="rId5">
            <anchor moveWithCells="1" sizeWithCells="1">
              <from>
                <xdr:col>10</xdr:col>
                <xdr:colOff>28575</xdr:colOff>
                <xdr:row>88</xdr:row>
                <xdr:rowOff>0</xdr:rowOff>
              </from>
              <to>
                <xdr:col>10</xdr:col>
                <xdr:colOff>666750</xdr:colOff>
                <xdr:row>88</xdr:row>
                <xdr:rowOff>247650</xdr:rowOff>
              </to>
            </anchor>
          </controlPr>
        </control>
      </mc:Choice>
      <mc:Fallback>
        <control shapeId="1033" r:id="rId4" name="TIButton1"/>
      </mc:Fallback>
    </mc:AlternateContent>
    <mc:AlternateContent xmlns:mc="http://schemas.openxmlformats.org/markup-compatibility/2006">
      <mc:Choice Requires="x14">
        <control shapeId="1034" r:id="rId6" name="TIButton2">
          <controlPr defaultSize="0" print="0" autoLine="0" r:id="rId7">
            <anchor moveWithCells="1" sizeWithCells="1">
              <from>
                <xdr:col>10</xdr:col>
                <xdr:colOff>695325</xdr:colOff>
                <xdr:row>88</xdr:row>
                <xdr:rowOff>0</xdr:rowOff>
              </from>
              <to>
                <xdr:col>10</xdr:col>
                <xdr:colOff>1419225</xdr:colOff>
                <xdr:row>88</xdr:row>
                <xdr:rowOff>247650</xdr:rowOff>
              </to>
            </anchor>
          </controlPr>
        </control>
      </mc:Choice>
      <mc:Fallback>
        <control shapeId="1034" r:id="rId6" name="TIButton2"/>
      </mc:Fallback>
    </mc:AlternateContent>
    <mc:AlternateContent xmlns:mc="http://schemas.openxmlformats.org/markup-compatibility/2006">
      <mc:Choice Requires="x14">
        <control shapeId="1035" r:id="rId8" name="TIButton3">
          <controlPr defaultSize="0" print="0" autoLine="0" r:id="rId9">
            <anchor moveWithCells="1" sizeWithCells="1">
              <from>
                <xdr:col>10</xdr:col>
                <xdr:colOff>2828925</xdr:colOff>
                <xdr:row>88</xdr:row>
                <xdr:rowOff>0</xdr:rowOff>
              </from>
              <to>
                <xdr:col>12</xdr:col>
                <xdr:colOff>314325</xdr:colOff>
                <xdr:row>88</xdr:row>
                <xdr:rowOff>247650</xdr:rowOff>
              </to>
            </anchor>
          </controlPr>
        </control>
      </mc:Choice>
      <mc:Fallback>
        <control shapeId="1035" r:id="rId8" name="TIButton3"/>
      </mc:Fallback>
    </mc:AlternateContent>
    <mc:AlternateContent xmlns:mc="http://schemas.openxmlformats.org/markup-compatibility/2006">
      <mc:Choice Requires="x14">
        <control shapeId="1036" r:id="rId10" name="TIButton4">
          <controlPr defaultSize="0" print="0" autoLine="0" r:id="rId11">
            <anchor moveWithCells="1" sizeWithCells="1">
              <from>
                <xdr:col>17</xdr:col>
                <xdr:colOff>1114425</xdr:colOff>
                <xdr:row>88</xdr:row>
                <xdr:rowOff>0</xdr:rowOff>
              </from>
              <to>
                <xdr:col>17</xdr:col>
                <xdr:colOff>1895475</xdr:colOff>
                <xdr:row>88</xdr:row>
                <xdr:rowOff>247650</xdr:rowOff>
              </to>
            </anchor>
          </controlPr>
        </control>
      </mc:Choice>
      <mc:Fallback>
        <control shapeId="1036" r:id="rId10" name="TIButton4"/>
      </mc:Fallback>
    </mc:AlternateContent>
    <mc:AlternateContent xmlns:mc="http://schemas.openxmlformats.org/markup-compatibility/2006">
      <mc:Choice Requires="x14">
        <control shapeId="1037" r:id="rId12" name="TIButton5">
          <controlPr defaultSize="0" print="0" autoLine="0" r:id="rId13">
            <anchor moveWithCells="1" sizeWithCells="1">
              <from>
                <xdr:col>17</xdr:col>
                <xdr:colOff>2352675</xdr:colOff>
                <xdr:row>87</xdr:row>
                <xdr:rowOff>38100</xdr:rowOff>
              </from>
              <to>
                <xdr:col>17</xdr:col>
                <xdr:colOff>2667000</xdr:colOff>
                <xdr:row>88</xdr:row>
                <xdr:rowOff>295275</xdr:rowOff>
              </to>
            </anchor>
          </controlPr>
        </control>
      </mc:Choice>
      <mc:Fallback>
        <control shapeId="1037" r:id="rId12" name="TIButton5"/>
      </mc:Fallback>
    </mc:AlternateContent>
    <mc:AlternateContent xmlns:mc="http://schemas.openxmlformats.org/markup-compatibility/2006">
      <mc:Choice Requires="x14">
        <control shapeId="1038" r:id="rId14" name="TIButton6">
          <controlPr defaultSize="0" print="0" autoLine="0" r:id="rId15">
            <anchor moveWithCells="1" sizeWithCells="1">
              <from>
                <xdr:col>12</xdr:col>
                <xdr:colOff>342900</xdr:colOff>
                <xdr:row>88</xdr:row>
                <xdr:rowOff>0</xdr:rowOff>
              </from>
              <to>
                <xdr:col>13</xdr:col>
                <xdr:colOff>628650</xdr:colOff>
                <xdr:row>88</xdr:row>
                <xdr:rowOff>247650</xdr:rowOff>
              </to>
            </anchor>
          </controlPr>
        </control>
      </mc:Choice>
      <mc:Fallback>
        <control shapeId="1038" r:id="rId14" name="TIButton6"/>
      </mc:Fallback>
    </mc:AlternateContent>
    <mc:AlternateContent xmlns:mc="http://schemas.openxmlformats.org/markup-compatibility/2006">
      <mc:Choice Requires="x14">
        <control shapeId="1039" r:id="rId16" name="TIButton7">
          <controlPr defaultSize="0" print="0" autoLine="0" r:id="rId17">
            <anchor moveWithCells="1" sizeWithCells="1">
              <from>
                <xdr:col>13</xdr:col>
                <xdr:colOff>657225</xdr:colOff>
                <xdr:row>88</xdr:row>
                <xdr:rowOff>0</xdr:rowOff>
              </from>
              <to>
                <xdr:col>15</xdr:col>
                <xdr:colOff>104775</xdr:colOff>
                <xdr:row>88</xdr:row>
                <xdr:rowOff>247650</xdr:rowOff>
              </to>
            </anchor>
          </controlPr>
        </control>
      </mc:Choice>
      <mc:Fallback>
        <control shapeId="1039" r:id="rId16" name="TIButton7"/>
      </mc:Fallback>
    </mc:AlternateContent>
    <mc:AlternateContent xmlns:mc="http://schemas.openxmlformats.org/markup-compatibility/2006">
      <mc:Choice Requires="x14">
        <control shapeId="1041" r:id="rId18" name="TIButton9">
          <controlPr defaultSize="0" print="0" autoLine="0" r:id="rId19">
            <anchor moveWithCells="1" sizeWithCells="1">
              <from>
                <xdr:col>15</xdr:col>
                <xdr:colOff>133350</xdr:colOff>
                <xdr:row>88</xdr:row>
                <xdr:rowOff>0</xdr:rowOff>
              </from>
              <to>
                <xdr:col>16</xdr:col>
                <xdr:colOff>85725</xdr:colOff>
                <xdr:row>88</xdr:row>
                <xdr:rowOff>247650</xdr:rowOff>
              </to>
            </anchor>
          </controlPr>
        </control>
      </mc:Choice>
      <mc:Fallback>
        <control shapeId="1041" r:id="rId18" name="TIButton9"/>
      </mc:Fallback>
    </mc:AlternateContent>
    <mc:AlternateContent xmlns:mc="http://schemas.openxmlformats.org/markup-compatibility/2006">
      <mc:Choice Requires="x14">
        <control shapeId="1042" r:id="rId20" name="TIButton10">
          <controlPr defaultSize="0" print="0" autoLine="0" r:id="rId21">
            <anchor moveWithCells="1" sizeWithCells="1">
              <from>
                <xdr:col>17</xdr:col>
                <xdr:colOff>47625</xdr:colOff>
                <xdr:row>88</xdr:row>
                <xdr:rowOff>0</xdr:rowOff>
              </from>
              <to>
                <xdr:col>17</xdr:col>
                <xdr:colOff>1047750</xdr:colOff>
                <xdr:row>88</xdr:row>
                <xdr:rowOff>247650</xdr:rowOff>
              </to>
            </anchor>
          </controlPr>
        </control>
      </mc:Choice>
      <mc:Fallback>
        <control shapeId="1042" r:id="rId20" name="TIButton10"/>
      </mc:Fallback>
    </mc:AlternateContent>
    <mc:AlternateContent xmlns:mc="http://schemas.openxmlformats.org/markup-compatibility/2006">
      <mc:Choice Requires="x14">
        <control shapeId="1043" r:id="rId22" name="TIButton8">
          <controlPr defaultSize="0" print="0" autoLine="0" r:id="rId23">
            <anchor moveWithCells="1" sizeWithCells="1">
              <from>
                <xdr:col>10</xdr:col>
                <xdr:colOff>1447800</xdr:colOff>
                <xdr:row>88</xdr:row>
                <xdr:rowOff>0</xdr:rowOff>
              </from>
              <to>
                <xdr:col>10</xdr:col>
                <xdr:colOff>2809875</xdr:colOff>
                <xdr:row>88</xdr:row>
                <xdr:rowOff>247650</xdr:rowOff>
              </to>
            </anchor>
          </controlPr>
        </control>
      </mc:Choice>
      <mc:Fallback>
        <control shapeId="1043" r:id="rId22" name="TIButton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58</vt:i4>
      </vt:variant>
    </vt:vector>
  </HeadingPairs>
  <TitlesOfParts>
    <vt:vector size="59" baseType="lpstr">
      <vt:lpstr>reco</vt:lpstr>
      <vt:lpstr>cbAE</vt:lpstr>
      <vt:lpstr>cbRpt</vt:lpstr>
      <vt:lpstr>curHLYear</vt:lpstr>
      <vt:lpstr>curScenario</vt:lpstr>
      <vt:lpstr>db_name</vt:lpstr>
      <vt:lpstr>psApp</vt:lpstr>
      <vt:lpstr>psSourceHLYear</vt:lpstr>
      <vt:lpstr>psSourceScenario</vt:lpstr>
      <vt:lpstr>psTargetMeas</vt:lpstr>
      <vt:lpstr>psUser</vt:lpstr>
      <vt:lpstr>psYr1</vt:lpstr>
      <vt:lpstr>psYr2</vt:lpstr>
      <vt:lpstr>psYr3</vt:lpstr>
      <vt:lpstr>psYr4</vt:lpstr>
      <vt:lpstr>psYr5</vt:lpstr>
      <vt:lpstr>TM1AnalRptARTRecoCAP</vt:lpstr>
      <vt:lpstr>TM1AnalRptARTRecoWB</vt:lpstr>
      <vt:lpstr>TM1AnalRptARTRecoWS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TM1AnalRptTransCAP</vt:lpstr>
      <vt:lpstr>TM1AnalRptTransWB</vt:lpstr>
      <vt:lpstr>TM1AnalRptTransWS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reco!TM1RPTDATARNG3</vt:lpstr>
      <vt:lpstr>reco!TM1RPTDATARNGARPT1</vt:lpstr>
      <vt:lpstr>reco!TM1RPTFMTIDCOL</vt:lpstr>
      <vt:lpstr>reco!TM1RPTFMTRNG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</dc:creator>
  <cp:lastModifiedBy>Xin HE</cp:lastModifiedBy>
  <dcterms:created xsi:type="dcterms:W3CDTF">2019-01-08T23:27:44Z</dcterms:created>
  <dcterms:modified xsi:type="dcterms:W3CDTF">2025-08-05T04:30:25Z</dcterms:modified>
</cp:coreProperties>
</file>