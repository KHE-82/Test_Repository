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1.bin" ContentType="application/vnd.ms-office.activeX"/>
  <Override PartName="/xl/activeX/activeX8.xml" ContentType="application/vnd.ms-office.activeX+xml"/>
  <Override PartName="/xl/activeX/activeX2.bin" ContentType="application/vnd.ms-office.activeX"/>
  <Override PartName="/xl/activeX/activeX9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13_ncr:1_{EBCB760A-AB69-4035-AB9C-833ED0472EB7}" xr6:coauthVersionLast="47" xr6:coauthVersionMax="47" xr10:uidLastSave="{00000000-0000-0000-0000-000000000000}"/>
  <bookViews>
    <workbookView xWindow="29580" yWindow="780" windowWidth="21600" windowHeight="11385" firstSheet="1" activeTab="1" xr2:uid="{03FAFBAA-4579-4C61-8954-40E46A06A5CE}"/>
  </bookViews>
  <sheets>
    <sheet name="Cognos_Office_Connection_Cache" sheetId="2" state="veryHidden" r:id="rId1"/>
    <sheet name="reco" sheetId="1" r:id="rId2"/>
  </sheets>
  <definedNames>
    <definedName name="db_name">reco!$C$12</definedName>
    <definedName name="ID" localSheetId="0" hidden="1">"71b93673-fdc7-4e47-97c2-507474f63621"</definedName>
    <definedName name="ID" localSheetId="1" hidden="1">"55c80c50-de4c-448e-95e8-cd4c39fcba01"</definedName>
    <definedName name="psApp">reco!$C$36</definedName>
    <definedName name="psHLYear">reco!$O$84</definedName>
    <definedName name="psUser">reco!$C$14</definedName>
    <definedName name="TM1AdjIDListCAP">reco!$D$45</definedName>
    <definedName name="TM1AdjIDListWB">reco!$F$45</definedName>
    <definedName name="TM1AdminArcCBMSRecoAppropCAP">reco!$D$50</definedName>
    <definedName name="TM1AdminArcCBMSRecoAppropWB">reco!$F$50</definedName>
    <definedName name="TM1AdminArcCBMSRecoAppropWS">reco!$H$50</definedName>
    <definedName name="TM1AdminArcCBMSRecoCAP">reco!$D$46</definedName>
    <definedName name="TM1AdminArcCBMSRecoProgDetCAP">reco!$D$49</definedName>
    <definedName name="TM1AdminArcCBMSRecoProgDetWB">reco!$F$49</definedName>
    <definedName name="TM1AdminArcCBMSRecoProgDetWS">reco!$H$49</definedName>
    <definedName name="TM1AdminArcCBMSRecoRep">reco!$H$46</definedName>
    <definedName name="TM1AdminArcCBMSRecoRepCAP">reco!$D$47</definedName>
    <definedName name="TM1AdminArcCBMSRecoRepDetCAP">reco!$D$48</definedName>
    <definedName name="TM1AdminArcCBMSRecoRepDetWB">reco!$F$48</definedName>
    <definedName name="TM1AdminArcCBMSRecoRepDetWS">reco!$H$48</definedName>
    <definedName name="TM1AdminArcCBMSRecoRepWB">reco!$F$47</definedName>
    <definedName name="TM1AdminArcCBMSRecoRepWS">reco!$H$47</definedName>
    <definedName name="TM1AdminArcCBMSRecoWB">reco!$F$46</definedName>
    <definedName name="TM1HomeAdminBaseCAP">reco!$D$43</definedName>
    <definedName name="TM1HomeAdminBaseWB">reco!$F$43</definedName>
    <definedName name="TM1HomeAdminBaseWS">reco!$H$43</definedName>
    <definedName name="TM1HomeAdminCAP">reco!$D$41</definedName>
    <definedName name="TM1HomeAdminRDSCAP">reco!$D$42</definedName>
    <definedName name="TM1HomeAdminRDSWB">reco!$F$42</definedName>
    <definedName name="TM1HomeAdminRDSWS">reco!$H$42</definedName>
    <definedName name="TM1HomeAdminWB">reco!$F$41</definedName>
    <definedName name="TM1HomeAdminWS">reco!$H$41</definedName>
    <definedName name="TM1HomeAECAP">reco!$D$39</definedName>
    <definedName name="TM1HomeAEWB">reco!$F$39</definedName>
    <definedName name="TM1HomeAEWS">reco!$H$39</definedName>
    <definedName name="TM1HomeCAP">reco!$D$38</definedName>
    <definedName name="TM1HomeRepCAP">reco!$D$40</definedName>
    <definedName name="TM1HomeRepWB">reco!$F$40</definedName>
    <definedName name="TM1HomeRepWS">reco!$H$40</definedName>
    <definedName name="TM1HomeUnderCAP">reco!$D$44</definedName>
    <definedName name="TM1HomeUnderWB">reco!$F$44</definedName>
    <definedName name="TM1HomeUnderWS">reco!$H$44</definedName>
    <definedName name="TM1HomeWB">reco!$F$38</definedName>
    <definedName name="TM1HomeWS">reco!$H$38</definedName>
    <definedName name="TM1IDListWS">reco!$H$45</definedName>
    <definedName name="TM1REBUILDOPTION">0</definedName>
    <definedName name="TM1RPTDATARNG1" localSheetId="1">reco!$96:$96</definedName>
    <definedName name="TM1RPTFMTIDCOL" localSheetId="1">reco!$A$1:$A$8</definedName>
    <definedName name="TM1RPTFMTRNG" localSheetId="1">reco!$J$1:$AH$8</definedName>
    <definedName name="TM1ViewAdj01HeaderCAP">reco!$D$51</definedName>
    <definedName name="TM1ViewAdj01HeaderWB">reco!$F$51</definedName>
    <definedName name="TM1ViewAdj01HeaderWS">reco!$H$51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 s="1"/>
  <c r="C35" i="1" a="1"/>
  <c r="C35" i="1" s="1"/>
  <c r="C28" i="1" a="1"/>
  <c r="C28" i="1" s="1"/>
  <c r="C13" i="1" a="1"/>
  <c r="C13" i="1" s="1"/>
  <c r="A5" i="1"/>
  <c r="A4" i="1"/>
  <c r="A3" i="1"/>
  <c r="A2" i="1"/>
  <c r="E50" i="1" a="1"/>
  <c r="C66" i="1" a="1"/>
  <c r="D43" i="1" a="1"/>
  <c r="F39" i="1" a="1"/>
  <c r="E38" i="1" a="1"/>
  <c r="C72" i="1" a="1"/>
  <c r="C22" i="1" a="1"/>
  <c r="D41" i="1" a="1"/>
  <c r="C48" i="1" a="1"/>
  <c r="E43" i="1" a="1"/>
  <c r="C65" i="1" a="1"/>
  <c r="T84" i="1" a="1"/>
  <c r="H50" i="1" a="1"/>
  <c r="G41" i="1" a="1"/>
  <c r="H47" i="1" a="1"/>
  <c r="F38" i="1" a="1"/>
  <c r="D44" i="1" a="1"/>
  <c r="C47" i="1" a="1"/>
  <c r="H45" i="1" a="1"/>
  <c r="G47" i="1" a="1"/>
  <c r="G38" i="1" a="1"/>
  <c r="H42" i="1" a="1"/>
  <c r="D50" i="1" a="1"/>
  <c r="G48" i="1" a="1"/>
  <c r="C63" i="1" a="1"/>
  <c r="D49" i="1" a="1"/>
  <c r="C45" i="1" a="1"/>
  <c r="C44" i="1" a="1"/>
  <c r="F46" i="1" a="1"/>
  <c r="G43" i="1" a="1"/>
  <c r="F44" i="1" a="1"/>
  <c r="E44" i="1" a="1"/>
  <c r="E41" i="1" a="1"/>
  <c r="G44" i="1" a="1"/>
  <c r="C23" i="1" a="1"/>
  <c r="C40" i="1" a="1"/>
  <c r="C39" i="1" a="1"/>
  <c r="H43" i="1" a="1"/>
  <c r="H44" i="1" a="1"/>
  <c r="F48" i="1" a="1"/>
  <c r="O86" i="1" a="1"/>
  <c r="G50" i="1" a="1"/>
  <c r="C46" i="1" a="1"/>
  <c r="F47" i="1" a="1"/>
  <c r="E47" i="1" a="1"/>
  <c r="C50" i="1" a="1"/>
  <c r="C25" i="1" a="1"/>
  <c r="C67" i="1" a="1"/>
  <c r="C49" i="1" a="1"/>
  <c r="H51" i="1" a="1"/>
  <c r="F40" i="1" a="1"/>
  <c r="C43" i="1" a="1"/>
  <c r="C62" i="1" a="1"/>
  <c r="D38" i="1" a="1"/>
  <c r="D42" i="1" a="1"/>
  <c r="E45" i="1" a="1"/>
  <c r="C69" i="1" a="1"/>
  <c r="F49" i="1" a="1"/>
  <c r="G42" i="1" a="1"/>
  <c r="E49" i="1" a="1"/>
  <c r="D45" i="1" a="1"/>
  <c r="G46" i="1" a="1"/>
  <c r="E51" i="1" a="1"/>
  <c r="H38" i="1" a="1"/>
  <c r="H46" i="1" a="1"/>
  <c r="F50" i="1" a="1"/>
  <c r="D47" i="1" a="1"/>
  <c r="H40" i="1" a="1"/>
  <c r="D51" i="1" a="1"/>
  <c r="T85" i="1" a="1"/>
  <c r="C70" i="1" a="1"/>
  <c r="E40" i="1" a="1"/>
  <c r="E46" i="1" a="1"/>
  <c r="E42" i="1" a="1"/>
  <c r="H49" i="1" a="1"/>
  <c r="G40" i="1" a="1"/>
  <c r="F43" i="1" a="1"/>
  <c r="C24" i="1" a="1"/>
  <c r="G45" i="1" a="1"/>
  <c r="G51" i="1" a="1"/>
  <c r="G49" i="1" a="1"/>
  <c r="C51" i="1" a="1"/>
  <c r="C64" i="1" a="1"/>
  <c r="D39" i="1" a="1"/>
  <c r="D40" i="1" a="1"/>
  <c r="F41" i="1" a="1"/>
  <c r="D48" i="1" a="1"/>
  <c r="F45" i="1" a="1"/>
  <c r="O87" i="1" a="1"/>
  <c r="H48" i="1" a="1"/>
  <c r="E39" i="1" a="1"/>
  <c r="F51" i="1" a="1"/>
  <c r="C14" i="1" a="1"/>
  <c r="C38" i="1" a="1"/>
  <c r="O85" i="1" a="1"/>
  <c r="C68" i="1" a="1"/>
  <c r="E48" i="1" a="1"/>
  <c r="F42" i="1" a="1"/>
  <c r="G39" i="1" a="1"/>
  <c r="C41" i="1" a="1"/>
  <c r="T86" i="1" a="1"/>
  <c r="H39" i="1" a="1"/>
  <c r="A96" i="1" a="1"/>
  <c r="D46" i="1" a="1"/>
  <c r="C42" i="1" a="1"/>
  <c r="C71" i="1" a="1"/>
  <c r="H41" i="1" a="1"/>
  <c r="F42" i="1" l="1"/>
  <c r="D45" i="1"/>
  <c r="F45" i="1"/>
  <c r="C47" i="1"/>
  <c r="H51" i="1"/>
  <c r="H50" i="1"/>
  <c r="H41" i="1"/>
  <c r="E44" i="1"/>
  <c r="F50" i="1"/>
  <c r="D50" i="1"/>
  <c r="D48" i="1"/>
  <c r="D44" i="1"/>
  <c r="C49" i="1"/>
  <c r="T84" i="1"/>
  <c r="C39" i="1"/>
  <c r="H39" i="1"/>
  <c r="C45" i="1"/>
  <c r="C14" i="1"/>
  <c r="F41" i="1"/>
  <c r="F38" i="1"/>
  <c r="C67" i="1"/>
  <c r="C65" i="1"/>
  <c r="E42" i="1"/>
  <c r="T85" i="1"/>
  <c r="C58" i="1" s="1"/>
  <c r="E48" i="1"/>
  <c r="E49" i="1"/>
  <c r="D40" i="1"/>
  <c r="C69" i="1"/>
  <c r="C25" i="1"/>
  <c r="E43" i="1"/>
  <c r="C71" i="1"/>
  <c r="F44" i="1"/>
  <c r="H46" i="1"/>
  <c r="H42" i="1"/>
  <c r="D39" i="1"/>
  <c r="H47" i="1"/>
  <c r="C50" i="1"/>
  <c r="C48" i="1"/>
  <c r="C40" i="1"/>
  <c r="T86" i="1"/>
  <c r="C59" i="1" s="1"/>
  <c r="D49" i="1"/>
  <c r="G38" i="1"/>
  <c r="C64" i="1"/>
  <c r="E45" i="1"/>
  <c r="E47" i="1"/>
  <c r="D41" i="1"/>
  <c r="E46" i="1"/>
  <c r="D51" i="1"/>
  <c r="H38" i="1"/>
  <c r="G42" i="1"/>
  <c r="C51" i="1"/>
  <c r="G41" i="1"/>
  <c r="F47" i="1"/>
  <c r="C22" i="1"/>
  <c r="C42" i="1"/>
  <c r="G43" i="1"/>
  <c r="C68" i="1"/>
  <c r="F51" i="1"/>
  <c r="G49" i="1"/>
  <c r="D42" i="1"/>
  <c r="C46" i="1"/>
  <c r="C72" i="1"/>
  <c r="C23" i="1"/>
  <c r="C41" i="1"/>
  <c r="E51" i="1"/>
  <c r="G47" i="1"/>
  <c r="G51" i="1"/>
  <c r="D38" i="1"/>
  <c r="G50" i="1"/>
  <c r="E38" i="1"/>
  <c r="E40" i="1"/>
  <c r="H40" i="1"/>
  <c r="C63" i="1"/>
  <c r="E39" i="1"/>
  <c r="G45" i="1"/>
  <c r="C62" i="1"/>
  <c r="O86" i="1"/>
  <c r="F39" i="1"/>
  <c r="G44" i="1"/>
  <c r="F46" i="1"/>
  <c r="O85" i="1"/>
  <c r="F49" i="1"/>
  <c r="C24" i="1"/>
  <c r="C43" i="1"/>
  <c r="F48" i="1"/>
  <c r="D43" i="1"/>
  <c r="D46" i="1"/>
  <c r="D47" i="1"/>
  <c r="G46" i="1"/>
  <c r="H45" i="1"/>
  <c r="F43" i="1"/>
  <c r="F40" i="1"/>
  <c r="H44" i="1"/>
  <c r="C66" i="1"/>
  <c r="E41" i="1"/>
  <c r="C44" i="1"/>
  <c r="G48" i="1"/>
  <c r="H48" i="1"/>
  <c r="G40" i="1"/>
  <c r="H49" i="1"/>
  <c r="H43" i="1"/>
  <c r="E50" i="1"/>
  <c r="C70" i="1"/>
  <c r="G39" i="1"/>
  <c r="C38" i="1"/>
  <c r="O87" i="1"/>
  <c r="A96" i="1"/>
  <c r="C32" i="1" a="1"/>
  <c r="C31" i="1" a="1"/>
  <c r="O84" i="1" a="1"/>
  <c r="C15" i="1" a="1"/>
  <c r="C30" i="1" a="1"/>
  <c r="C16" i="1" a="1"/>
  <c r="C29" i="1" a="1"/>
  <c r="C31" i="1" l="1"/>
  <c r="C32" i="1"/>
  <c r="C29" i="1"/>
  <c r="C16" i="1"/>
  <c r="C30" i="1"/>
  <c r="C15" i="1"/>
  <c r="O84" i="1"/>
  <c r="C57" i="1"/>
  <c r="N91" i="1"/>
  <c r="C17" i="1"/>
  <c r="D56" i="1"/>
  <c r="E56" i="1"/>
  <c r="C56" i="1" s="1"/>
  <c r="C54" i="1" a="1"/>
  <c r="C54" i="1" l="1"/>
  <c r="C55" i="1" a="1"/>
  <c r="C55" i="1" s="1"/>
  <c r="J19" i="1"/>
  <c r="B1" i="1" a="1"/>
  <c r="B1" i="1" s="1"/>
  <c r="N96" i="1" a="1"/>
  <c r="AF21" i="1" a="1"/>
  <c r="Q21" i="1" a="1"/>
  <c r="AG21" i="1" a="1"/>
  <c r="AA21" i="1" a="1"/>
  <c r="P21" i="1" a="1"/>
  <c r="Z21" i="1" a="1"/>
  <c r="AD21" i="1" a="1"/>
  <c r="K96" i="1" a="1"/>
  <c r="O21" i="1" a="1"/>
  <c r="J96" i="1" a="1"/>
  <c r="V21" i="1" a="1"/>
  <c r="S21" i="1" a="1"/>
  <c r="M96" i="1" a="1"/>
  <c r="W21" i="1" a="1"/>
  <c r="AC21" i="1" a="1"/>
  <c r="AH21" i="1" a="1"/>
  <c r="L96" i="1" a="1"/>
  <c r="T21" i="1" a="1"/>
  <c r="R21" i="1" a="1"/>
  <c r="Y21" i="1" a="1"/>
  <c r="AE21" i="1" a="1"/>
  <c r="X21" i="1" a="1"/>
  <c r="P21" i="1" l="1"/>
  <c r="X21" i="1"/>
  <c r="AE21" i="1"/>
  <c r="R21" i="1"/>
  <c r="AC21" i="1"/>
  <c r="S21" i="1"/>
  <c r="Q21" i="1"/>
  <c r="AD21" i="1"/>
  <c r="AA21" i="1"/>
  <c r="AF21" i="1"/>
  <c r="Y21" i="1"/>
  <c r="T21" i="1"/>
  <c r="W21" i="1"/>
  <c r="V21" i="1"/>
  <c r="O21" i="1"/>
  <c r="Z21" i="1"/>
  <c r="AG21" i="1"/>
  <c r="AH21" i="1"/>
  <c r="N96" i="1"/>
  <c r="L96" i="1"/>
  <c r="M96" i="1"/>
  <c r="J96" i="1"/>
  <c r="K96" i="1"/>
  <c r="AB96" i="1" a="1"/>
  <c r="AB96" i="1" l="1"/>
  <c r="Z95" i="1"/>
  <c r="Z90" i="1"/>
  <c r="AD90" i="1"/>
  <c r="AD95" i="1"/>
  <c r="O95" i="1"/>
  <c r="O90" i="1"/>
  <c r="Q95" i="1"/>
  <c r="Q90" i="1"/>
  <c r="V90" i="1"/>
  <c r="V95" i="1"/>
  <c r="S95" i="1"/>
  <c r="S90" i="1"/>
  <c r="W90" i="1"/>
  <c r="W95" i="1"/>
  <c r="AC95" i="1"/>
  <c r="AC90" i="1"/>
  <c r="T90" i="1"/>
  <c r="T95" i="1"/>
  <c r="R90" i="1"/>
  <c r="R95" i="1"/>
  <c r="Y90" i="1"/>
  <c r="Y95" i="1"/>
  <c r="AE95" i="1"/>
  <c r="AE90" i="1"/>
  <c r="AH90" i="1"/>
  <c r="AH95" i="1"/>
  <c r="AF90" i="1"/>
  <c r="AF95" i="1"/>
  <c r="X90" i="1"/>
  <c r="X95" i="1"/>
  <c r="AG90" i="1"/>
  <c r="AG95" i="1"/>
  <c r="AA90" i="1"/>
  <c r="AA95" i="1"/>
  <c r="P95" i="1"/>
  <c r="P90" i="1"/>
  <c r="Y91" i="1" a="1"/>
  <c r="R91" i="1" a="1"/>
  <c r="X91" i="1" a="1"/>
  <c r="S91" i="1" a="1"/>
  <c r="AE96" i="1" a="1"/>
  <c r="AE91" i="1" a="1"/>
  <c r="Z96" i="1" a="1"/>
  <c r="V96" i="1" a="1"/>
  <c r="P96" i="1" a="1"/>
  <c r="AF96" i="1" a="1"/>
  <c r="Z91" i="1" a="1"/>
  <c r="V91" i="1" a="1"/>
  <c r="P91" i="1" a="1"/>
  <c r="AF91" i="1" a="1"/>
  <c r="O96" i="1" a="1"/>
  <c r="Y96" i="1" a="1"/>
  <c r="X96" i="1" a="1"/>
  <c r="AC91" i="1" a="1"/>
  <c r="AD96" i="1" a="1"/>
  <c r="AG96" i="1" a="1"/>
  <c r="AA96" i="1" a="1"/>
  <c r="T96" i="1" a="1"/>
  <c r="W96" i="1" a="1"/>
  <c r="AH96" i="1" a="1"/>
  <c r="AH91" i="1" a="1"/>
  <c r="S96" i="1" a="1"/>
  <c r="AD91" i="1" a="1"/>
  <c r="AG91" i="1" a="1"/>
  <c r="AA91" i="1" a="1"/>
  <c r="T91" i="1" a="1"/>
  <c r="O91" i="1" a="1"/>
  <c r="W91" i="1" a="1"/>
  <c r="R96" i="1" a="1"/>
  <c r="AC96" i="1" a="1"/>
  <c r="Q96" i="1" a="1"/>
  <c r="Q91" i="1" a="1"/>
  <c r="AC91" i="1" l="1"/>
  <c r="AC96" i="1"/>
  <c r="W91" i="1"/>
  <c r="W96" i="1"/>
  <c r="AF91" i="1"/>
  <c r="AF96" i="1"/>
  <c r="AD91" i="1"/>
  <c r="AD96" i="1"/>
  <c r="X91" i="1"/>
  <c r="X96" i="1"/>
  <c r="O91" i="1"/>
  <c r="O96" i="1"/>
  <c r="P91" i="1"/>
  <c r="P96" i="1"/>
  <c r="S91" i="1"/>
  <c r="S96" i="1"/>
  <c r="AH91" i="1"/>
  <c r="AH96" i="1"/>
  <c r="T91" i="1"/>
  <c r="T96" i="1"/>
  <c r="V91" i="1"/>
  <c r="V96" i="1"/>
  <c r="Q91" i="1"/>
  <c r="Q96" i="1"/>
  <c r="R91" i="1"/>
  <c r="R96" i="1"/>
  <c r="AA91" i="1"/>
  <c r="AA96" i="1"/>
  <c r="Z91" i="1"/>
  <c r="Z96" i="1"/>
  <c r="AE91" i="1"/>
  <c r="AE96" i="1"/>
  <c r="Y91" i="1"/>
  <c r="Y96" i="1"/>
  <c r="AG91" i="1"/>
  <c r="AG9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<sst xmlns="http://schemas.openxmlformats.org/spreadsheetml/2006/main" count="124" uniqueCount="101">
  <si>
    <t>headline year</t>
  </si>
  <si>
    <t>current</t>
  </si>
  <si>
    <t>CBMS RECO</t>
  </si>
  <si>
    <t>D</t>
  </si>
  <si>
    <t>N</t>
  </si>
  <si>
    <t>[Begin Format Range]</t>
  </si>
  <si>
    <t>[End Format Range]</t>
  </si>
  <si>
    <t>CBMS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</si>
  <si>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</si>
  <si>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</si>
  <si>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</si>
  <si>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</si>
  <si>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</si>
  <si>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</si>
  <si>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</si>
  <si>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</si>
  <si>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</si>
  <si>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Variable measure</t>
  </si>
  <si>
    <t>value</t>
  </si>
  <si>
    <t>importance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</si>
  <si>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</si>
  <si>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</si>
  <si>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</si>
  <si>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</si>
  <si>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</si>
  <si>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</si>
  <si>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</si>
  <si>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</si>
  <si>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sys_clilent favourite application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</si>
  <si>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</si>
  <si>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</si>
  <si>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</si>
  <si>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</si>
  <si>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</si>
  <si>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</si>
  <si>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</si>
  <si>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</si>
  <si>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</si>
  <si>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</si>
  <si>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</si>
  <si>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</si>
  <si>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</si>
  <si>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</si>
  <si>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Under Construction</t>
  </si>
  <si>
    <t>Adjustment - ID List</t>
  </si>
  <si>
    <t>Admin Archive - CBMS GEUS Reconciliation Summary Report</t>
  </si>
  <si>
    <t>Admin Archive - CBMS GEUS Reconciliation</t>
  </si>
  <si>
    <t>Homepage - Administration - Baseline</t>
  </si>
  <si>
    <t>Active Form</t>
  </si>
  <si>
    <t>Slice View</t>
  </si>
  <si>
    <t>Account MDX</t>
  </si>
  <si>
    <t>Account</t>
  </si>
  <si>
    <t>Headline Year :</t>
  </si>
  <si>
    <t>Status :</t>
  </si>
  <si>
    <t>Outcome :</t>
  </si>
  <si>
    <t>Related Entity :</t>
  </si>
  <si>
    <t>Function :</t>
  </si>
  <si>
    <t xml:space="preserve">Reason : </t>
  </si>
  <si>
    <t xml:space="preserve">SPP : </t>
  </si>
  <si>
    <t xml:space="preserve">Measure Code  : </t>
  </si>
  <si>
    <t>Appropriation Type :</t>
  </si>
  <si>
    <t>Appropriation Item :</t>
  </si>
  <si>
    <t xml:space="preserve">ID : </t>
  </si>
  <si>
    <t>Jurisdiction :</t>
  </si>
  <si>
    <t>Account :</t>
  </si>
  <si>
    <t>Movement Account :</t>
  </si>
  <si>
    <t>Index Change</t>
  </si>
  <si>
    <t>Period</t>
  </si>
  <si>
    <t>GEUS Annual Estimates</t>
  </si>
  <si>
    <t>CBMS Data</t>
  </si>
  <si>
    <t>Variance (CBMS - GEUS)</t>
  </si>
  <si>
    <t>REPORT PARAMETERS</t>
  </si>
  <si>
    <t>MA MDX</t>
  </si>
  <si>
    <t>Admin Archive - CBMS GEUS Reconciliation Detail Report</t>
  </si>
  <si>
    <t xml:space="preserve">DETAILED REPORT </t>
  </si>
  <si>
    <t>Movement Account</t>
  </si>
  <si>
    <t>ID</t>
  </si>
  <si>
    <t>{TM1FILTERBYLEVEL( {TM1SUBSETALL( [movement account] )}, 0)}</t>
  </si>
  <si>
    <t>ID MDX</t>
  </si>
  <si>
    <t>{TM1FILTERBYLEVEL( {TM1SUBSETALL( [id] )}, 0)}</t>
  </si>
  <si>
    <t>{[movement account].[Total movement]}</t>
  </si>
  <si>
    <t>Data Entry - View Adj 01 - Header Details</t>
  </si>
  <si>
    <t>Note : Highlight any Financial Values to View Adjustment</t>
  </si>
  <si>
    <t>Note : Report can be filtered to drill down to see specific account code using the Report Parameters.</t>
  </si>
  <si>
    <t>Program :</t>
  </si>
  <si>
    <t>Related Entity</t>
  </si>
  <si>
    <t>Admin Archive - CBMS GEUS Reconciliation Program Detail Report</t>
  </si>
  <si>
    <t>RE MDX</t>
  </si>
  <si>
    <t>Prog MDX</t>
  </si>
  <si>
    <t>{[related entity].[Total related entity]}</t>
  </si>
  <si>
    <t>{TM1FILTERBYLEVEL( {TM1SUBSETALL( [related entity] )}, 0)}</t>
  </si>
  <si>
    <t>Program</t>
  </si>
  <si>
    <t>GEUS and CBMS Reconciliation Program Detail</t>
  </si>
  <si>
    <t>Report Display</t>
  </si>
  <si>
    <t>Expand Program :</t>
  </si>
  <si>
    <t>Expand MA :</t>
  </si>
  <si>
    <t>Expand RE :</t>
  </si>
  <si>
    <t>{[id].[Total IDs]}</t>
  </si>
  <si>
    <t>Admin Archive - CBMS GEUS Reconciliation Approp Report</t>
  </si>
  <si>
    <t>{FILTER( {TM1FILTERBYLEVEL( {TM1SUBSETALL( [movement account] )}, 0)}, [movement account].[editable] = "")}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</si>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</sst>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\+\ 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ED7A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6">
    <xf numFmtId="0" fontId="0" fillId="0" borderId="0"/>
    <xf numFmtId="0" fontId="9" fillId="0" borderId="12" applyNumberFormat="0" applyFill="0" applyProtection="0">
      <alignment horizontal="center" vertical="center"/>
    </xf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10" fillId="0" borderId="13" applyFont="0" applyFill="0" applyAlignment="0" applyProtection="0"/>
    <xf numFmtId="3" fontId="9" fillId="0" borderId="12" applyNumberFormat="0" applyFill="0" applyAlignment="0" applyProtection="0"/>
    <xf numFmtId="0" fontId="9" fillId="0" borderId="12" applyNumberFormat="0" applyFill="0" applyAlignment="0" applyProtection="0"/>
    <xf numFmtId="3" fontId="9" fillId="0" borderId="12" applyNumberFormat="0" applyFill="0" applyAlignment="0" applyProtection="0"/>
    <xf numFmtId="0" fontId="9" fillId="0" borderId="12" applyNumberFormat="0" applyFill="0" applyAlignment="0" applyProtection="0"/>
    <xf numFmtId="0" fontId="9" fillId="0" borderId="12" applyNumberFormat="0" applyFill="0" applyAlignment="0" applyProtection="0"/>
    <xf numFmtId="0" fontId="9" fillId="0" borderId="12" applyNumberFormat="0" applyFill="0" applyAlignment="0" applyProtection="0"/>
    <xf numFmtId="0" fontId="9" fillId="0" borderId="12" applyNumberFormat="0" applyFill="0" applyAlignment="0" applyProtection="0"/>
    <xf numFmtId="0" fontId="9" fillId="0" borderId="12" applyNumberFormat="0" applyFill="0" applyAlignment="0" applyProtection="0"/>
    <xf numFmtId="3" fontId="10" fillId="0" borderId="0" applyNumberFormat="0" applyBorder="0" applyAlignment="0" applyProtection="0"/>
    <xf numFmtId="3" fontId="10" fillId="0" borderId="0" applyNumberFormat="0" applyBorder="0" applyAlignment="0" applyProtection="0"/>
    <xf numFmtId="3" fontId="10" fillId="0" borderId="0" applyNumberFormat="0" applyBorder="0" applyAlignment="0" applyProtection="0"/>
    <xf numFmtId="3" fontId="10" fillId="0" borderId="0" applyNumberFormat="0" applyBorder="0" applyAlignment="0" applyProtection="0"/>
    <xf numFmtId="3" fontId="10" fillId="0" borderId="0" applyNumberFormat="0" applyBorder="0" applyAlignment="0" applyProtection="0"/>
    <xf numFmtId="3" fontId="10" fillId="0" borderId="13" applyNumberFormat="0" applyBorder="0" applyAlignment="0" applyProtection="0"/>
    <xf numFmtId="3" fontId="10" fillId="0" borderId="13" applyNumberFormat="0" applyBorder="0" applyAlignment="0" applyProtection="0"/>
    <xf numFmtId="3" fontId="10" fillId="0" borderId="13" applyNumberFormat="0" applyBorder="0" applyAlignment="0" applyProtection="0"/>
    <xf numFmtId="0" fontId="10" fillId="0" borderId="13" applyNumberFormat="0" applyFill="0" applyAlignment="0" applyProtection="0"/>
    <xf numFmtId="0" fontId="10" fillId="0" borderId="13" applyNumberFormat="0" applyFill="0" applyAlignment="0" applyProtection="0"/>
    <xf numFmtId="0" fontId="10" fillId="0" borderId="13">
      <alignment horizontal="right" vertical="center"/>
    </xf>
    <xf numFmtId="3" fontId="10" fillId="8" borderId="13">
      <alignment horizontal="center" vertical="center"/>
    </xf>
    <xf numFmtId="0" fontId="10" fillId="8" borderId="13">
      <alignment horizontal="right" vertical="center"/>
    </xf>
    <xf numFmtId="0" fontId="9" fillId="0" borderId="14">
      <alignment horizontal="left" vertical="center"/>
    </xf>
    <xf numFmtId="0" fontId="9" fillId="0" borderId="15">
      <alignment horizontal="center" vertical="center"/>
    </xf>
    <xf numFmtId="0" fontId="11" fillId="0" borderId="16">
      <alignment horizontal="center" vertical="center"/>
    </xf>
    <xf numFmtId="0" fontId="10" fillId="5" borderId="13"/>
    <xf numFmtId="3" fontId="12" fillId="0" borderId="13"/>
    <xf numFmtId="3" fontId="13" fillId="0" borderId="13"/>
    <xf numFmtId="0" fontId="9" fillId="0" borderId="15">
      <alignment horizontal="left" vertical="top"/>
    </xf>
    <xf numFmtId="0" fontId="14" fillId="0" borderId="13"/>
    <xf numFmtId="0" fontId="9" fillId="0" borderId="15">
      <alignment horizontal="left" vertical="center"/>
    </xf>
    <xf numFmtId="0" fontId="10" fillId="8" borderId="7"/>
    <xf numFmtId="3" fontId="10" fillId="0" borderId="13">
      <alignment horizontal="right" vertical="center"/>
    </xf>
    <xf numFmtId="0" fontId="9" fillId="0" borderId="15">
      <alignment horizontal="right" vertical="center"/>
    </xf>
    <xf numFmtId="0" fontId="10" fillId="0" borderId="16">
      <alignment horizontal="center" vertical="center"/>
    </xf>
    <xf numFmtId="3" fontId="10" fillId="0" borderId="13"/>
    <xf numFmtId="3" fontId="10" fillId="0" borderId="13"/>
    <xf numFmtId="0" fontId="10" fillId="0" borderId="16">
      <alignment horizontal="center" vertical="center" wrapText="1"/>
    </xf>
    <xf numFmtId="0" fontId="15" fillId="0" borderId="16">
      <alignment horizontal="left" vertical="center" indent="1"/>
    </xf>
    <xf numFmtId="0" fontId="16" fillId="0" borderId="13"/>
    <xf numFmtId="0" fontId="9" fillId="0" borderId="14">
      <alignment horizontal="left" vertical="center"/>
    </xf>
    <xf numFmtId="3" fontId="10" fillId="0" borderId="13">
      <alignment horizontal="center" vertical="center"/>
    </xf>
    <xf numFmtId="0" fontId="9" fillId="0" borderId="15">
      <alignment horizontal="center" vertical="center"/>
    </xf>
    <xf numFmtId="0" fontId="9" fillId="0" borderId="15">
      <alignment horizontal="center" vertical="center"/>
    </xf>
    <xf numFmtId="0" fontId="9" fillId="0" borderId="14">
      <alignment horizontal="left" vertical="center"/>
    </xf>
    <xf numFmtId="0" fontId="9" fillId="0" borderId="14">
      <alignment horizontal="left" vertical="center"/>
    </xf>
    <xf numFmtId="0" fontId="17" fillId="0" borderId="13"/>
  </cellStyleXfs>
  <cellXfs count="45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 applyAlignment="1">
      <alignment horizontal="right" vertical="top" indent="1"/>
    </xf>
    <xf numFmtId="164" fontId="4" fillId="0" borderId="4" xfId="0" applyNumberFormat="1" applyFont="1" applyBorder="1"/>
    <xf numFmtId="164" fontId="4" fillId="5" borderId="4" xfId="0" applyNumberFormat="1" applyFont="1" applyFill="1" applyBorder="1"/>
    <xf numFmtId="164" fontId="5" fillId="6" borderId="4" xfId="0" applyNumberFormat="1" applyFont="1" applyFill="1" applyBorder="1"/>
    <xf numFmtId="164" fontId="4" fillId="6" borderId="4" xfId="0" applyNumberFormat="1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5" fillId="6" borderId="5" xfId="0" applyNumberFormat="1" applyFont="1" applyFill="1" applyBorder="1"/>
    <xf numFmtId="164" fontId="4" fillId="5" borderId="5" xfId="0" applyNumberFormat="1" applyFont="1" applyFill="1" applyBorder="1"/>
    <xf numFmtId="164" fontId="4" fillId="0" borderId="5" xfId="0" applyNumberFormat="1" applyFont="1" applyBorder="1"/>
    <xf numFmtId="0" fontId="2" fillId="0" borderId="4" xfId="0" applyFont="1" applyBorder="1" applyAlignment="1">
      <alignment horizontal="right" vertical="top" indent="1"/>
    </xf>
    <xf numFmtId="0" fontId="6" fillId="4" borderId="0" xfId="0" applyFont="1" applyFill="1" applyAlignment="1">
      <alignment horizontal="right" vertical="center"/>
    </xf>
    <xf numFmtId="0" fontId="5" fillId="6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 applyProtection="1">
      <alignment horizontal="center"/>
      <protection locked="0"/>
    </xf>
    <xf numFmtId="0" fontId="1" fillId="4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9" fontId="4" fillId="0" borderId="4" xfId="0" applyNumberFormat="1" applyFont="1" applyBorder="1" applyAlignment="1">
      <alignment vertical="top" wrapText="1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165" fontId="4" fillId="0" borderId="4" xfId="0" applyNumberFormat="1" applyFont="1" applyBorder="1" applyAlignment="1">
      <alignment vertical="top" wrapText="1"/>
    </xf>
    <xf numFmtId="165" fontId="4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11" xfId="0" applyFont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7" fillId="0" borderId="0" xfId="0" applyFont="1" applyAlignment="1">
      <alignment horizontal="left" indent="1"/>
    </xf>
  </cellXfs>
  <cellStyles count="56">
    <cellStyle name="AF Column - IBM Cognos" xfId="1" xr:uid="{09FCCF18-C85D-4CB8-87CB-7D6A3578AA26}"/>
    <cellStyle name="AF Data - IBM Cognos" xfId="2" xr:uid="{EB6129E4-16E6-4F87-BDAB-4B10FA1B6733}"/>
    <cellStyle name="AF Data 0 - IBM Cognos" xfId="3" xr:uid="{6AD49F63-33EA-4AF8-9D31-38FE9236C828}"/>
    <cellStyle name="AF Data 1 - IBM Cognos" xfId="4" xr:uid="{3048006E-A6BA-48CE-94BC-2FC82A0A0A87}"/>
    <cellStyle name="AF Data 2 - IBM Cognos" xfId="5" xr:uid="{CD69EFFA-4022-465D-AB57-F52792521264}"/>
    <cellStyle name="AF Data 3 - IBM Cognos" xfId="6" xr:uid="{730F2A85-0F28-4474-B605-F6C81A2C8CF5}"/>
    <cellStyle name="AF Data 4 - IBM Cognos" xfId="7" xr:uid="{F15C83CF-2F44-4DF0-A6C9-A8007886BFDD}"/>
    <cellStyle name="AF Data 5 - IBM Cognos" xfId="8" xr:uid="{02404230-2358-467A-87AF-C33722B0598A}"/>
    <cellStyle name="AF Data Leaf - IBM Cognos" xfId="9" xr:uid="{533C669F-C8C0-4E86-A0FC-D76091D4B569}"/>
    <cellStyle name="AF Header - IBM Cognos" xfId="10" xr:uid="{77E748EF-5DF7-4996-95A1-1BD69D09D14C}"/>
    <cellStyle name="AF Header 0 - IBM Cognos" xfId="11" xr:uid="{F202108C-9CC3-40BB-83C7-72D8D4FF0A95}"/>
    <cellStyle name="AF Header 1 - IBM Cognos" xfId="12" xr:uid="{1FCC84FA-99A5-4563-AD11-8B54261E898D}"/>
    <cellStyle name="AF Header 2 - IBM Cognos" xfId="13" xr:uid="{748133E6-9E2F-457B-ABB8-D7CE014F5841}"/>
    <cellStyle name="AF Header 3 - IBM Cognos" xfId="14" xr:uid="{CDDC8B06-6522-41E8-97B3-B98635586AC5}"/>
    <cellStyle name="AF Header 4 - IBM Cognos" xfId="15" xr:uid="{D8DCD329-BD79-477C-AF77-70B7E5E3B2CD}"/>
    <cellStyle name="AF Header 5 - IBM Cognos" xfId="16" xr:uid="{64F47164-9BBA-4AA2-AC3C-065727C1E33C}"/>
    <cellStyle name="AF Header Leaf - IBM Cognos" xfId="17" xr:uid="{DA453C9F-8130-46CE-8FD8-4062461DD529}"/>
    <cellStyle name="AF Row - IBM Cognos" xfId="18" xr:uid="{D7ECE3AD-E0CA-4B6C-8E3D-39133A7A6AA3}"/>
    <cellStyle name="AF Row 0 - IBM Cognos" xfId="19" xr:uid="{E5E99C64-D6B6-4978-AEFA-FA7386A72B9C}"/>
    <cellStyle name="AF Row 1 - IBM Cognos" xfId="20" xr:uid="{697391EC-601A-431F-99DE-51AD694E1588}"/>
    <cellStyle name="AF Row 2 - IBM Cognos" xfId="21" xr:uid="{A2E19A73-71A7-474E-9D42-3CD43AE6CA05}"/>
    <cellStyle name="AF Row 3 - IBM Cognos" xfId="22" xr:uid="{1DE960D6-0CE2-4056-92B0-B1AD555CE15F}"/>
    <cellStyle name="AF Row 4 - IBM Cognos" xfId="23" xr:uid="{FBAE98B9-3663-4C35-8C91-9313D8934E47}"/>
    <cellStyle name="AF Row 5 - IBM Cognos" xfId="24" xr:uid="{CECE9297-3A75-4ADF-BDD8-6F2BB8D5D3A0}"/>
    <cellStyle name="AF Row Leaf - IBM Cognos" xfId="25" xr:uid="{1BE1490D-3185-4F19-B80E-9A403426B657}"/>
    <cellStyle name="AF Subnm - IBM Cognos" xfId="26" xr:uid="{769A03C6-3A9C-4A46-A4EF-FD12B57D7CAB}"/>
    <cellStyle name="AF Title - IBM Cognos" xfId="27" xr:uid="{10955A06-86BB-4E7D-B187-1F800832E8CB}"/>
    <cellStyle name="Calculated Column - IBM Cognos" xfId="28" xr:uid="{B1918DAB-69EB-4923-85F4-B5E5ECF8CBFB}"/>
    <cellStyle name="Calculated Column Name - IBM Cognos" xfId="29" xr:uid="{307ACBD9-C5BC-44C5-8154-6330E6B3BC59}"/>
    <cellStyle name="Calculated Row - IBM Cognos" xfId="30" xr:uid="{7ED99A69-182B-4EE7-9CA3-ABB77164B3EB}"/>
    <cellStyle name="Calculated Row Name - IBM Cognos" xfId="31" xr:uid="{5002C046-B4B9-4AB0-B394-C94DC3DAC5BB}"/>
    <cellStyle name="Column Name - IBM Cognos" xfId="32" xr:uid="{A32FCCC3-A190-4214-BAF9-C0A7328D8D35}"/>
    <cellStyle name="Column Template - IBM Cognos" xfId="33" xr:uid="{E8C93623-0D28-4971-AB26-A0ABE178B282}"/>
    <cellStyle name="Differs From Base - IBM Cognos" xfId="34" xr:uid="{800B0874-4F5A-44C5-90B5-A1494C507056}"/>
    <cellStyle name="Edit - IBM Cognos" xfId="35" xr:uid="{8DB8DA1B-F3C5-4F4C-9600-8CF180B4DFF6}"/>
    <cellStyle name="Formula - IBM Cognos" xfId="36" xr:uid="{59746FB9-8D5C-4515-905B-14FB9C539C75}"/>
    <cellStyle name="Group Name - IBM Cognos" xfId="37" xr:uid="{1C221138-AD21-4ABC-A922-0B19000E0B30}"/>
    <cellStyle name="Hold Values - IBM Cognos" xfId="38" xr:uid="{15C33D25-0CF7-4855-A16E-27308B11B2BB}"/>
    <cellStyle name="List Name - IBM Cognos" xfId="39" xr:uid="{EF02E059-16B0-4D10-8C0A-24E00B2B2673}"/>
    <cellStyle name="Locked - IBM Cognos" xfId="40" xr:uid="{194BD853-869B-45BE-9435-6498291995C9}"/>
    <cellStyle name="Measure - IBM Cognos" xfId="41" xr:uid="{0087FF69-A94F-4358-8CC0-2E18876EA957}"/>
    <cellStyle name="Measure Header - IBM Cognos" xfId="42" xr:uid="{EB9B0E7E-AC81-41B7-B29C-1952F3A7D18C}"/>
    <cellStyle name="Measure Name - IBM Cognos" xfId="43" xr:uid="{2D029239-B870-49BC-BDD8-562A533B2CCE}"/>
    <cellStyle name="Measure Summary - IBM Cognos" xfId="44" xr:uid="{10B31119-AE85-4C6E-ACF8-FE57341FBEBA}"/>
    <cellStyle name="Measure Summary TM1 - IBM Cognos" xfId="45" xr:uid="{19E550AA-10E7-4AAA-BB2D-49D963E8988D}"/>
    <cellStyle name="Measure Template - IBM Cognos" xfId="46" xr:uid="{6AD2A294-1A87-4EE6-AD09-A7774E492923}"/>
    <cellStyle name="More - IBM Cognos" xfId="47" xr:uid="{CFC8193B-5B45-4A03-B80C-030601C4EDCA}"/>
    <cellStyle name="Normal" xfId="0" builtinId="0" customBuiltin="1"/>
    <cellStyle name="Pending Change - IBM Cognos" xfId="48" xr:uid="{961EDBF7-572E-4653-829B-BC5D9C3961E5}"/>
    <cellStyle name="Row Name - IBM Cognos" xfId="49" xr:uid="{552B2285-BF67-4C1C-8757-C6F5463CFAA2}"/>
    <cellStyle name="Row Template - IBM Cognos" xfId="50" xr:uid="{75C36BC0-AAF0-454E-A5D4-2EABBA646EC3}"/>
    <cellStyle name="Summary Column Name - IBM Cognos" xfId="51" xr:uid="{8B2A2BB6-3F76-4E24-9956-4280CE0D2C7B}"/>
    <cellStyle name="Summary Column Name TM1 - IBM Cognos" xfId="52" xr:uid="{B133CD4D-A5E4-478D-8EB5-73E404C6A444}"/>
    <cellStyle name="Summary Row Name - IBM Cognos" xfId="53" xr:uid="{2DFA6BC1-91F5-476C-B8F0-12B03BC4E6CC}"/>
    <cellStyle name="Summary Row Name TM1 - IBM Cognos" xfId="54" xr:uid="{1DCC65D1-654A-42C1-9D8E-D0DBE6D8322A}"/>
    <cellStyle name="Unsaved Change - IBM Cognos" xfId="55" xr:uid="{CE9CC535-D69E-4F64-8840-9A2B8A608F83}"/>
  </cellStyles>
  <dxfs count="1"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Appro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AppropWB"/>
  <ax:ocxPr ax:name="TargetWorksheetName" ax:value="=TM1AdminArcCBMSRecoAppro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Detail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DetWB"/>
  <ax:ocxPr ax:name="TargetWorksheetName" ax:value="=TM1AdminArcCBMSRecoRepDetWS"/>
  <ax:ocxPr ax:name="AutoTitles" ax:value="-1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WB"/>
  <ax:ocxPr ax:name="TargetWorksheetName" ax:value="=TM1AdminArcCBMSRecoRepWS"/>
  <ax:ocxPr ax:name="AutoTitles" ax:value="-1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58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Upload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WB"/>
  <ax:ocxPr ax:name="TargetWorksheetName" ax:value="=TM1AdminArcCBMSReco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265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Baseline Menu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BaseWB"/>
  <ax:ocxPr ax:name="TargetWorksheetName" ax:value="=TM1HomeAdmin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dminBas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88"/>
  <ax:ocxPr ax:name="_ExtentY" ax:value="265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76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Adj01HeaderWB"/>
  <ax:ocxPr ax:name="TargetWorksheetName" ax:value="=TM1ViewAdj01HeaderWS"/>
  <ax:ocxPr ax:name="AutoTitles" ax:value="-1"/>
  <ax:ocxPr ax:name="ReplaceWindow" ax:value="-1"/>
  <ax:ocxPr ax:name="IsMappingFormula" ax:value="0"/>
  <ax:ocxPr ax:name="TargetTypes" ax:value="0"/>
  <ax:ocxPr ax:name="TargetObjects" ax:value="id"/>
  <ax:ocxPr ax:name="TargetSubsets" ax:value=""/>
  <ax:ocxPr ax:name="TargetAliases" ax:value=""/>
  <ax:ocxPr ax:name="TargetValues" ax:value=""/>
  <ax:ocxPr ax:name="SourceTypes" ax:value="1"/>
  <ax:ocxPr ax:name="SourceObjects" ax:value="id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8.emf"/><Relationship Id="rId5" Type="http://schemas.openxmlformats.org/officeDocument/2006/relationships/image" Target="../media/image3.emf"/><Relationship Id="rId4" Type="http://schemas.openxmlformats.org/officeDocument/2006/relationships/image" Target="../media/image4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75</xdr:row>
      <xdr:rowOff>19050</xdr:rowOff>
    </xdr:from>
    <xdr:to>
      <xdr:col>9</xdr:col>
      <xdr:colOff>1790700</xdr:colOff>
      <xdr:row>75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609600</xdr:colOff>
          <xdr:row>77</xdr:row>
          <xdr:rowOff>0</xdr:rowOff>
        </xdr:from>
        <xdr:to>
          <xdr:col>13</xdr:col>
          <xdr:colOff>333375</xdr:colOff>
          <xdr:row>77</xdr:row>
          <xdr:rowOff>247650</xdr:rowOff>
        </xdr:to>
        <xdr:sp macro="" textlink="">
          <xdr:nvSpPr>
            <xdr:cNvPr id="1239" name="TIButton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1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77</xdr:row>
          <xdr:rowOff>0</xdr:rowOff>
        </xdr:from>
        <xdr:to>
          <xdr:col>9</xdr:col>
          <xdr:colOff>676275</xdr:colOff>
          <xdr:row>77</xdr:row>
          <xdr:rowOff>247650</xdr:rowOff>
        </xdr:to>
        <xdr:sp macro="" textlink="">
          <xdr:nvSpPr>
            <xdr:cNvPr id="1240" name="TIButton3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77</xdr:row>
          <xdr:rowOff>0</xdr:rowOff>
        </xdr:from>
        <xdr:to>
          <xdr:col>9</xdr:col>
          <xdr:colOff>1838325</xdr:colOff>
          <xdr:row>77</xdr:row>
          <xdr:rowOff>247650</xdr:rowOff>
        </xdr:to>
        <xdr:sp macro="" textlink="">
          <xdr:nvSpPr>
            <xdr:cNvPr id="1241" name="TIButton2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77</xdr:row>
          <xdr:rowOff>0</xdr:rowOff>
        </xdr:from>
        <xdr:to>
          <xdr:col>10</xdr:col>
          <xdr:colOff>190500</xdr:colOff>
          <xdr:row>77</xdr:row>
          <xdr:rowOff>247650</xdr:rowOff>
        </xdr:to>
        <xdr:sp macro="" textlink="">
          <xdr:nvSpPr>
            <xdr:cNvPr id="1242" name="TIButton4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1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238125</xdr:colOff>
          <xdr:row>77</xdr:row>
          <xdr:rowOff>0</xdr:rowOff>
        </xdr:from>
        <xdr:to>
          <xdr:col>10</xdr:col>
          <xdr:colOff>1609725</xdr:colOff>
          <xdr:row>77</xdr:row>
          <xdr:rowOff>247650</xdr:rowOff>
        </xdr:to>
        <xdr:sp macro="" textlink="">
          <xdr:nvSpPr>
            <xdr:cNvPr id="1286" name="TIButton5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1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657225</xdr:colOff>
          <xdr:row>76</xdr:row>
          <xdr:rowOff>28575</xdr:rowOff>
        </xdr:from>
        <xdr:to>
          <xdr:col>19</xdr:col>
          <xdr:colOff>971550</xdr:colOff>
          <xdr:row>77</xdr:row>
          <xdr:rowOff>285750</xdr:rowOff>
        </xdr:to>
        <xdr:sp macro="" textlink="">
          <xdr:nvSpPr>
            <xdr:cNvPr id="1296" name="TIButton6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1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1885950</xdr:colOff>
          <xdr:row>77</xdr:row>
          <xdr:rowOff>0</xdr:rowOff>
        </xdr:from>
        <xdr:to>
          <xdr:col>12</xdr:col>
          <xdr:colOff>571500</xdr:colOff>
          <xdr:row>77</xdr:row>
          <xdr:rowOff>247650</xdr:rowOff>
        </xdr:to>
        <xdr:sp macro="" textlink="">
          <xdr:nvSpPr>
            <xdr:cNvPr id="1298" name="TIButton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1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1638300</xdr:colOff>
          <xdr:row>77</xdr:row>
          <xdr:rowOff>0</xdr:rowOff>
        </xdr:from>
        <xdr:to>
          <xdr:col>11</xdr:col>
          <xdr:colOff>428625</xdr:colOff>
          <xdr:row>77</xdr:row>
          <xdr:rowOff>247650</xdr:rowOff>
        </xdr:to>
        <xdr:sp macro="" textlink="">
          <xdr:nvSpPr>
            <xdr:cNvPr id="1299" name="TIButton8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1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77</xdr:row>
          <xdr:rowOff>0</xdr:rowOff>
        </xdr:from>
        <xdr:to>
          <xdr:col>11</xdr:col>
          <xdr:colOff>1828800</xdr:colOff>
          <xdr:row>77</xdr:row>
          <xdr:rowOff>247650</xdr:rowOff>
        </xdr:to>
        <xdr:sp macro="" textlink="">
          <xdr:nvSpPr>
            <xdr:cNvPr id="1300" name="TIButton9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1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A9DF-59A8-4F61-B3B0-BC37C3E8CB8F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8E77-6365-4B71-B422-C7DB7F9650B2}">
  <sheetPr codeName="Sheet1">
    <outlinePr showOutlineSymbols="0"/>
    <pageSetUpPr fitToPage="1"/>
  </sheetPr>
  <dimension ref="A1:AH96"/>
  <sheetViews>
    <sheetView showGridLines="0" tabSelected="1" showOutlineSymbols="0" topLeftCell="I76" workbookViewId="0">
      <pane xSplit="6" ySplit="20" topLeftCell="O96" activePane="bottomRight" state="frozen"/>
      <selection activeCell="I76" sqref="I76"/>
      <selection pane="topRight" activeCell="O76" sqref="O76"/>
      <selection pane="bottomLeft" activeCell="I96" sqref="I96"/>
      <selection pane="bottomRight"/>
    </sheetView>
  </sheetViews>
  <sheetFormatPr defaultRowHeight="15" outlineLevelRow="1" outlineLevelCol="1" x14ac:dyDescent="0.25"/>
  <cols>
    <col min="1" max="1" width="2.7109375" hidden="1" customWidth="1" outlineLevel="1"/>
    <col min="2" max="2" width="43.85546875" hidden="1" customWidth="1" outlineLevel="1"/>
    <col min="3" max="8" width="20.28515625" hidden="1" customWidth="1" outlineLevel="1"/>
    <col min="9" max="9" width="0.85546875" customWidth="1" collapsed="1"/>
    <col min="10" max="11" width="38.7109375" customWidth="1"/>
    <col min="12" max="12" width="30.7109375" customWidth="1"/>
    <col min="13" max="13" width="18.7109375" customWidth="1"/>
    <col min="14" max="14" width="10.7109375" customWidth="1"/>
    <col min="15" max="20" width="14.7109375" customWidth="1"/>
    <col min="21" max="21" width="0.85546875" customWidth="1"/>
    <col min="22" max="27" width="14.7109375" customWidth="1"/>
    <col min="28" max="28" width="0.85546875" customWidth="1"/>
    <col min="29" max="34" width="14.7109375" customWidth="1"/>
  </cols>
  <sheetData>
    <row r="1" spans="1:34" hidden="1" outlineLevel="1" x14ac:dyDescent="0.25">
      <c r="A1" t="s">
        <v>5</v>
      </c>
      <c r="B1" t="e" cm="1">
        <f t="array" ref="B1">_xll.VIEW(db_name&amp;":AE adjustments",$O$84,"!",$O$86,$C$71,$C$62,$C$63,$C$69,$C$68,$C$64,$C$65,$C$72,$C$70,$O$85,"!",$C$66,$C$67,"!")</f>
        <v>#VALUE!</v>
      </c>
    </row>
    <row r="2" spans="1:34" hidden="1" outlineLevel="1" x14ac:dyDescent="0.25">
      <c r="A2">
        <f>0</f>
        <v>0</v>
      </c>
      <c r="J2" s="26"/>
      <c r="K2" s="26"/>
      <c r="L2" s="26"/>
      <c r="M2" s="26"/>
      <c r="N2" s="21"/>
      <c r="O2" s="12"/>
      <c r="P2" s="12"/>
      <c r="Q2" s="12"/>
      <c r="R2" s="12"/>
      <c r="S2" s="12"/>
      <c r="T2" s="12"/>
      <c r="U2" s="16"/>
      <c r="V2" s="12"/>
      <c r="W2" s="12"/>
      <c r="X2" s="12"/>
      <c r="Y2" s="12"/>
      <c r="Z2" s="12"/>
      <c r="AA2" s="12"/>
      <c r="AB2" s="16"/>
      <c r="AC2" s="12"/>
      <c r="AD2" s="12"/>
      <c r="AE2" s="12"/>
      <c r="AF2" s="12"/>
      <c r="AG2" s="12"/>
      <c r="AH2" s="12"/>
    </row>
    <row r="3" spans="1:34" hidden="1" outlineLevel="1" x14ac:dyDescent="0.25">
      <c r="A3">
        <f>1</f>
        <v>1</v>
      </c>
      <c r="J3" s="26"/>
      <c r="K3" s="26"/>
      <c r="L3" s="26"/>
      <c r="M3" s="26"/>
      <c r="N3" s="21"/>
      <c r="O3" s="12"/>
      <c r="P3" s="12"/>
      <c r="Q3" s="12"/>
      <c r="R3" s="12"/>
      <c r="S3" s="12"/>
      <c r="T3" s="12"/>
      <c r="U3" s="16"/>
      <c r="V3" s="12"/>
      <c r="W3" s="12"/>
      <c r="X3" s="12"/>
      <c r="Y3" s="12"/>
      <c r="Z3" s="12"/>
      <c r="AA3" s="12"/>
      <c r="AB3" s="16"/>
      <c r="AC3" s="12"/>
      <c r="AD3" s="12"/>
      <c r="AE3" s="12"/>
      <c r="AF3" s="12"/>
      <c r="AG3" s="12"/>
      <c r="AH3" s="12"/>
    </row>
    <row r="4" spans="1:34" hidden="1" outlineLevel="1" x14ac:dyDescent="0.25">
      <c r="A4">
        <f>2</f>
        <v>2</v>
      </c>
      <c r="J4" s="26"/>
      <c r="K4" s="26"/>
      <c r="L4" s="26"/>
      <c r="M4" s="26"/>
      <c r="N4" s="21"/>
      <c r="O4" s="12"/>
      <c r="P4" s="12"/>
      <c r="Q4" s="12"/>
      <c r="R4" s="12"/>
      <c r="S4" s="12"/>
      <c r="T4" s="12"/>
      <c r="U4" s="16"/>
      <c r="V4" s="12"/>
      <c r="W4" s="12"/>
      <c r="X4" s="12"/>
      <c r="Y4" s="12"/>
      <c r="Z4" s="12"/>
      <c r="AA4" s="12"/>
      <c r="AB4" s="16"/>
      <c r="AC4" s="12"/>
      <c r="AD4" s="12"/>
      <c r="AE4" s="12"/>
      <c r="AF4" s="12"/>
      <c r="AG4" s="12"/>
      <c r="AH4" s="12"/>
    </row>
    <row r="5" spans="1:34" hidden="1" outlineLevel="1" x14ac:dyDescent="0.25">
      <c r="A5">
        <f>3</f>
        <v>3</v>
      </c>
      <c r="J5" s="26"/>
      <c r="K5" s="26"/>
      <c r="L5" s="26"/>
      <c r="M5" s="26"/>
      <c r="N5" s="21"/>
      <c r="O5" s="12"/>
      <c r="P5" s="12"/>
      <c r="Q5" s="12"/>
      <c r="R5" s="12"/>
      <c r="S5" s="12"/>
      <c r="T5" s="12"/>
      <c r="U5" s="16"/>
      <c r="V5" s="12"/>
      <c r="W5" s="12"/>
      <c r="X5" s="12"/>
      <c r="Y5" s="12"/>
      <c r="Z5" s="12"/>
      <c r="AA5" s="12"/>
      <c r="AB5" s="16"/>
      <c r="AC5" s="12"/>
      <c r="AD5" s="12"/>
      <c r="AE5" s="12"/>
      <c r="AF5" s="12"/>
      <c r="AG5" s="12"/>
      <c r="AH5" s="12"/>
    </row>
    <row r="6" spans="1:34" hidden="1" outlineLevel="1" x14ac:dyDescent="0.25">
      <c r="A6" t="s">
        <v>3</v>
      </c>
      <c r="J6" s="27"/>
      <c r="K6" s="27"/>
      <c r="L6" s="27"/>
      <c r="M6" s="27"/>
      <c r="N6" s="22"/>
      <c r="O6" s="11"/>
      <c r="P6" s="11"/>
      <c r="Q6" s="11"/>
      <c r="R6" s="11"/>
      <c r="S6" s="11"/>
      <c r="T6" s="11"/>
      <c r="U6" s="17"/>
      <c r="V6" s="11"/>
      <c r="W6" s="11"/>
      <c r="X6" s="11"/>
      <c r="Y6" s="11"/>
      <c r="Z6" s="11"/>
      <c r="AA6" s="11"/>
      <c r="AB6" s="17"/>
      <c r="AC6" s="11"/>
      <c r="AD6" s="11"/>
      <c r="AE6" s="11"/>
      <c r="AF6" s="11"/>
      <c r="AG6" s="11"/>
      <c r="AH6" s="11"/>
    </row>
    <row r="7" spans="1:34" hidden="1" outlineLevel="1" x14ac:dyDescent="0.25">
      <c r="A7" t="s">
        <v>4</v>
      </c>
      <c r="J7" s="28"/>
      <c r="K7" s="28"/>
      <c r="L7" s="28"/>
      <c r="M7" s="28"/>
      <c r="N7" s="23"/>
      <c r="O7" s="10"/>
      <c r="P7" s="10"/>
      <c r="Q7" s="10"/>
      <c r="R7" s="10"/>
      <c r="S7" s="10"/>
      <c r="T7" s="10"/>
      <c r="U7" s="18"/>
      <c r="V7" s="10"/>
      <c r="W7" s="10"/>
      <c r="X7" s="10"/>
      <c r="Y7" s="10"/>
      <c r="Z7" s="10"/>
      <c r="AA7" s="10"/>
      <c r="AB7" s="18"/>
      <c r="AC7" s="10"/>
      <c r="AD7" s="10"/>
      <c r="AE7" s="10"/>
      <c r="AF7" s="10"/>
      <c r="AG7" s="10"/>
      <c r="AH7" s="10"/>
    </row>
    <row r="8" spans="1:34" hidden="1" outlineLevel="1" x14ac:dyDescent="0.25">
      <c r="A8" t="s">
        <v>6</v>
      </c>
    </row>
    <row r="9" spans="1:34" hidden="1" outlineLevel="1" x14ac:dyDescent="0.25"/>
    <row r="10" spans="1:34" hidden="1" outlineLevel="1" x14ac:dyDescent="0.25"/>
    <row r="11" spans="1:34" hidden="1" outlineLevel="1" x14ac:dyDescent="0.25">
      <c r="B11" s="35" t="s">
        <v>8</v>
      </c>
      <c r="C11" s="36"/>
      <c r="D11" s="37"/>
    </row>
    <row r="12" spans="1:34" hidden="1" outlineLevel="1" x14ac:dyDescent="0.25">
      <c r="B12" s="2" t="s">
        <v>9</v>
      </c>
      <c r="C12" s="3" t="s">
        <v>100</v>
      </c>
      <c r="D12" s="4"/>
    </row>
    <row r="13" spans="1:34" hidden="1" outlineLevel="1" x14ac:dyDescent="0.25">
      <c r="B13" s="2" t="s">
        <v>10</v>
      </c>
      <c r="C13" s="5" t="str" cm="1">
        <f t="array" ref="C13">_xll.VIEW(db_name&amp;":}ElementAttributes_}Clients","!","!")</f>
        <v>finance_geus:}ElementAttributes_}Clients</v>
      </c>
      <c r="D13" s="4"/>
    </row>
    <row r="14" spans="1:34" hidden="1" outlineLevel="1" x14ac:dyDescent="0.25">
      <c r="B14" s="2" t="s">
        <v>11</v>
      </c>
      <c r="C14" s="3" t="str" cm="1">
        <f t="array" ref="C14">_xll.TM1USER(db_name)</f>
        <v/>
      </c>
      <c r="D14" s="4"/>
    </row>
    <row r="15" spans="1:34" hidden="1" outlineLevel="1" x14ac:dyDescent="0.25">
      <c r="B15" s="2" t="s">
        <v>12</v>
      </c>
      <c r="C15" s="3" t="e" cm="1">
        <f t="array" ref="C15">_xll.DBR($C$13,$C$14,$B15)</f>
        <v>#VALUE!</v>
      </c>
      <c r="D15" s="4"/>
    </row>
    <row r="16" spans="1:34" hidden="1" outlineLevel="1" x14ac:dyDescent="0.25">
      <c r="B16" s="2" t="s">
        <v>13</v>
      </c>
      <c r="C16" s="3" t="e" cm="1">
        <f t="array" ref="C16">_xll.DBR($C$13,$C$14,$B16)</f>
        <v>#VALUE!</v>
      </c>
      <c r="D16" s="4"/>
    </row>
    <row r="17" spans="2:34" hidden="1" outlineLevel="1" x14ac:dyDescent="0.25">
      <c r="B17" s="2" t="s">
        <v>14</v>
      </c>
      <c r="C17" s="3" t="str">
        <f>IF(LEFT($C$14,6)="CAM_AD",$C$15,$C$14)</f>
        <v/>
      </c>
      <c r="D17" s="6"/>
    </row>
    <row r="18" spans="2:34" hidden="1" outlineLevel="1" x14ac:dyDescent="0.25"/>
    <row r="19" spans="2:34" hidden="1" outlineLevel="1" x14ac:dyDescent="0.25">
      <c r="B19" s="35" t="s">
        <v>15</v>
      </c>
      <c r="C19" s="36"/>
      <c r="D19" s="37"/>
      <c r="J19" s="6" t="e">
        <f>RIGHT(psHLYear,9)</f>
        <v>#VALUE!</v>
      </c>
    </row>
    <row r="20" spans="2:34" hidden="1" outlineLevel="1" x14ac:dyDescent="0.25">
      <c r="B20" s="2" t="s">
        <v>16</v>
      </c>
      <c r="C20" s="6" t="str" cm="1">
        <f t="array" ref="C20">_xll.VIEW(db_name&amp;":}ElementAttributes_variables","!","!")</f>
        <v>finance_geus:}ElementAttributes_variables</v>
      </c>
      <c r="D20" s="6"/>
      <c r="J20" s="6" t="s">
        <v>66</v>
      </c>
      <c r="K20" s="6"/>
      <c r="L20" s="6"/>
      <c r="M20" s="6"/>
      <c r="N20" s="6"/>
      <c r="O20" s="6">
        <v>-2</v>
      </c>
      <c r="P20" s="6">
        <v>-1</v>
      </c>
      <c r="Q20" s="6">
        <v>0</v>
      </c>
      <c r="R20" s="6">
        <v>1</v>
      </c>
      <c r="S20" s="6">
        <v>2</v>
      </c>
      <c r="T20" s="6">
        <v>3</v>
      </c>
      <c r="U20" s="6"/>
      <c r="V20" s="6">
        <v>-2</v>
      </c>
      <c r="W20" s="6">
        <v>-1</v>
      </c>
      <c r="X20" s="6">
        <v>0</v>
      </c>
      <c r="Y20" s="6">
        <v>1</v>
      </c>
      <c r="Z20" s="6">
        <v>2</v>
      </c>
      <c r="AA20" s="6">
        <v>3</v>
      </c>
      <c r="AB20" s="6"/>
      <c r="AC20" s="6">
        <v>-2</v>
      </c>
      <c r="AD20" s="6">
        <v>-1</v>
      </c>
      <c r="AE20" s="6">
        <v>0</v>
      </c>
      <c r="AF20" s="6">
        <v>1</v>
      </c>
      <c r="AG20" s="6">
        <v>2</v>
      </c>
      <c r="AH20" s="6">
        <v>3</v>
      </c>
    </row>
    <row r="21" spans="2:34" hidden="1" outlineLevel="1" x14ac:dyDescent="0.25">
      <c r="B21" s="2" t="s">
        <v>17</v>
      </c>
      <c r="C21" s="6" t="s">
        <v>18</v>
      </c>
      <c r="D21" s="6" t="s">
        <v>19</v>
      </c>
      <c r="J21" t="s">
        <v>67</v>
      </c>
      <c r="O21" s="6" t="e" cm="1">
        <f t="array" ref="O21">_xll.DIMNM(db_name&amp;":period",_xll.DIMIX(db_name&amp;":period",$J$19)+O20)</f>
        <v>#VALUE!</v>
      </c>
      <c r="P21" s="6" t="e" cm="1">
        <f t="array" ref="P21">_xll.DIMNM(db_name&amp;":period",_xll.DIMIX(db_name&amp;":period",$J$19)+P20)</f>
        <v>#VALUE!</v>
      </c>
      <c r="Q21" s="6" t="e" cm="1">
        <f t="array" ref="Q21">_xll.DIMNM(db_name&amp;":period",_xll.DIMIX(db_name&amp;":period",$J$19)+Q20)</f>
        <v>#VALUE!</v>
      </c>
      <c r="R21" s="6" t="e" cm="1">
        <f t="array" ref="R21">_xll.DIMNM(db_name&amp;":period",_xll.DIMIX(db_name&amp;":period",$J$19)+R20)</f>
        <v>#VALUE!</v>
      </c>
      <c r="S21" s="6" t="e" cm="1">
        <f t="array" ref="S21">_xll.DIMNM(db_name&amp;":period",_xll.DIMIX(db_name&amp;":period",$J$19)+S20)</f>
        <v>#VALUE!</v>
      </c>
      <c r="T21" s="6" t="e" cm="1">
        <f t="array" ref="T21">_xll.DIMNM(db_name&amp;":period",_xll.DIMIX(db_name&amp;":period",$J$19)+T20)</f>
        <v>#VALUE!</v>
      </c>
      <c r="U21" s="6"/>
      <c r="V21" s="6" t="e" cm="1">
        <f t="array" ref="V21">_xll.DIMNM(db_name&amp;":period",_xll.DIMIX(db_name&amp;":period",$J$19)+V20)</f>
        <v>#VALUE!</v>
      </c>
      <c r="W21" s="6" t="e" cm="1">
        <f t="array" ref="W21">_xll.DIMNM(db_name&amp;":period",_xll.DIMIX(db_name&amp;":period",$J$19)+W20)</f>
        <v>#VALUE!</v>
      </c>
      <c r="X21" s="6" t="e" cm="1">
        <f t="array" ref="X21">_xll.DIMNM(db_name&amp;":period",_xll.DIMIX(db_name&amp;":period",$J$19)+X20)</f>
        <v>#VALUE!</v>
      </c>
      <c r="Y21" s="6" t="e" cm="1">
        <f t="array" ref="Y21">_xll.DIMNM(db_name&amp;":period",_xll.DIMIX(db_name&amp;":period",$J$19)+Y20)</f>
        <v>#VALUE!</v>
      </c>
      <c r="Z21" s="6" t="e" cm="1">
        <f t="array" ref="Z21">_xll.DIMNM(db_name&amp;":period",_xll.DIMIX(db_name&amp;":period",$J$19)+Z20)</f>
        <v>#VALUE!</v>
      </c>
      <c r="AA21" s="6" t="e" cm="1">
        <f t="array" ref="AA21">_xll.DIMNM(db_name&amp;":period",_xll.DIMIX(db_name&amp;":period",$J$19)+AA20)</f>
        <v>#VALUE!</v>
      </c>
      <c r="AB21" s="6"/>
      <c r="AC21" s="6" t="e" cm="1">
        <f t="array" ref="AC21">_xll.DIMNM(db_name&amp;":period",_xll.DIMIX(db_name&amp;":period",$J$19)+AC20)</f>
        <v>#VALUE!</v>
      </c>
      <c r="AD21" s="6" t="e" cm="1">
        <f t="array" ref="AD21">_xll.DIMNM(db_name&amp;":period",_xll.DIMIX(db_name&amp;":period",$J$19)+AD20)</f>
        <v>#VALUE!</v>
      </c>
      <c r="AE21" s="6" t="e" cm="1">
        <f t="array" ref="AE21">_xll.DIMNM(db_name&amp;":period",_xll.DIMIX(db_name&amp;":period",$J$19)+AE20)</f>
        <v>#VALUE!</v>
      </c>
      <c r="AF21" s="6" t="e" cm="1">
        <f t="array" ref="AF21">_xll.DIMNM(db_name&amp;":period",_xll.DIMIX(db_name&amp;":period",$J$19)+AF20)</f>
        <v>#VALUE!</v>
      </c>
      <c r="AG21" s="6" t="e" cm="1">
        <f t="array" ref="AG21">_xll.DIMNM(db_name&amp;":period",_xll.DIMIX(db_name&amp;":period",$J$19)+AG20)</f>
        <v>#VALUE!</v>
      </c>
      <c r="AH21" s="6" t="e" cm="1">
        <f t="array" ref="AH21">_xll.DIMNM(db_name&amp;":period",_xll.DIMIX(db_name&amp;":period",$J$19)+AH20)</f>
        <v>#VALUE!</v>
      </c>
    </row>
    <row r="22" spans="2:34" hidden="1" outlineLevel="1" x14ac:dyDescent="0.25">
      <c r="B22" s="2" t="s">
        <v>0</v>
      </c>
      <c r="C22" s="6" t="e" cm="1">
        <f t="array" ref="C22">_xll.DBR($C$20,$B22,"value")</f>
        <v>#N/A</v>
      </c>
      <c r="D22" s="6"/>
    </row>
    <row r="23" spans="2:34" hidden="1" outlineLevel="1" x14ac:dyDescent="0.25">
      <c r="B23" s="2" t="s">
        <v>20</v>
      </c>
      <c r="C23" s="6" t="e" cm="1">
        <f t="array" ref="C23">_xll.DBR($C$20,$B23,"value")</f>
        <v>#N/A</v>
      </c>
      <c r="D23" s="6"/>
    </row>
    <row r="24" spans="2:34" hidden="1" outlineLevel="1" x14ac:dyDescent="0.25">
      <c r="B24" s="2" t="s">
        <v>21</v>
      </c>
      <c r="C24" s="6" t="e" cm="1">
        <f t="array" ref="C24">_xll.DBR($C$20,$B24,"value")</f>
        <v>#N/A</v>
      </c>
      <c r="D24" s="6"/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/>
      <c r="V24" s="1" t="s">
        <v>7</v>
      </c>
      <c r="W24" s="1" t="s">
        <v>7</v>
      </c>
      <c r="X24" s="1" t="s">
        <v>7</v>
      </c>
      <c r="Y24" s="1" t="s">
        <v>7</v>
      </c>
      <c r="Z24" s="1" t="s">
        <v>7</v>
      </c>
      <c r="AA24" s="1" t="s">
        <v>7</v>
      </c>
      <c r="AB24" s="1"/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</row>
    <row r="25" spans="2:34" hidden="1" outlineLevel="1" x14ac:dyDescent="0.25">
      <c r="B25" s="2" t="s">
        <v>22</v>
      </c>
      <c r="C25" s="6" t="e" cm="1">
        <f t="array" ref="C25">_xll.DBR($C$20,$B25,"value")</f>
        <v>#N/A</v>
      </c>
      <c r="D25" s="6"/>
    </row>
    <row r="26" spans="2:34" hidden="1" outlineLevel="1" x14ac:dyDescent="0.25"/>
    <row r="27" spans="2:34" hidden="1" outlineLevel="1" x14ac:dyDescent="0.25">
      <c r="B27" s="35" t="s">
        <v>23</v>
      </c>
      <c r="C27" s="36"/>
      <c r="D27" s="37"/>
    </row>
    <row r="28" spans="2:34" hidden="1" outlineLevel="1" x14ac:dyDescent="0.25">
      <c r="B28" s="2" t="s">
        <v>16</v>
      </c>
      <c r="C28" s="6" t="str" cm="1">
        <f t="array" ref="C28">_xll.VIEW(db_name&amp;":sys_client preference","!","!","!")</f>
        <v>finance_geus:sys_client preference</v>
      </c>
      <c r="D28" s="6"/>
    </row>
    <row r="29" spans="2:34" hidden="1" outlineLevel="1" x14ac:dyDescent="0.25">
      <c r="B29" s="2" t="s">
        <v>24</v>
      </c>
      <c r="C29" s="6" t="e" cm="1">
        <f t="array" ref="C29">_xll.DBR(C$28,psUser,$B29,"value")</f>
        <v>#VALUE!</v>
      </c>
      <c r="D29" s="6"/>
    </row>
    <row r="30" spans="2:34" hidden="1" outlineLevel="1" x14ac:dyDescent="0.25">
      <c r="B30" s="2" t="s">
        <v>25</v>
      </c>
      <c r="C30" s="6" t="e" cm="1">
        <f t="array" ref="C30">_xll.DBR(C$28,psUser,$B30,"value")</f>
        <v>#VALUE!</v>
      </c>
      <c r="D30" s="6"/>
    </row>
    <row r="31" spans="2:34" hidden="1" outlineLevel="1" x14ac:dyDescent="0.25">
      <c r="B31" s="2" t="s">
        <v>26</v>
      </c>
      <c r="C31" s="6" t="e" cm="1">
        <f t="array" ref="C31">_xll.DBR(C$28,psUser,$B31,"value")</f>
        <v>#VALUE!</v>
      </c>
      <c r="D31" s="6"/>
    </row>
    <row r="32" spans="2:34" hidden="1" outlineLevel="1" x14ac:dyDescent="0.25">
      <c r="B32" s="2" t="s">
        <v>27</v>
      </c>
      <c r="C32" s="6" t="e" cm="1">
        <f t="array" ref="C32">_xll.DBR(C$28,psUser,$B32,"value")</f>
        <v>#VALUE!</v>
      </c>
      <c r="D32" s="6"/>
    </row>
    <row r="33" spans="2:8" hidden="1" outlineLevel="1" x14ac:dyDescent="0.25"/>
    <row r="34" spans="2:8" hidden="1" outlineLevel="1" x14ac:dyDescent="0.25">
      <c r="B34" s="35" t="s">
        <v>28</v>
      </c>
      <c r="C34" s="36"/>
      <c r="D34" s="37"/>
    </row>
    <row r="35" spans="2:8" hidden="1" outlineLevel="1" x14ac:dyDescent="0.25">
      <c r="B35" s="6" t="s">
        <v>29</v>
      </c>
      <c r="C35" s="6" t="str" cm="1">
        <f t="array" ref="C35">_xll.VIEW(db_name&amp;":sys_application","!","!")</f>
        <v>finance_geus:sys_application</v>
      </c>
      <c r="D35" s="6"/>
    </row>
    <row r="36" spans="2:8" hidden="1" outlineLevel="1" x14ac:dyDescent="0.25">
      <c r="B36" s="2" t="s">
        <v>30</v>
      </c>
      <c r="C36" t="s">
        <v>86</v>
      </c>
    </row>
    <row r="37" spans="2:8" hidden="1" outlineLevel="1" x14ac:dyDescent="0.25">
      <c r="B37" s="7" t="s">
        <v>31</v>
      </c>
      <c r="C37" s="8" t="s">
        <v>32</v>
      </c>
      <c r="D37" s="8" t="s">
        <v>33</v>
      </c>
      <c r="E37" s="8" t="s">
        <v>34</v>
      </c>
      <c r="F37" s="8" t="s">
        <v>35</v>
      </c>
      <c r="G37" s="8" t="s">
        <v>36</v>
      </c>
      <c r="H37" s="8" t="s">
        <v>37</v>
      </c>
    </row>
    <row r="38" spans="2:8" hidden="1" outlineLevel="1" x14ac:dyDescent="0.25">
      <c r="B38" s="6" t="s">
        <v>38</v>
      </c>
      <c r="C38" s="6" t="e" cm="1">
        <f t="array" ref="C38">_xll.DBR($C$35,$B38,C$37)</f>
        <v>#N/A</v>
      </c>
      <c r="D38" s="6" t="e" cm="1">
        <f t="array" ref="D38">_xll.DBR($C$35,$B38,D$37)</f>
        <v>#N/A</v>
      </c>
      <c r="E38" s="6" t="e" cm="1">
        <f t="array" ref="E38">_xll.DBR($C$35,$B38,E$37)</f>
        <v>#N/A</v>
      </c>
      <c r="F38" s="6" t="e" cm="1">
        <f t="array" ref="F38">_xll.DBR($C$35,$B38,F$37)</f>
        <v>#N/A</v>
      </c>
      <c r="G38" s="6" t="e" cm="1">
        <f t="array" ref="G38">_xll.DBR($C$35,$B38,G$37)</f>
        <v>#N/A</v>
      </c>
      <c r="H38" s="6" t="e" cm="1">
        <f t="array" ref="H38">_xll.DBR($C$35,$B38,H$37)</f>
        <v>#N/A</v>
      </c>
    </row>
    <row r="39" spans="2:8" hidden="1" outlineLevel="1" x14ac:dyDescent="0.25">
      <c r="B39" s="6" t="s">
        <v>39</v>
      </c>
      <c r="C39" s="6" t="e" cm="1">
        <f t="array" ref="C39">_xll.DBR($C$35,$B39,C$37)</f>
        <v>#N/A</v>
      </c>
      <c r="D39" s="6" t="e" cm="1">
        <f t="array" ref="D39">_xll.DBR($C$35,$B39,D$37)</f>
        <v>#N/A</v>
      </c>
      <c r="E39" s="6" t="e" cm="1">
        <f t="array" ref="E39">_xll.DBR($C$35,$B39,E$37)</f>
        <v>#N/A</v>
      </c>
      <c r="F39" s="6" t="e" cm="1">
        <f t="array" ref="F39">_xll.DBR($C$35,$B39,F$37)</f>
        <v>#N/A</v>
      </c>
      <c r="G39" s="6" t="e" cm="1">
        <f t="array" ref="G39">_xll.DBR($C$35,$B39,G$37)</f>
        <v>#N/A</v>
      </c>
      <c r="H39" s="6" t="e" cm="1">
        <f t="array" ref="H39">_xll.DBR($C$35,$B39,H$37)</f>
        <v>#N/A</v>
      </c>
    </row>
    <row r="40" spans="2:8" hidden="1" outlineLevel="1" x14ac:dyDescent="0.25">
      <c r="B40" s="6" t="s">
        <v>40</v>
      </c>
      <c r="C40" s="6" t="e" cm="1">
        <f t="array" ref="C40">_xll.DBR($C$35,$B40,C$37)</f>
        <v>#N/A</v>
      </c>
      <c r="D40" s="6" t="e" cm="1">
        <f t="array" ref="D40">_xll.DBR($C$35,$B40,D$37)</f>
        <v>#N/A</v>
      </c>
      <c r="E40" s="6" t="e" cm="1">
        <f t="array" ref="E40">_xll.DBR($C$35,$B40,E$37)</f>
        <v>#N/A</v>
      </c>
      <c r="F40" s="6" t="e" cm="1">
        <f t="array" ref="F40">_xll.DBR($C$35,$B40,F$37)</f>
        <v>#N/A</v>
      </c>
      <c r="G40" s="6" t="e" cm="1">
        <f t="array" ref="G40">_xll.DBR($C$35,$B40,G$37)</f>
        <v>#N/A</v>
      </c>
      <c r="H40" s="6" t="e" cm="1">
        <f t="array" ref="H40">_xll.DBR($C$35,$B40,H$37)</f>
        <v>#N/A</v>
      </c>
    </row>
    <row r="41" spans="2:8" hidden="1" outlineLevel="1" x14ac:dyDescent="0.25">
      <c r="B41" s="6" t="s">
        <v>41</v>
      </c>
      <c r="C41" s="6" t="e" cm="1">
        <f t="array" ref="C41">_xll.DBR($C$35,$B41,C$37)</f>
        <v>#N/A</v>
      </c>
      <c r="D41" s="6" t="e" cm="1">
        <f t="array" ref="D41">_xll.DBR($C$35,$B41,D$37)</f>
        <v>#N/A</v>
      </c>
      <c r="E41" s="6" t="e" cm="1">
        <f t="array" ref="E41">_xll.DBR($C$35,$B41,E$37)</f>
        <v>#N/A</v>
      </c>
      <c r="F41" s="6" t="e" cm="1">
        <f t="array" ref="F41">_xll.DBR($C$35,$B41,F$37)</f>
        <v>#N/A</v>
      </c>
      <c r="G41" s="6" t="e" cm="1">
        <f t="array" ref="G41">_xll.DBR($C$35,$B41,G$37)</f>
        <v>#N/A</v>
      </c>
      <c r="H41" s="6" t="e" cm="1">
        <f t="array" ref="H41">_xll.DBR($C$35,$B41,H$37)</f>
        <v>#N/A</v>
      </c>
    </row>
    <row r="42" spans="2:8" hidden="1" outlineLevel="1" x14ac:dyDescent="0.25">
      <c r="B42" s="6" t="s">
        <v>42</v>
      </c>
      <c r="C42" s="6" t="e" cm="1">
        <f t="array" ref="C42">_xll.DBR($C$35,$B42,C$37)</f>
        <v>#N/A</v>
      </c>
      <c r="D42" s="6" t="e" cm="1">
        <f t="array" ref="D42">_xll.DBR($C$35,$B42,D$37)</f>
        <v>#N/A</v>
      </c>
      <c r="E42" s="6" t="e" cm="1">
        <f t="array" ref="E42">_xll.DBR($C$35,$B42,E$37)</f>
        <v>#N/A</v>
      </c>
      <c r="F42" s="6" t="e" cm="1">
        <f t="array" ref="F42">_xll.DBR($C$35,$B42,F$37)</f>
        <v>#N/A</v>
      </c>
      <c r="G42" s="6" t="e" cm="1">
        <f t="array" ref="G42">_xll.DBR($C$35,$B42,G$37)</f>
        <v>#N/A</v>
      </c>
      <c r="H42" s="6" t="e" cm="1">
        <f t="array" ref="H42">_xll.DBR($C$35,$B42,H$37)</f>
        <v>#N/A</v>
      </c>
    </row>
    <row r="43" spans="2:8" hidden="1" outlineLevel="1" x14ac:dyDescent="0.25">
      <c r="B43" s="6" t="s">
        <v>47</v>
      </c>
      <c r="C43" s="6" t="e" cm="1">
        <f t="array" ref="C43">_xll.DBR($C$35,$B43,C$37)</f>
        <v>#N/A</v>
      </c>
      <c r="D43" s="6" t="e" cm="1">
        <f t="array" ref="D43">_xll.DBR($C$35,$B43,D$37)</f>
        <v>#N/A</v>
      </c>
      <c r="E43" s="6" t="e" cm="1">
        <f t="array" ref="E43">_xll.DBR($C$35,$B43,E$37)</f>
        <v>#N/A</v>
      </c>
      <c r="F43" s="6" t="e" cm="1">
        <f t="array" ref="F43">_xll.DBR($C$35,$B43,F$37)</f>
        <v>#N/A</v>
      </c>
      <c r="G43" s="6" t="e" cm="1">
        <f t="array" ref="G43">_xll.DBR($C$35,$B43,G$37)</f>
        <v>#N/A</v>
      </c>
      <c r="H43" s="6" t="e" cm="1">
        <f t="array" ref="H43">_xll.DBR($C$35,$B43,H$37)</f>
        <v>#N/A</v>
      </c>
    </row>
    <row r="44" spans="2:8" hidden="1" outlineLevel="1" x14ac:dyDescent="0.25">
      <c r="B44" s="6" t="s">
        <v>43</v>
      </c>
      <c r="C44" s="6" t="e" cm="1">
        <f t="array" ref="C44">_xll.DBR($C$35,$B44,C$37)</f>
        <v>#N/A</v>
      </c>
      <c r="D44" s="6" t="e" cm="1">
        <f t="array" ref="D44">_xll.DBR($C$35,$B44,D$37)</f>
        <v>#N/A</v>
      </c>
      <c r="E44" s="6" t="e" cm="1">
        <f t="array" ref="E44">_xll.DBR($C$35,$B44,E$37)</f>
        <v>#N/A</v>
      </c>
      <c r="F44" s="6" t="e" cm="1">
        <f t="array" ref="F44">_xll.DBR($C$35,$B44,F$37)</f>
        <v>#N/A</v>
      </c>
      <c r="G44" s="6" t="e" cm="1">
        <f t="array" ref="G44">_xll.DBR($C$35,$B44,G$37)</f>
        <v>#N/A</v>
      </c>
      <c r="H44" s="6" t="e" cm="1">
        <f t="array" ref="H44">_xll.DBR($C$35,$B44,H$37)</f>
        <v>#N/A</v>
      </c>
    </row>
    <row r="45" spans="2:8" hidden="1" outlineLevel="1" x14ac:dyDescent="0.25">
      <c r="B45" s="6" t="s">
        <v>44</v>
      </c>
      <c r="C45" s="6" t="e" cm="1">
        <f t="array" ref="C45">_xll.DBR($C$35,$B45,C$37)</f>
        <v>#N/A</v>
      </c>
      <c r="D45" s="6" t="e" cm="1">
        <f t="array" ref="D45">_xll.DBR($C$35,$B45,D$37)</f>
        <v>#N/A</v>
      </c>
      <c r="E45" s="6" t="e" cm="1">
        <f t="array" ref="E45">_xll.DBR($C$35,$B45,E$37)</f>
        <v>#N/A</v>
      </c>
      <c r="F45" s="6" t="e" cm="1">
        <f t="array" ref="F45">_xll.DBR($C$35,$B45,F$37)</f>
        <v>#N/A</v>
      </c>
      <c r="G45" s="6" t="e" cm="1">
        <f t="array" ref="G45">_xll.DBR($C$35,$B45,G$37)</f>
        <v>#N/A</v>
      </c>
      <c r="H45" s="6" t="e" cm="1">
        <f t="array" ref="H45">_xll.DBR($C$35,$B45,H$37)</f>
        <v>#N/A</v>
      </c>
    </row>
    <row r="46" spans="2:8" hidden="1" outlineLevel="1" x14ac:dyDescent="0.25">
      <c r="B46" s="6" t="s">
        <v>46</v>
      </c>
      <c r="C46" s="6" t="e" cm="1">
        <f t="array" ref="C46">_xll.DBR($C$35,$B46,C$37)</f>
        <v>#N/A</v>
      </c>
      <c r="D46" s="6" t="e" cm="1">
        <f t="array" ref="D46">_xll.DBR($C$35,$B46,D$37)</f>
        <v>#N/A</v>
      </c>
      <c r="E46" s="6" t="e" cm="1">
        <f t="array" ref="E46">_xll.DBR($C$35,$B46,E$37)</f>
        <v>#N/A</v>
      </c>
      <c r="F46" s="6" t="e" cm="1">
        <f t="array" ref="F46">_xll.DBR($C$35,$B46,F$37)</f>
        <v>#N/A</v>
      </c>
      <c r="G46" s="6" t="e" cm="1">
        <f t="array" ref="G46">_xll.DBR($C$35,$B46,G$37)</f>
        <v>#N/A</v>
      </c>
      <c r="H46" s="6" t="e" cm="1">
        <f t="array" ref="H46">_xll.DBR($C$35,$B46,H$37)</f>
        <v>#N/A</v>
      </c>
    </row>
    <row r="47" spans="2:8" hidden="1" outlineLevel="1" x14ac:dyDescent="0.25">
      <c r="B47" s="6" t="s">
        <v>45</v>
      </c>
      <c r="C47" s="6" t="e" cm="1">
        <f t="array" ref="C47">_xll.DBR($C$35,$B47,C$37)</f>
        <v>#N/A</v>
      </c>
      <c r="D47" s="6" t="e" cm="1">
        <f t="array" ref="D47">_xll.DBR($C$35,$B47,D$37)</f>
        <v>#N/A</v>
      </c>
      <c r="E47" s="6" t="e" cm="1">
        <f t="array" ref="E47">_xll.DBR($C$35,$B47,E$37)</f>
        <v>#N/A</v>
      </c>
      <c r="F47" s="6" t="e" cm="1">
        <f t="array" ref="F47">_xll.DBR($C$35,$B47,F$37)</f>
        <v>#N/A</v>
      </c>
      <c r="G47" s="6" t="e" cm="1">
        <f t="array" ref="G47">_xll.DBR($C$35,$B47,G$37)</f>
        <v>#N/A</v>
      </c>
      <c r="H47" s="6" t="e" cm="1">
        <f t="array" ref="H47">_xll.DBR($C$35,$B47,H$37)</f>
        <v>#N/A</v>
      </c>
    </row>
    <row r="48" spans="2:8" hidden="1" outlineLevel="1" x14ac:dyDescent="0.25">
      <c r="B48" s="6" t="s">
        <v>73</v>
      </c>
      <c r="C48" s="6" t="e" cm="1">
        <f t="array" ref="C48">_xll.DBR($C$35,$B48,C$37)</f>
        <v>#N/A</v>
      </c>
      <c r="D48" s="6" t="e" cm="1">
        <f t="array" ref="D48">_xll.DBR($C$35,$B48,D$37)</f>
        <v>#N/A</v>
      </c>
      <c r="E48" s="6" t="e" cm="1">
        <f t="array" ref="E48">_xll.DBR($C$35,$B48,E$37)</f>
        <v>#N/A</v>
      </c>
      <c r="F48" s="6" t="e" cm="1">
        <f t="array" ref="F48">_xll.DBR($C$35,$B48,F$37)</f>
        <v>#N/A</v>
      </c>
      <c r="G48" s="6" t="e" cm="1">
        <f t="array" ref="G48">_xll.DBR($C$35,$B48,G$37)</f>
        <v>#N/A</v>
      </c>
      <c r="H48" s="6" t="e" cm="1">
        <f t="array" ref="H48">_xll.DBR($C$35,$B48,H$37)</f>
        <v>#N/A</v>
      </c>
    </row>
    <row r="49" spans="2:8" hidden="1" outlineLevel="1" x14ac:dyDescent="0.25">
      <c r="B49" s="6" t="s">
        <v>86</v>
      </c>
      <c r="C49" s="6" t="e" cm="1">
        <f t="array" ref="C49">_xll.DBR($C$35,$B49,C$37)</f>
        <v>#N/A</v>
      </c>
      <c r="D49" s="6" t="e" cm="1">
        <f t="array" ref="D49">_xll.DBR($C$35,$B49,D$37)</f>
        <v>#N/A</v>
      </c>
      <c r="E49" s="6" t="e" cm="1">
        <f t="array" ref="E49">_xll.DBR($C$35,$B49,E$37)</f>
        <v>#N/A</v>
      </c>
      <c r="F49" s="6" t="e" cm="1">
        <f t="array" ref="F49">_xll.DBR($C$35,$B49,F$37)</f>
        <v>#N/A</v>
      </c>
      <c r="G49" s="6" t="e" cm="1">
        <f t="array" ref="G49">_xll.DBR($C$35,$B49,G$37)</f>
        <v>#N/A</v>
      </c>
      <c r="H49" s="6" t="e" cm="1">
        <f t="array" ref="H49">_xll.DBR($C$35,$B49,H$37)</f>
        <v>#N/A</v>
      </c>
    </row>
    <row r="50" spans="2:8" hidden="1" outlineLevel="1" x14ac:dyDescent="0.25">
      <c r="B50" s="6" t="s">
        <v>98</v>
      </c>
      <c r="C50" s="6" t="e" cm="1">
        <f t="array" ref="C50">_xll.DBR($C$35,$B50,C$37)</f>
        <v>#N/A</v>
      </c>
      <c r="D50" s="6" t="e" cm="1">
        <f t="array" ref="D50">_xll.DBR($C$35,$B50,D$37)</f>
        <v>#N/A</v>
      </c>
      <c r="E50" s="6" t="e" cm="1">
        <f t="array" ref="E50">_xll.DBR($C$35,$B50,E$37)</f>
        <v>#N/A</v>
      </c>
      <c r="F50" s="6" t="e" cm="1">
        <f t="array" ref="F50">_xll.DBR($C$35,$B50,F$37)</f>
        <v>#N/A</v>
      </c>
      <c r="G50" s="6" t="e" cm="1">
        <f t="array" ref="G50">_xll.DBR($C$35,$B50,G$37)</f>
        <v>#N/A</v>
      </c>
      <c r="H50" s="6" t="e" cm="1">
        <f t="array" ref="H50">_xll.DBR($C$35,$B50,H$37)</f>
        <v>#N/A</v>
      </c>
    </row>
    <row r="51" spans="2:8" hidden="1" outlineLevel="1" x14ac:dyDescent="0.25">
      <c r="B51" s="6" t="s">
        <v>81</v>
      </c>
      <c r="C51" s="6" t="e" cm="1">
        <f t="array" ref="C51">_xll.DBR($C$35,$B51,C$37)</f>
        <v>#N/A</v>
      </c>
      <c r="D51" s="6" t="e" cm="1">
        <f t="array" ref="D51">_xll.DBR($C$35,$B51,D$37)</f>
        <v>#N/A</v>
      </c>
      <c r="E51" s="6" t="e" cm="1">
        <f t="array" ref="E51">_xll.DBR($C$35,$B51,E$37)</f>
        <v>#N/A</v>
      </c>
      <c r="F51" s="6" t="e" cm="1">
        <f t="array" ref="F51">_xll.DBR($C$35,$B51,F$37)</f>
        <v>#N/A</v>
      </c>
      <c r="G51" s="6" t="e" cm="1">
        <f t="array" ref="G51">_xll.DBR($C$35,$B51,G$37)</f>
        <v>#N/A</v>
      </c>
      <c r="H51" s="6" t="e" cm="1">
        <f t="array" ref="H51">_xll.DBR($C$35,$B51,H$37)</f>
        <v>#N/A</v>
      </c>
    </row>
    <row r="52" spans="2:8" hidden="1" outlineLevel="1" x14ac:dyDescent="0.25"/>
    <row r="53" spans="2:8" hidden="1" outlineLevel="1" x14ac:dyDescent="0.25">
      <c r="B53" s="35" t="s">
        <v>28</v>
      </c>
      <c r="C53" s="36"/>
      <c r="D53" s="37"/>
    </row>
    <row r="54" spans="2:8" hidden="1" outlineLevel="1" x14ac:dyDescent="0.25">
      <c r="B54" s="6" t="s">
        <v>48</v>
      </c>
      <c r="C54" s="6" t="str" cm="1">
        <f t="array" aca="1" ref="C54" ca="1">_xll.TM1RPTVIEW(db_name&amp;":AE adjustments:1", 1, _xll.TM1RPTTITLE(db_name&amp;":headline year",$O$84), _xll.TM1RPTTITLE(db_name&amp;":status",$O$86), _xll.TM1RPTTITLE(db_name&amp;":outcome",$C$71),_xll.TM1RPTTITLE(db_name&amp;":function",$C$63), _xll.TM1RPTTITLE(db_name&amp;":reason",$C$69), _xll.TM1RPTTITLE(db_name&amp;":spp",$C$68), _xll.TM1RPTTITLE(db_name&amp;":measure code",$C$64), _xll.TM1RPTTITLE(db_name&amp;":appropriation type",$C$65), _xll.TM1RPTTITLE(db_name&amp;":appropriation item",$C$70), _xll.TM1RPTTITLE(db_name&amp;":jurisdiction",$C$67),TM1RPTFMTRNG,TM1RPTFMTIDCOL)</f>
        <v>finance_geus:AE adjustments:1</v>
      </c>
      <c r="D54" s="6"/>
    </row>
    <row r="55" spans="2:8" hidden="1" outlineLevel="1" x14ac:dyDescent="0.25">
      <c r="B55" s="6" t="s">
        <v>49</v>
      </c>
      <c r="C55" s="6" t="e" cm="1">
        <f t="array" ref="C55">_xll.VIEW(db_name&amp;":AE adjustments",$O$84,"!",$O$86,$C$71,"!",$C$63,$C$69,$C$68,$C$64,$C$65,"!",$C$70,"!","!","!",$C$67,"!")</f>
        <v>#VALUE!</v>
      </c>
      <c r="D55" s="6"/>
    </row>
    <row r="56" spans="2:8" hidden="1" outlineLevel="1" x14ac:dyDescent="0.25">
      <c r="B56" s="6" t="s">
        <v>88</v>
      </c>
      <c r="C56" s="6" t="e">
        <f>IF($T$84="No",$D56,$E56)</f>
        <v>#N/A</v>
      </c>
      <c r="D56" s="6" t="e">
        <f>"{[programme].["&amp;$O$85&amp;"]}"</f>
        <v>#N/A</v>
      </c>
      <c r="E56" t="e">
        <f>"{FILTER( {TM1DRILLDOWNMEMBER( {[programme].["&amp;$O$85&amp;"]}, ALL, RECURSIVE )}, [programme].[CBMS Level Program] = " &amp;"""Y"""&amp;")}"</f>
        <v>#N/A</v>
      </c>
    </row>
    <row r="57" spans="2:8" hidden="1" outlineLevel="1" x14ac:dyDescent="0.25">
      <c r="B57" s="6" t="s">
        <v>50</v>
      </c>
      <c r="C57" s="6" t="e">
        <f>"{EXCEPT({TM1FILTERBYLEVEL( {TM1DRILLDOWNMEMBER( {[account].[" &amp;$O$87 &amp;"]}, ALL, RECURSIVE )}, 0)},{{[account].[6100001]},{ [account].[5235501] },{ [account].[5235502] },{ [account].[5243001] },{ [account].[5243002] }})}"</f>
        <v>#N/A</v>
      </c>
      <c r="D57" s="6"/>
    </row>
    <row r="58" spans="2:8" hidden="1" outlineLevel="1" x14ac:dyDescent="0.25">
      <c r="B58" s="6" t="s">
        <v>72</v>
      </c>
      <c r="C58" s="6" t="e">
        <f>IF($T$85="No",$D58,$E58)</f>
        <v>#N/A</v>
      </c>
      <c r="D58" s="6" t="s">
        <v>80</v>
      </c>
      <c r="E58" s="6" t="s">
        <v>99</v>
      </c>
      <c r="F58" s="6" t="s">
        <v>77</v>
      </c>
    </row>
    <row r="59" spans="2:8" hidden="1" outlineLevel="1" x14ac:dyDescent="0.25">
      <c r="B59" s="6" t="s">
        <v>87</v>
      </c>
      <c r="C59" s="6" t="e">
        <f>IF($T$86="No",$D59,$E59)</f>
        <v>#N/A</v>
      </c>
      <c r="D59" s="6" t="s">
        <v>89</v>
      </c>
      <c r="E59" s="6" t="s">
        <v>90</v>
      </c>
    </row>
    <row r="60" spans="2:8" hidden="1" outlineLevel="1" x14ac:dyDescent="0.25">
      <c r="B60" s="6" t="s">
        <v>78</v>
      </c>
      <c r="C60" s="6" t="s">
        <v>97</v>
      </c>
      <c r="D60" s="6" t="s">
        <v>79</v>
      </c>
    </row>
    <row r="61" spans="2:8" hidden="1" outlineLevel="1" x14ac:dyDescent="0.25">
      <c r="B61" s="6"/>
      <c r="C61" s="6"/>
      <c r="D61" s="6"/>
    </row>
    <row r="62" spans="2:8" hidden="1" outlineLevel="1" x14ac:dyDescent="0.25">
      <c r="B62" s="19" t="s">
        <v>55</v>
      </c>
      <c r="C62" s="6" t="e" cm="1">
        <f t="array" ref="C62">_xll.SUBNM(db_name&amp;":related entity","","Total related entity")</f>
        <v>#N/A</v>
      </c>
      <c r="D62" s="6"/>
    </row>
    <row r="63" spans="2:8" hidden="1" outlineLevel="1" x14ac:dyDescent="0.25">
      <c r="B63" s="19" t="s">
        <v>56</v>
      </c>
      <c r="C63" s="6" t="e" cm="1">
        <f t="array" ref="C63">_xll.SUBNM(db_name&amp;":function","","Total functions")</f>
        <v>#N/A</v>
      </c>
      <c r="D63" s="6"/>
    </row>
    <row r="64" spans="2:8" hidden="1" outlineLevel="1" x14ac:dyDescent="0.25">
      <c r="B64" s="19" t="s">
        <v>59</v>
      </c>
      <c r="C64" s="6" t="e" cm="1">
        <f t="array" ref="C64">_xll.SUBNM(db_name&amp;":measure code","","Total Measures","CBMS")</f>
        <v>#N/A</v>
      </c>
      <c r="D64" s="6"/>
    </row>
    <row r="65" spans="2:34" hidden="1" outlineLevel="1" x14ac:dyDescent="0.25">
      <c r="B65" s="19" t="s">
        <v>60</v>
      </c>
      <c r="C65" s="6" t="e" cm="1">
        <f t="array" ref="C65">_xll.SUBNM(db_name&amp;":appropriation type","","Total approp types")</f>
        <v>#N/A</v>
      </c>
      <c r="D65" s="6"/>
    </row>
    <row r="66" spans="2:34" hidden="1" outlineLevel="1" x14ac:dyDescent="0.25">
      <c r="B66" s="19" t="s">
        <v>62</v>
      </c>
      <c r="C66" s="6" t="e" cm="1">
        <f t="array" ref="C66">_xll.SUBNM(db_name&amp;":id","","Total IDs")</f>
        <v>#N/A</v>
      </c>
      <c r="D66" s="6"/>
    </row>
    <row r="67" spans="2:34" hidden="1" outlineLevel="1" x14ac:dyDescent="0.25">
      <c r="B67" s="19" t="s">
        <v>63</v>
      </c>
      <c r="C67" s="6" t="e" cm="1">
        <f t="array" ref="C67">_xll.SUBNM(db_name&amp;":jurisdiction","","Total jurisdictions")</f>
        <v>#N/A</v>
      </c>
      <c r="D67" s="6"/>
    </row>
    <row r="68" spans="2:34" hidden="1" outlineLevel="1" x14ac:dyDescent="0.25">
      <c r="B68" s="19" t="s">
        <v>58</v>
      </c>
      <c r="C68" s="6" t="e" cm="1">
        <f t="array" ref="C68">_xll.SUBNM(db_name&amp;":spp","","Total SPP")</f>
        <v>#N/A</v>
      </c>
      <c r="D68" s="6"/>
    </row>
    <row r="69" spans="2:34" hidden="1" outlineLevel="1" x14ac:dyDescent="0.25">
      <c r="B69" s="19" t="s">
        <v>57</v>
      </c>
      <c r="C69" s="6" t="e" cm="1">
        <f t="array" ref="C69">_xll.SUBNM(db_name&amp;":reason","","Total reason")</f>
        <v>#N/A</v>
      </c>
      <c r="D69" s="6"/>
    </row>
    <row r="70" spans="2:34" hidden="1" outlineLevel="1" x14ac:dyDescent="0.25">
      <c r="B70" s="19" t="s">
        <v>61</v>
      </c>
      <c r="C70" s="6" t="e" cm="1">
        <f t="array" ref="C70">_xll.SUBNM(db_name&amp;":appropriation item","","Total approp item")</f>
        <v>#N/A</v>
      </c>
      <c r="D70" s="6"/>
    </row>
    <row r="71" spans="2:34" hidden="1" outlineLevel="1" x14ac:dyDescent="0.25">
      <c r="B71" s="9" t="s">
        <v>54</v>
      </c>
      <c r="C71" s="6" t="e" cm="1">
        <f t="array" ref="C71">_xll.SUBNM(db_name&amp;":outcome","","Total outcomes")</f>
        <v>#N/A</v>
      </c>
      <c r="D71" s="6"/>
      <c r="E71" s="6"/>
    </row>
    <row r="72" spans="2:34" hidden="1" outlineLevel="1" x14ac:dyDescent="0.25">
      <c r="B72" s="9" t="s">
        <v>65</v>
      </c>
      <c r="C72" s="6" t="e" cm="1">
        <f t="array" ref="C72">_xll.SUBNM(db_name&amp;":movement account","","Total movement","code and description")</f>
        <v>#N/A</v>
      </c>
      <c r="D72" s="6"/>
      <c r="E72" s="6"/>
    </row>
    <row r="73" spans="2:34" hidden="1" outlineLevel="1" x14ac:dyDescent="0.25"/>
    <row r="74" spans="2:34" hidden="1" outlineLevel="1" x14ac:dyDescent="0.25"/>
    <row r="75" spans="2:34" hidden="1" outlineLevel="1" x14ac:dyDescent="0.25"/>
    <row r="76" spans="2:34" ht="39.950000000000003" customHeight="1" collapsed="1" x14ac:dyDescent="0.25"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 t="s">
        <v>92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spans="2:34" ht="4.5" customHeight="1" x14ac:dyDescent="0.25"/>
    <row r="78" spans="2:34" ht="24" customHeight="1" x14ac:dyDescent="0.25"/>
    <row r="79" spans="2:34" ht="1.5" customHeight="1" x14ac:dyDescent="0.25"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spans="2:34" ht="4.5" customHeight="1" x14ac:dyDescent="0.25"/>
    <row r="81" spans="1:34" x14ac:dyDescent="0.25">
      <c r="J81" s="44" t="s">
        <v>83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</row>
    <row r="82" spans="1:34" ht="4.5" customHeight="1" x14ac:dyDescent="0.25"/>
    <row r="83" spans="1:34" x14ac:dyDescent="0.25">
      <c r="O83" s="42" t="s">
        <v>71</v>
      </c>
      <c r="P83" s="43"/>
      <c r="Q83" s="43"/>
      <c r="S83" s="42" t="s">
        <v>93</v>
      </c>
      <c r="T83" s="43"/>
    </row>
    <row r="84" spans="1:34" x14ac:dyDescent="0.25">
      <c r="N84" s="30" t="s">
        <v>52</v>
      </c>
      <c r="O84" s="40" t="e" cm="1">
        <f t="array" ref="O84">_xll.SUBNM(db_name&amp;":headline year","",$C$22)</f>
        <v>#VALUE!</v>
      </c>
      <c r="P84" s="40"/>
      <c r="Q84" s="40"/>
      <c r="S84" s="9" t="s">
        <v>94</v>
      </c>
      <c r="T84" s="24" t="e" cm="1">
        <f t="array" ref="T84">_xll.SUBNM(db_name&amp;":sys_YesNo","","Yes")</f>
        <v>#N/A</v>
      </c>
    </row>
    <row r="85" spans="1:34" x14ac:dyDescent="0.25">
      <c r="N85" s="30" t="s">
        <v>84</v>
      </c>
      <c r="O85" s="40" t="e" cm="1">
        <f t="array" ref="O85">_xll.SUBNM(db_name&amp;":programme","","Administered Programmes","code and description")</f>
        <v>#N/A</v>
      </c>
      <c r="P85" s="40"/>
      <c r="Q85" s="40"/>
      <c r="S85" s="9" t="s">
        <v>95</v>
      </c>
      <c r="T85" s="24" t="e" cm="1">
        <f t="array" ref="T85">_xll.SUBNM(db_name&amp;":sys_YesNo","","Yes")</f>
        <v>#N/A</v>
      </c>
    </row>
    <row r="86" spans="1:34" x14ac:dyDescent="0.25">
      <c r="N86" s="30" t="s">
        <v>53</v>
      </c>
      <c r="O86" s="40" t="e" cm="1">
        <f t="array" ref="O86">_xll.SUBNM(db_name&amp;":status","","Total approved")</f>
        <v>#N/A</v>
      </c>
      <c r="P86" s="40"/>
      <c r="Q86" s="40"/>
      <c r="S86" s="9" t="s">
        <v>96</v>
      </c>
      <c r="T86" s="24" t="e" cm="1">
        <f t="array" ref="T86">_xll.SUBNM(db_name&amp;":sys_YesNo","","Yes")</f>
        <v>#N/A</v>
      </c>
    </row>
    <row r="87" spans="1:34" x14ac:dyDescent="0.25">
      <c r="N87" s="30" t="s">
        <v>64</v>
      </c>
      <c r="O87" s="40" t="e" cm="1">
        <f t="array" ref="O87">_xll.SUBNM(db_name&amp;":Account","","2000000","code and description")</f>
        <v>#N/A</v>
      </c>
      <c r="P87" s="40"/>
      <c r="Q87" s="40"/>
    </row>
    <row r="88" spans="1:34" ht="4.5" customHeight="1" x14ac:dyDescent="0.25">
      <c r="N88" s="31"/>
    </row>
    <row r="89" spans="1:34" x14ac:dyDescent="0.25">
      <c r="N89" s="31"/>
      <c r="O89" s="38" t="s">
        <v>68</v>
      </c>
      <c r="P89" s="38"/>
      <c r="Q89" s="38"/>
      <c r="R89" s="38"/>
      <c r="S89" s="39"/>
      <c r="T89" s="39"/>
      <c r="V89" s="38" t="s">
        <v>69</v>
      </c>
      <c r="W89" s="38"/>
      <c r="X89" s="38"/>
      <c r="Y89" s="38"/>
      <c r="Z89" s="39"/>
      <c r="AA89" s="39"/>
      <c r="AC89" s="38" t="s">
        <v>70</v>
      </c>
      <c r="AD89" s="38"/>
      <c r="AE89" s="38"/>
      <c r="AF89" s="38"/>
      <c r="AG89" s="39"/>
      <c r="AH89" s="39"/>
    </row>
    <row r="90" spans="1:34" x14ac:dyDescent="0.25">
      <c r="N90" s="31"/>
      <c r="O90" s="14" t="e">
        <f>O$21</f>
        <v>#VALUE!</v>
      </c>
      <c r="P90" s="14" t="e">
        <f t="shared" ref="P90:AH90" si="0">P$21</f>
        <v>#VALUE!</v>
      </c>
      <c r="Q90" s="14" t="e">
        <f t="shared" si="0"/>
        <v>#VALUE!</v>
      </c>
      <c r="R90" s="14" t="e">
        <f t="shared" si="0"/>
        <v>#VALUE!</v>
      </c>
      <c r="S90" s="14" t="e">
        <f t="shared" si="0"/>
        <v>#VALUE!</v>
      </c>
      <c r="T90" s="15" t="e">
        <f t="shared" si="0"/>
        <v>#VALUE!</v>
      </c>
      <c r="V90" s="14" t="e">
        <f t="shared" si="0"/>
        <v>#VALUE!</v>
      </c>
      <c r="W90" s="14" t="e">
        <f t="shared" si="0"/>
        <v>#VALUE!</v>
      </c>
      <c r="X90" s="14" t="e">
        <f t="shared" si="0"/>
        <v>#VALUE!</v>
      </c>
      <c r="Y90" s="14" t="e">
        <f t="shared" si="0"/>
        <v>#VALUE!</v>
      </c>
      <c r="Z90" s="14" t="e">
        <f t="shared" si="0"/>
        <v>#VALUE!</v>
      </c>
      <c r="AA90" s="15" t="e">
        <f t="shared" si="0"/>
        <v>#VALUE!</v>
      </c>
      <c r="AC90" s="14" t="e">
        <f t="shared" si="0"/>
        <v>#VALUE!</v>
      </c>
      <c r="AD90" s="14" t="e">
        <f t="shared" si="0"/>
        <v>#VALUE!</v>
      </c>
      <c r="AE90" s="14" t="e">
        <f t="shared" si="0"/>
        <v>#VALUE!</v>
      </c>
      <c r="AF90" s="14" t="e">
        <f t="shared" si="0"/>
        <v>#VALUE!</v>
      </c>
      <c r="AG90" s="14" t="e">
        <f t="shared" si="0"/>
        <v>#VALUE!</v>
      </c>
      <c r="AH90" s="15" t="e">
        <f t="shared" si="0"/>
        <v>#VALUE!</v>
      </c>
    </row>
    <row r="91" spans="1:34" x14ac:dyDescent="0.25">
      <c r="N91" s="32" t="e">
        <f>$O$87</f>
        <v>#N/A</v>
      </c>
      <c r="O91" s="13" t="e" cm="1">
        <f t="array" ref="O91">_xll.DBRW($C$55,$O$84,O$24,$O$86,$C$71,$C$62,$C$63,$C$69,$C$68,$C$64,$C$65,$C$72,$C$70,$O$85,$N91,$C$66,$C$67,O$95)</f>
        <v>#VALUE!</v>
      </c>
      <c r="P91" s="13" t="e" cm="1">
        <f t="array" ref="P91">_xll.DBRW($C$55,$O$84,P$24,$O$86,$C$71,$C$62,$C$63,$C$69,$C$68,$C$64,$C$65,$C$72,$C$70,$O$85,$N91,$C$66,$C$67,P$95)</f>
        <v>#VALUE!</v>
      </c>
      <c r="Q91" s="13" t="e" cm="1">
        <f t="array" ref="Q91">_xll.DBRW($C$55,$O$84,Q$24,$O$86,$C$71,$C$62,$C$63,$C$69,$C$68,$C$64,$C$65,$C$72,$C$70,$O$85,$N91,$C$66,$C$67,Q$95)</f>
        <v>#VALUE!</v>
      </c>
      <c r="R91" s="13" t="e" cm="1">
        <f t="array" ref="R91">_xll.DBRW($C$55,$O$84,R$24,$O$86,$C$71,$C$62,$C$63,$C$69,$C$68,$C$64,$C$65,$C$72,$C$70,$O$85,$N91,$C$66,$C$67,R$95)</f>
        <v>#VALUE!</v>
      </c>
      <c r="S91" s="13" t="e" cm="1">
        <f t="array" ref="S91">_xll.DBRW($C$55,$O$84,S$24,$O$86,$C$71,$C$62,$C$63,$C$69,$C$68,$C$64,$C$65,$C$72,$C$70,$O$85,$N91,$C$66,$C$67,S$95)</f>
        <v>#VALUE!</v>
      </c>
      <c r="T91" s="13" t="e" cm="1">
        <f t="array" ref="T91">_xll.DBRW($C$55,$O$84,T$24,$O$86,$C$71,$C$62,$C$63,$C$69,$C$68,$C$64,$C$65,$C$72,$C$70,$O$85,$N91,$C$66,$C$67,T$95)</f>
        <v>#VALUE!</v>
      </c>
      <c r="V91" s="13" t="e" cm="1">
        <f t="array" ref="V91">_xll.DBRW($C$55,$O$84,V$24,$O$86,$C$71,$C$62,$C$63,$C$69,$C$68,$C$64,$C$65,$C$72,$C$70,$O$85,$N91,$C$66,$C$67,V$95)</f>
        <v>#VALUE!</v>
      </c>
      <c r="W91" s="13" t="e" cm="1">
        <f t="array" ref="W91">_xll.DBRW($C$55,$O$84,W$24,$O$86,$C$71,$C$62,$C$63,$C$69,$C$68,$C$64,$C$65,$C$72,$C$70,$O$85,$N91,$C$66,$C$67,W$95)</f>
        <v>#VALUE!</v>
      </c>
      <c r="X91" s="13" t="e" cm="1">
        <f t="array" ref="X91">_xll.DBRW($C$55,$O$84,X$24,$O$86,$C$71,$C$62,$C$63,$C$69,$C$68,$C$64,$C$65,$C$72,$C$70,$O$85,$N91,$C$66,$C$67,X$95)</f>
        <v>#VALUE!</v>
      </c>
      <c r="Y91" s="13" t="e" cm="1">
        <f t="array" ref="Y91">_xll.DBRW($C$55,$O$84,Y$24,$O$86,$C$71,$C$62,$C$63,$C$69,$C$68,$C$64,$C$65,$C$72,$C$70,$O$85,$N91,$C$66,$C$67,Y$95)</f>
        <v>#VALUE!</v>
      </c>
      <c r="Z91" s="13" t="e" cm="1">
        <f t="array" ref="Z91">_xll.DBRW($C$55,$O$84,Z$24,$O$86,$C$71,$C$62,$C$63,$C$69,$C$68,$C$64,$C$65,$C$72,$C$70,$O$85,$N91,$C$66,$C$67,Z$95)</f>
        <v>#VALUE!</v>
      </c>
      <c r="AA91" s="13" t="e" cm="1">
        <f t="array" ref="AA91">_xll.DBRW($C$55,$O$84,AA$24,$O$86,$C$71,$C$62,$C$63,$C$69,$C$68,$C$64,$C$65,$C$72,$C$70,$O$85,$N91,$C$66,$C$67,AA$95)</f>
        <v>#VALUE!</v>
      </c>
      <c r="AC91" s="13" t="e" cm="1">
        <f t="array" ref="AC91">_xll.DBRW($C$55,$O$84,AC$24,$O$86,$C$71,$C$62,$C$63,$C$69,$C$68,$C$64,$C$65,$C$72,$C$70,$O$85,$N91,$C$66,$C$67,AC$95)</f>
        <v>#VALUE!</v>
      </c>
      <c r="AD91" s="13" t="e" cm="1">
        <f t="array" ref="AD91">_xll.DBRW($C$55,$O$84,AD$24,$O$86,$C$71,$C$62,$C$63,$C$69,$C$68,$C$64,$C$65,$C$72,$C$70,$O$85,$N91,$C$66,$C$67,AD$95)</f>
        <v>#VALUE!</v>
      </c>
      <c r="AE91" s="13" t="e" cm="1">
        <f t="array" ref="AE91">_xll.DBRW($C$55,$O$84,AE$24,$O$86,$C$71,$C$62,$C$63,$C$69,$C$68,$C$64,$C$65,$C$72,$C$70,$O$85,$N91,$C$66,$C$67,AE$95)</f>
        <v>#VALUE!</v>
      </c>
      <c r="AF91" s="13" t="e" cm="1">
        <f t="array" ref="AF91">_xll.DBRW($C$55,$O$84,AF$24,$O$86,$C$71,$C$62,$C$63,$C$69,$C$68,$C$64,$C$65,$C$72,$C$70,$O$85,$N91,$C$66,$C$67,AF$95)</f>
        <v>#VALUE!</v>
      </c>
      <c r="AG91" s="13" t="e" cm="1">
        <f t="array" ref="AG91">_xll.DBRW($C$55,$O$84,AG$24,$O$86,$C$71,$C$62,$C$63,$C$69,$C$68,$C$64,$C$65,$C$72,$C$70,$O$85,$N91,$C$66,$C$67,AG$95)</f>
        <v>#VALUE!</v>
      </c>
      <c r="AH91" s="13" t="e" cm="1">
        <f t="array" ref="AH91">_xll.DBRW($C$55,$O$84,AH$24,$O$86,$C$71,$C$62,$C$63,$C$69,$C$68,$C$64,$C$65,$C$72,$C$70,$O$85,$N91,$C$66,$C$67,AH$95)</f>
        <v>#VALUE!</v>
      </c>
    </row>
    <row r="92" spans="1:34" ht="4.5" customHeight="1" x14ac:dyDescent="0.25"/>
    <row r="93" spans="1:34" x14ac:dyDescent="0.25">
      <c r="O93" s="41" t="s">
        <v>82</v>
      </c>
      <c r="P93" s="41"/>
      <c r="Q93" s="41"/>
      <c r="R93" s="41"/>
      <c r="S93" s="41"/>
      <c r="T93" s="41"/>
      <c r="V93" s="41" t="s">
        <v>82</v>
      </c>
      <c r="W93" s="41"/>
      <c r="X93" s="41"/>
      <c r="Y93" s="41"/>
      <c r="Z93" s="41"/>
      <c r="AA93" s="41"/>
      <c r="AC93" s="41" t="s">
        <v>82</v>
      </c>
      <c r="AD93" s="41"/>
      <c r="AE93" s="41"/>
      <c r="AF93" s="41"/>
      <c r="AG93" s="41"/>
      <c r="AH93" s="41"/>
    </row>
    <row r="94" spans="1:34" x14ac:dyDescent="0.25">
      <c r="J94" s="38" t="s">
        <v>74</v>
      </c>
      <c r="K94" s="38"/>
      <c r="L94" s="38"/>
      <c r="M94" s="38"/>
      <c r="N94" s="38"/>
      <c r="O94" s="38" t="s">
        <v>68</v>
      </c>
      <c r="P94" s="38"/>
      <c r="Q94" s="38"/>
      <c r="R94" s="38"/>
      <c r="S94" s="39"/>
      <c r="T94" s="39"/>
      <c r="V94" s="38" t="s">
        <v>69</v>
      </c>
      <c r="W94" s="38"/>
      <c r="X94" s="38"/>
      <c r="Y94" s="38"/>
      <c r="Z94" s="39"/>
      <c r="AA94" s="39"/>
      <c r="AC94" s="38" t="s">
        <v>70</v>
      </c>
      <c r="AD94" s="38"/>
      <c r="AE94" s="38"/>
      <c r="AF94" s="38"/>
      <c r="AG94" s="39"/>
      <c r="AH94" s="39"/>
    </row>
    <row r="95" spans="1:34" x14ac:dyDescent="0.25">
      <c r="J95" s="14" t="s">
        <v>91</v>
      </c>
      <c r="K95" s="14" t="s">
        <v>51</v>
      </c>
      <c r="L95" s="25" t="s">
        <v>75</v>
      </c>
      <c r="M95" s="25" t="s">
        <v>85</v>
      </c>
      <c r="N95" s="25" t="s">
        <v>76</v>
      </c>
      <c r="O95" s="14" t="e">
        <f>O$21</f>
        <v>#VALUE!</v>
      </c>
      <c r="P95" s="14" t="e">
        <f t="shared" ref="P95:AH95" si="1">P$21</f>
        <v>#VALUE!</v>
      </c>
      <c r="Q95" s="14" t="e">
        <f t="shared" si="1"/>
        <v>#VALUE!</v>
      </c>
      <c r="R95" s="14" t="e">
        <f t="shared" si="1"/>
        <v>#VALUE!</v>
      </c>
      <c r="S95" s="14" t="e">
        <f t="shared" si="1"/>
        <v>#VALUE!</v>
      </c>
      <c r="T95" s="15" t="e">
        <f t="shared" si="1"/>
        <v>#VALUE!</v>
      </c>
      <c r="V95" s="14" t="e">
        <f t="shared" si="1"/>
        <v>#VALUE!</v>
      </c>
      <c r="W95" s="14" t="e">
        <f t="shared" si="1"/>
        <v>#VALUE!</v>
      </c>
      <c r="X95" s="14" t="e">
        <f t="shared" si="1"/>
        <v>#VALUE!</v>
      </c>
      <c r="Y95" s="14" t="e">
        <f t="shared" si="1"/>
        <v>#VALUE!</v>
      </c>
      <c r="Z95" s="14" t="e">
        <f t="shared" si="1"/>
        <v>#VALUE!</v>
      </c>
      <c r="AA95" s="15" t="e">
        <f t="shared" si="1"/>
        <v>#VALUE!</v>
      </c>
      <c r="AC95" s="14" t="e">
        <f t="shared" si="1"/>
        <v>#VALUE!</v>
      </c>
      <c r="AD95" s="14" t="e">
        <f t="shared" si="1"/>
        <v>#VALUE!</v>
      </c>
      <c r="AE95" s="14" t="e">
        <f t="shared" si="1"/>
        <v>#VALUE!</v>
      </c>
      <c r="AF95" s="14" t="e">
        <f t="shared" si="1"/>
        <v>#VALUE!</v>
      </c>
      <c r="AG95" s="14" t="e">
        <f t="shared" si="1"/>
        <v>#VALUE!</v>
      </c>
      <c r="AH95" s="15" t="e">
        <f t="shared" si="1"/>
        <v>#VALUE!</v>
      </c>
    </row>
    <row r="96" spans="1:34" ht="24" outlineLevel="1" x14ac:dyDescent="0.25">
      <c r="A96" t="e" cm="1">
        <f t="array" aca="1" ref="A96" ca="1">IF(_xll.TM1RPTELISCONSOLIDATED($K$96,$K96),IF(_xll.TM1RPTELLEV($K$96,$K96)&lt;=3,_xll.TM1RPTELLEV($K$96,$K96),"D"),"N")</f>
        <v>#VALUE!</v>
      </c>
      <c r="J96" s="33" t="e" cm="1">
        <f t="array" aca="1" ref="J96" ca="1">_xll.TM1RPTROW($C$54,db_name&amp;":programme","","","code and description",0,$C$56)</f>
        <v>#VALUE!</v>
      </c>
      <c r="K96" s="29" t="e" cm="1">
        <f t="array" aca="1" ref="K96" ca="1">_xll.TM1RPTROW($C$54,db_name&amp;":account","","","code and description",0,$C$57)</f>
        <v>#VALUE!</v>
      </c>
      <c r="L96" s="29" t="e" cm="1">
        <f t="array" aca="1" ref="L96" ca="1">_xll.TM1RPTROW($C$54,db_name&amp;":movement account","","","code and description",0,$C$58)</f>
        <v>#VALUE!</v>
      </c>
      <c r="M96" s="29" t="e" cm="1">
        <f t="array" aca="1" ref="M96" ca="1">_xll.TM1RPTROW($C$54,db_name&amp;":related entity","","","code and description",0,$C$59)</f>
        <v>#VALUE!</v>
      </c>
      <c r="N96" s="34" t="str" cm="1">
        <f t="array" aca="1" ref="N96" ca="1">_xll.TM1RPTROW($C$54,db_name&amp;":id","","","code and description",0,$C$60)</f>
        <v>pending__sys_Admin - Archive - CBMS GEUS Reconciliation Program Detail_20250306035242.xlsx:reco:TM1RPTDATARNG:1</v>
      </c>
      <c r="O96" s="10" t="e" cm="1">
        <f t="array" aca="1" ref="O96" ca="1">_xll.DBRW($C$54,$O$84,O$24,$O$86,$C$71,$M96,$C$63,$C$69,$C$68,$C$64,$C$65,$L96,$C$70,$J96,$K96,$N96,$C$67,O$95)</f>
        <v>#VALUE!</v>
      </c>
      <c r="P96" s="10" t="e" cm="1">
        <f t="array" aca="1" ref="P96" ca="1">_xll.DBRW($C$54,$O$84,P$24,$O$86,$C$71,$M96,$C$63,$C$69,$C$68,$C$64,$C$65,$L96,$C$70,$J96,$K96,$N96,$C$67,P$95)</f>
        <v>#VALUE!</v>
      </c>
      <c r="Q96" s="10" t="e" cm="1">
        <f t="array" aca="1" ref="Q96" ca="1">_xll.DBRW($C$54,$O$84,Q$24,$O$86,$C$71,$M96,$C$63,$C$69,$C$68,$C$64,$C$65,$L96,$C$70,$J96,$K96,$N96,$C$67,Q$95)</f>
        <v>#VALUE!</v>
      </c>
      <c r="R96" s="10" t="e" cm="1">
        <f t="array" aca="1" ref="R96" ca="1">_xll.DBRW($C$54,$O$84,R$24,$O$86,$C$71,$M96,$C$63,$C$69,$C$68,$C$64,$C$65,$L96,$C$70,$J96,$K96,$N96,$C$67,R$95)</f>
        <v>#VALUE!</v>
      </c>
      <c r="S96" s="10" t="e" cm="1">
        <f t="array" aca="1" ref="S96" ca="1">_xll.DBRW($C$54,$O$84,S$24,$O$86,$C$71,$M96,$C$63,$C$69,$C$68,$C$64,$C$65,$L96,$C$70,$J96,$K96,$N96,$C$67,S$95)</f>
        <v>#VALUE!</v>
      </c>
      <c r="T96" s="10" t="e" cm="1">
        <f t="array" aca="1" ref="T96" ca="1">_xll.DBRW($C$54,$O$84,T$24,$O$86,$C$71,$M96,$C$63,$C$69,$C$68,$C$64,$C$65,$L96,$C$70,$J96,$K96,$N96,$C$67,T$95)</f>
        <v>#VALUE!</v>
      </c>
      <c r="U96" s="18"/>
      <c r="V96" s="10" t="e" cm="1">
        <f t="array" aca="1" ref="V96" ca="1">_xll.DBRW($C$54,$O$84,V$24,$O$86,$C$71,$M96,$C$63,$C$69,$C$68,$C$64,$C$65,$L96,$C$70,$J96,$K96,$N96,$C$67,V$95)</f>
        <v>#VALUE!</v>
      </c>
      <c r="W96" s="10" t="e" cm="1">
        <f t="array" aca="1" ref="W96" ca="1">_xll.DBRW($C$54,$O$84,W$24,$O$86,$C$71,$M96,$C$63,$C$69,$C$68,$C$64,$C$65,$L96,$C$70,$J96,$K96,$N96,$C$67,W$95)</f>
        <v>#VALUE!</v>
      </c>
      <c r="X96" s="10" t="e" cm="1">
        <f t="array" aca="1" ref="X96" ca="1">_xll.DBRW($C$54,$O$84,X$24,$O$86,$C$71,$M96,$C$63,$C$69,$C$68,$C$64,$C$65,$L96,$C$70,$J96,$K96,$N96,$C$67,X$95)</f>
        <v>#VALUE!</v>
      </c>
      <c r="Y96" s="10" t="e" cm="1">
        <f t="array" aca="1" ref="Y96" ca="1">_xll.DBRW($C$54,$O$84,Y$24,$O$86,$C$71,$M96,$C$63,$C$69,$C$68,$C$64,$C$65,$L96,$C$70,$J96,$K96,$N96,$C$67,Y$95)</f>
        <v>#VALUE!</v>
      </c>
      <c r="Z96" s="10" t="e" cm="1">
        <f t="array" aca="1" ref="Z96" ca="1">_xll.DBRW($C$54,$O$84,Z$24,$O$86,$C$71,$M96,$C$63,$C$69,$C$68,$C$64,$C$65,$L96,$C$70,$J96,$K96,$N96,$C$67,Z$95)</f>
        <v>#VALUE!</v>
      </c>
      <c r="AA96" s="10" t="e" cm="1">
        <f t="array" aca="1" ref="AA96" ca="1">_xll.DBRW($C$54,$O$84,AA$24,$O$86,$C$71,$M96,$C$63,$C$69,$C$68,$C$64,$C$65,$L96,$C$70,$J96,$K96,$N96,$C$67,AA$95)</f>
        <v>#VALUE!</v>
      </c>
      <c r="AB96" s="18" t="e" cm="1">
        <f t="array" aca="1" ref="AB96" ca="1">_xll.DBRW($C$54,$O$84,AB$24,$O$86,$C$71,$C$62,$C$63,$C$69,$C$68,$C$64,$C$65,$L96,$C$70,$O$85,$K96,$N96,$C$67,AB$95)</f>
        <v>#VALUE!</v>
      </c>
      <c r="AC96" s="10" t="e" cm="1">
        <f t="array" aca="1" ref="AC96" ca="1">_xll.DBRW($C$54,$O$84,AC$24,$O$86,$C$71,$M96,$C$63,$C$69,$C$68,$C$64,$C$65,$L96,$C$70,$J96,$K96,$N96,$C$67,AC$95)</f>
        <v>#VALUE!</v>
      </c>
      <c r="AD96" s="10" t="e" cm="1">
        <f t="array" aca="1" ref="AD96" ca="1">_xll.DBRW($C$54,$O$84,AD$24,$O$86,$C$71,$M96,$C$63,$C$69,$C$68,$C$64,$C$65,$L96,$C$70,$J96,$K96,$N96,$C$67,AD$95)</f>
        <v>#VALUE!</v>
      </c>
      <c r="AE96" s="10" t="e" cm="1">
        <f t="array" aca="1" ref="AE96" ca="1">_xll.DBRW($C$54,$O$84,AE$24,$O$86,$C$71,$M96,$C$63,$C$69,$C$68,$C$64,$C$65,$L96,$C$70,$J96,$K96,$N96,$C$67,AE$95)</f>
        <v>#VALUE!</v>
      </c>
      <c r="AF96" s="10" t="e" cm="1">
        <f t="array" aca="1" ref="AF96" ca="1">_xll.DBRW($C$54,$O$84,AF$24,$O$86,$C$71,$M96,$C$63,$C$69,$C$68,$C$64,$C$65,$L96,$C$70,$J96,$K96,$N96,$C$67,AF$95)</f>
        <v>#VALUE!</v>
      </c>
      <c r="AG96" s="10" t="e" cm="1">
        <f t="array" aca="1" ref="AG96" ca="1">_xll.DBRW($C$54,$O$84,AG$24,$O$86,$C$71,$M96,$C$63,$C$69,$C$68,$C$64,$C$65,$L96,$C$70,$J96,$K96,$N96,$C$67,AG$95)</f>
        <v>#VALUE!</v>
      </c>
      <c r="AH96" s="10" t="e" cm="1">
        <f t="array" aca="1" ref="AH96" ca="1">_xll.DBRW($C$54,$O$84,AH$24,$O$86,$C$71,$M96,$C$63,$C$69,$C$68,$C$64,$C$65,$L96,$C$70,$J96,$K96,$N96,$C$67,AH$95)</f>
        <v>#VALUE!</v>
      </c>
    </row>
  </sheetData>
  <sheetProtection sheet="1" objects="1" scenarios="1"/>
  <mergeCells count="22">
    <mergeCell ref="O83:Q83"/>
    <mergeCell ref="J81:T81"/>
    <mergeCell ref="V94:AA94"/>
    <mergeCell ref="O84:Q84"/>
    <mergeCell ref="O85:Q85"/>
    <mergeCell ref="O86:Q86"/>
    <mergeCell ref="S83:T83"/>
    <mergeCell ref="J94:N94"/>
    <mergeCell ref="AC94:AH94"/>
    <mergeCell ref="O89:T89"/>
    <mergeCell ref="V89:AA89"/>
    <mergeCell ref="AC89:AH89"/>
    <mergeCell ref="O87:Q87"/>
    <mergeCell ref="O94:T94"/>
    <mergeCell ref="O93:T93"/>
    <mergeCell ref="V93:AA93"/>
    <mergeCell ref="AC93:AH93"/>
    <mergeCell ref="B11:D11"/>
    <mergeCell ref="B19:D19"/>
    <mergeCell ref="B27:D27"/>
    <mergeCell ref="B34:D34"/>
    <mergeCell ref="B53:D53"/>
  </mergeCells>
  <conditionalFormatting sqref="J2:M7 J96:M96">
    <cfRule type="cellIs" dxfId="0" priority="23" operator="notEqual">
      <formula>"dsadsa"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300" r:id="rId4" name="TIButton9">
          <controlPr defaultSize="0" print="0" autoLine="0" r:id="rId5">
            <anchor moveWithCells="1" sizeWithCells="1">
              <from>
                <xdr:col>11</xdr:col>
                <xdr:colOff>457200</xdr:colOff>
                <xdr:row>77</xdr:row>
                <xdr:rowOff>0</xdr:rowOff>
              </from>
              <to>
                <xdr:col>11</xdr:col>
                <xdr:colOff>1828800</xdr:colOff>
                <xdr:row>77</xdr:row>
                <xdr:rowOff>247650</xdr:rowOff>
              </to>
            </anchor>
          </controlPr>
        </control>
      </mc:Choice>
      <mc:Fallback>
        <control shapeId="1300" r:id="rId4" name="TIButton9"/>
      </mc:Fallback>
    </mc:AlternateContent>
    <mc:AlternateContent xmlns:mc="http://schemas.openxmlformats.org/markup-compatibility/2006">
      <mc:Choice Requires="x14">
        <control shapeId="1299" r:id="rId6" name="TIButton8">
          <controlPr defaultSize="0" print="0" autoLine="0" r:id="rId7">
            <anchor moveWithCells="1" sizeWithCells="1">
              <from>
                <xdr:col>10</xdr:col>
                <xdr:colOff>1638300</xdr:colOff>
                <xdr:row>77</xdr:row>
                <xdr:rowOff>0</xdr:rowOff>
              </from>
              <to>
                <xdr:col>11</xdr:col>
                <xdr:colOff>428625</xdr:colOff>
                <xdr:row>77</xdr:row>
                <xdr:rowOff>247650</xdr:rowOff>
              </to>
            </anchor>
          </controlPr>
        </control>
      </mc:Choice>
      <mc:Fallback>
        <control shapeId="1299" r:id="rId6" name="TIButton8"/>
      </mc:Fallback>
    </mc:AlternateContent>
    <mc:AlternateContent xmlns:mc="http://schemas.openxmlformats.org/markup-compatibility/2006">
      <mc:Choice Requires="x14">
        <control shapeId="1286" r:id="rId8" name="TIButton5">
          <controlPr defaultSize="0" print="0" autoLine="0" r:id="rId9">
            <anchor moveWithCells="1" sizeWithCells="1">
              <from>
                <xdr:col>10</xdr:col>
                <xdr:colOff>238125</xdr:colOff>
                <xdr:row>77</xdr:row>
                <xdr:rowOff>0</xdr:rowOff>
              </from>
              <to>
                <xdr:col>10</xdr:col>
                <xdr:colOff>1609725</xdr:colOff>
                <xdr:row>77</xdr:row>
                <xdr:rowOff>247650</xdr:rowOff>
              </to>
            </anchor>
          </controlPr>
        </control>
      </mc:Choice>
      <mc:Fallback>
        <control shapeId="1286" r:id="rId8" name="TIButton5"/>
      </mc:Fallback>
    </mc:AlternateContent>
    <mc:AlternateContent xmlns:mc="http://schemas.openxmlformats.org/markup-compatibility/2006">
      <mc:Choice Requires="x14">
        <control shapeId="1242" r:id="rId10" name="TIButton4">
          <controlPr defaultSize="0" print="0" autoLine="0" autoPict="0" r:id="rId11">
            <anchor moveWithCells="1" sizeWithCells="1">
              <from>
                <xdr:col>9</xdr:col>
                <xdr:colOff>1866900</xdr:colOff>
                <xdr:row>77</xdr:row>
                <xdr:rowOff>0</xdr:rowOff>
              </from>
              <to>
                <xdr:col>10</xdr:col>
                <xdr:colOff>190500</xdr:colOff>
                <xdr:row>77</xdr:row>
                <xdr:rowOff>247650</xdr:rowOff>
              </to>
            </anchor>
          </controlPr>
        </control>
      </mc:Choice>
      <mc:Fallback>
        <control shapeId="1242" r:id="rId10" name="TIButton4"/>
      </mc:Fallback>
    </mc:AlternateContent>
    <mc:AlternateContent xmlns:mc="http://schemas.openxmlformats.org/markup-compatibility/2006">
      <mc:Choice Requires="x14">
        <control shapeId="1241" r:id="rId12" name="TIButton2">
          <controlPr defaultSize="0" print="0" autoLine="0" r:id="rId13">
            <anchor moveWithCells="1" sizeWithCells="1">
              <from>
                <xdr:col>9</xdr:col>
                <xdr:colOff>714375</xdr:colOff>
                <xdr:row>77</xdr:row>
                <xdr:rowOff>0</xdr:rowOff>
              </from>
              <to>
                <xdr:col>9</xdr:col>
                <xdr:colOff>1838325</xdr:colOff>
                <xdr:row>77</xdr:row>
                <xdr:rowOff>247650</xdr:rowOff>
              </to>
            </anchor>
          </controlPr>
        </control>
      </mc:Choice>
      <mc:Fallback>
        <control shapeId="1241" r:id="rId12" name="TIButton2"/>
      </mc:Fallback>
    </mc:AlternateContent>
    <mc:AlternateContent xmlns:mc="http://schemas.openxmlformats.org/markup-compatibility/2006">
      <mc:Choice Requires="x14">
        <control shapeId="1240" r:id="rId14" name="TIButton3">
          <controlPr defaultSize="0" print="0" autoLine="0" r:id="rId15">
            <anchor moveWithCells="1" sizeWithCells="1">
              <from>
                <xdr:col>9</xdr:col>
                <xdr:colOff>38100</xdr:colOff>
                <xdr:row>77</xdr:row>
                <xdr:rowOff>0</xdr:rowOff>
              </from>
              <to>
                <xdr:col>9</xdr:col>
                <xdr:colOff>676275</xdr:colOff>
                <xdr:row>77</xdr:row>
                <xdr:rowOff>247650</xdr:rowOff>
              </to>
            </anchor>
          </controlPr>
        </control>
      </mc:Choice>
      <mc:Fallback>
        <control shapeId="1240" r:id="rId14" name="TIButton3"/>
      </mc:Fallback>
    </mc:AlternateContent>
    <mc:AlternateContent xmlns:mc="http://schemas.openxmlformats.org/markup-compatibility/2006">
      <mc:Choice Requires="x14">
        <control shapeId="1239" r:id="rId16" name="TIButton1">
          <controlPr defaultSize="0" print="0" autoLine="0" autoPict="0" r:id="rId17">
            <anchor moveWithCells="1" sizeWithCells="1">
              <from>
                <xdr:col>12</xdr:col>
                <xdr:colOff>609600</xdr:colOff>
                <xdr:row>77</xdr:row>
                <xdr:rowOff>0</xdr:rowOff>
              </from>
              <to>
                <xdr:col>13</xdr:col>
                <xdr:colOff>333375</xdr:colOff>
                <xdr:row>77</xdr:row>
                <xdr:rowOff>247650</xdr:rowOff>
              </to>
            </anchor>
          </controlPr>
        </control>
      </mc:Choice>
      <mc:Fallback>
        <control shapeId="1239" r:id="rId16" name="TIButton1"/>
      </mc:Fallback>
    </mc:AlternateContent>
    <mc:AlternateContent xmlns:mc="http://schemas.openxmlformats.org/markup-compatibility/2006">
      <mc:Choice Requires="x14">
        <control shapeId="1296" r:id="rId18" name="TIButton6">
          <controlPr defaultSize="0" print="0" autoLine="0" r:id="rId19">
            <anchor moveWithCells="1" sizeWithCells="1">
              <from>
                <xdr:col>19</xdr:col>
                <xdr:colOff>657225</xdr:colOff>
                <xdr:row>76</xdr:row>
                <xdr:rowOff>28575</xdr:rowOff>
              </from>
              <to>
                <xdr:col>19</xdr:col>
                <xdr:colOff>971550</xdr:colOff>
                <xdr:row>77</xdr:row>
                <xdr:rowOff>285750</xdr:rowOff>
              </to>
            </anchor>
          </controlPr>
        </control>
      </mc:Choice>
      <mc:Fallback>
        <control shapeId="1296" r:id="rId18" name="TIButton6"/>
      </mc:Fallback>
    </mc:AlternateContent>
    <mc:AlternateContent xmlns:mc="http://schemas.openxmlformats.org/markup-compatibility/2006">
      <mc:Choice Requires="x14">
        <control shapeId="1298" r:id="rId20" name="TIButton7">
          <controlPr defaultSize="0" print="0" autoLine="0" r:id="rId21">
            <anchor moveWithCells="1" sizeWithCells="1">
              <from>
                <xdr:col>11</xdr:col>
                <xdr:colOff>1885950</xdr:colOff>
                <xdr:row>77</xdr:row>
                <xdr:rowOff>0</xdr:rowOff>
              </from>
              <to>
                <xdr:col>12</xdr:col>
                <xdr:colOff>571500</xdr:colOff>
                <xdr:row>77</xdr:row>
                <xdr:rowOff>247650</xdr:rowOff>
              </to>
            </anchor>
          </controlPr>
        </control>
      </mc:Choice>
      <mc:Fallback>
        <control shapeId="1298" r:id="rId20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49</vt:i4>
      </vt:variant>
    </vt:vector>
  </HeadingPairs>
  <TitlesOfParts>
    <vt:vector size="50" baseType="lpstr">
      <vt:lpstr>reco</vt:lpstr>
      <vt:lpstr>db_name</vt:lpstr>
      <vt:lpstr>psApp</vt:lpstr>
      <vt:lpstr>psHLYear</vt:lpstr>
      <vt:lpstr>psUser</vt:lpstr>
      <vt:lpstr>TM1AdjIDListCAP</vt:lpstr>
      <vt:lpstr>TM1AdjIDListWB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TM1HomeAdminBaseCAP</vt:lpstr>
      <vt:lpstr>TM1HomeAdminBaseWB</vt:lpstr>
      <vt:lpstr>TM1HomeAdminBaseWS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reco!TM1RPTDATARNG1</vt:lpstr>
      <vt:lpstr>reco!TM1RPTFMTIDCOL</vt:lpstr>
      <vt:lpstr>reco!TM1RPTFMTRNG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2019-08-30T05:04:19Z</cp:lastPrinted>
  <dcterms:created xsi:type="dcterms:W3CDTF">2019-08-30T03:30:26Z</dcterms:created>
  <dcterms:modified xsi:type="dcterms:W3CDTF">2025-08-05T05:14:47Z</dcterms:modified>
</cp:coreProperties>
</file>