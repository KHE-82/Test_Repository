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activeX/activeX14.xml" ContentType="application/vnd.ms-office.activeX+xml"/>
  <Override PartName="/xl/activeX/activeX13.bin" ContentType="application/vnd.ms-office.activeX"/>
  <Override PartName="/xl/activeX/activeX15.xml" ContentType="application/vnd.ms-office.activeX+xml"/>
  <Override PartName="/xl/activeX/activeX14.bin" ContentType="application/vnd.ms-office.activeX"/>
  <Override PartName="/xl/activeX/activeX16.xml" ContentType="application/vnd.ms-office.activeX+xml"/>
  <Override PartName="/xl/activeX/activeX15.bin" ContentType="application/vnd.ms-office.activeX"/>
  <Override PartName="/xl/activeX/activeX17.xml" ContentType="application/vnd.ms-office.activeX+xml"/>
  <Override PartName="/xl/activeX/activeX16.bin" ContentType="application/vnd.ms-office.activeX"/>
  <Override PartName="/xl/activeX/activeX18.xml" ContentType="application/vnd.ms-office.activeX+xml"/>
  <Override PartName="/xl/activeX/activeX17.bin" ContentType="application/vnd.ms-office.activeX"/>
  <Override PartName="/xl/activeX/activeX19.xml" ContentType="application/vnd.ms-office.activeX+xml"/>
  <Override PartName="/xl/activeX/activeX18.bin" ContentType="application/vnd.ms-office.activeX"/>
  <Override PartName="/xl/activeX/activeX20.xml" ContentType="application/vnd.ms-office.activeX+xml"/>
  <Override PartName="/xl/activeX/activeX1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Excelerated\Client work\Generic GEUS\20250415 Create New Program\"/>
    </mc:Choice>
  </mc:AlternateContent>
  <xr:revisionPtr revIDLastSave="0" documentId="13_ncr:1_{F8F97985-DFBC-4AF2-A760-CC57EFA06C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u" sheetId="1" r:id="rId1"/>
  </sheets>
  <definedNames>
    <definedName name="db_name">Menu!$C$2</definedName>
    <definedName name="home">Menu!$G$28</definedName>
    <definedName name="ID" localSheetId="0" hidden="1">"87662e75-095d-445b-8da0-3f4c8f75a82c"</definedName>
    <definedName name="Menu">Menu!$G$29</definedName>
    <definedName name="psUser">Menu!$C$7</definedName>
    <definedName name="rng_Start">#REF!</definedName>
    <definedName name="TM1Admin00BALAdjCAP">Menu!$D$48</definedName>
    <definedName name="TM1Admin00BALAdjWB">Menu!$F$48</definedName>
    <definedName name="TM1Admin00BALAdjWS">Menu!$H$48</definedName>
    <definedName name="TM1AdminAppSetupCAP">Menu!$D$43</definedName>
    <definedName name="TM1AdminAppSetupWB">Menu!$F$43</definedName>
    <definedName name="TM1AdminAppSetupWS">Menu!$H$43</definedName>
    <definedName name="TM1AdminCreateProgCAP">Menu!$D$50</definedName>
    <definedName name="TM1AdminCreateProgWB">Menu!$F$50</definedName>
    <definedName name="TM1AdminCreateProgWS">Menu!$H$50</definedName>
    <definedName name="TM1AdminExtractFFCAP">Menu!$D$40</definedName>
    <definedName name="TM1AdminExtractFFWB">Menu!$F$40</definedName>
    <definedName name="TM1AdminExtractFFWS">Menu!$H$40</definedName>
    <definedName name="TM1AdminGEUSDiagnosticRepCAP">Menu!$D$49</definedName>
    <definedName name="TM1AdminGEUSDiagnosticRepWB">Menu!$F$49</definedName>
    <definedName name="TM1AdminGEUSDiagnosticRepWS">Menu!$H$49</definedName>
    <definedName name="TM1AdminIndexSetupCAP">Menu!$D$46</definedName>
    <definedName name="TM1AdminIndexSetupWB">Menu!$F$46</definedName>
    <definedName name="TM1AdminIndexSetupWS">Menu!$H$46</definedName>
    <definedName name="TM1AdminNewsItemCAP">Menu!$D$39</definedName>
    <definedName name="TM1AdminNewsItemWB">Menu!$F$39</definedName>
    <definedName name="TM1AdminNewsItemWS">Menu!$H$39</definedName>
    <definedName name="TM1AdminProgDetCAP">Menu!$D$44</definedName>
    <definedName name="TM1AdminProgDetWB">Menu!$F$44</definedName>
    <definedName name="TM1AdminProgDetWS">Menu!$H$44</definedName>
    <definedName name="TM1AdminProgTransferCAP">Menu!$D$45</definedName>
    <definedName name="TM1AdminProgTransferWB">Menu!$F$45</definedName>
    <definedName name="TM1AdminProgTransferWS">Menu!$H$45</definedName>
    <definedName name="TM1AdminReActivateIndexFE3CAP">Menu!$D$47</definedName>
    <definedName name="TM1AdminReActivateIndexFE3WB">Menu!$F$47</definedName>
    <definedName name="TM1AdminReActivateIndexFE3WS">Menu!$H$47</definedName>
    <definedName name="TM1AdminRepStageLookupCAP">Menu!$D$41</definedName>
    <definedName name="TM1AdminRepStageLookupWB">Menu!$F$41</definedName>
    <definedName name="TM1AdminRepStageLookupWS">Menu!$H$41</definedName>
    <definedName name="TM1AdminSetDefAccCAP">Menu!$D$42</definedName>
    <definedName name="TM1AdminSetDefAccWB">Menu!$F$42</definedName>
    <definedName name="TM1AdminSetDefAccWS">Menu!$H$42</definedName>
    <definedName name="TM1AdminSysVarCAP">Menu!$D$38</definedName>
    <definedName name="TM1AdminSysVarWB">Menu!$F$38</definedName>
    <definedName name="TM1AdminSysVarWS">Menu!$H$38</definedName>
    <definedName name="TM1AdminUploadProgCAP">Menu!$D$51</definedName>
    <definedName name="TM1AdminUploadProgWB">Menu!$F$51</definedName>
    <definedName name="TM1AdminUploadProgWS">Menu!$H$51</definedName>
    <definedName name="TM1HomeAdminBaseCAP">Menu!$D$36</definedName>
    <definedName name="TM1HomeAdminBaseWB">Menu!$F$36</definedName>
    <definedName name="TM1HomeAdminBaseWS">Menu!$H$36</definedName>
    <definedName name="TM1HomeAdminCAP">Menu!$D$31</definedName>
    <definedName name="TM1HomeAdminFavCAP">Menu!$D$35</definedName>
    <definedName name="TM1HomeAdminFavWB">Menu!$F$35</definedName>
    <definedName name="TM1HomeAdminFavWS">Menu!$H$35</definedName>
    <definedName name="TM1HomeAdminGEUSCAP">Menu!$D$34</definedName>
    <definedName name="TM1HomeAdminGEUSWB">Menu!$F$34</definedName>
    <definedName name="TM1HomeAdminGEUSWS">Menu!$H$34</definedName>
    <definedName name="TM1HomeAdminRDSCAP">Menu!$D$32</definedName>
    <definedName name="TM1HomeAdminRDSMapCAP">Menu!$D$33</definedName>
    <definedName name="TM1HomeAdminRDSMapWB">Menu!$F$33</definedName>
    <definedName name="TM1HomeAdminRDSMapWS">Menu!$H$33</definedName>
    <definedName name="TM1HomeAdminRDSWB">Menu!$F$32</definedName>
    <definedName name="TM1HomeAdminRDSWS">Menu!$H$32</definedName>
    <definedName name="TM1HomeAdminWB">Menu!$F$31</definedName>
    <definedName name="TM1HomeAdminWS">Menu!$H$31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AnalyticalCAP">#REF!</definedName>
    <definedName name="TM1HomeRepAnalyticalWB">#REF!</definedName>
    <definedName name="TM1HomeRepAnalyticalWS">#REF!</definedName>
    <definedName name="TM1HomeRepCAP">Menu!$D$30</definedName>
    <definedName name="TM1HomeRepOtherCAP">#REF!</definedName>
    <definedName name="TM1HomeRepOtherWB">#REF!</definedName>
    <definedName name="TM1HomeRepOtherWS">#REF!</definedName>
    <definedName name="TM1HomeRepPFSCAP">#REF!</definedName>
    <definedName name="TM1HomeRepPFSWB">#REF!</definedName>
    <definedName name="TM1HomeRepPFSWS">#REF!</definedName>
    <definedName name="TM1HomeRepWB">Menu!$F$30</definedName>
    <definedName name="TM1HomeRepWS">Menu!$H$30</definedName>
    <definedName name="TM1HomeUnderCAP">Menu!$D$37</definedName>
    <definedName name="TM1HomeUnderWB">Menu!$F$37</definedName>
    <definedName name="TM1HomeUnderWS">Menu!$H$37</definedName>
    <definedName name="TM1HomeWB">Menu!$F$28</definedName>
    <definedName name="TM1HomeWS">Menu!$H$28</definedName>
    <definedName name="TM1REBUILDOPTION">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H51" i="1"/>
  <c r="G51" i="1"/>
  <c r="F51" i="1"/>
  <c r="E51" i="1"/>
  <c r="D51" i="1"/>
  <c r="C51" i="1"/>
  <c r="H50" i="1"/>
  <c r="G50" i="1"/>
  <c r="F50" i="1"/>
  <c r="E50" i="1"/>
  <c r="D50" i="1"/>
  <c r="C50" i="1"/>
  <c r="K98" i="1"/>
  <c r="C10" i="1"/>
  <c r="C12" i="1"/>
  <c r="C11" i="1"/>
  <c r="C13" i="1"/>
  <c r="C14" i="1"/>
  <c r="C15" i="1"/>
  <c r="K58" i="1"/>
  <c r="C4" i="1"/>
  <c r="C7" i="1"/>
  <c r="W56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8" i="1"/>
  <c r="C22" i="1"/>
  <c r="C21" i="1"/>
  <c r="C20" i="1"/>
  <c r="C19" i="1"/>
  <c r="C3" i="1"/>
  <c r="C6" i="1"/>
  <c r="C5" i="1"/>
</calcChain>
</file>

<file path=xl/sharedStrings.xml><?xml version="1.0" encoding="utf-8"?>
<sst xmlns="http://schemas.openxmlformats.org/spreadsheetml/2006/main" count="57" uniqueCount="56">
  <si>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</si>
  <si>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</si>
  <si>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</si>
  <si>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</si>
  <si>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</si>
  <si>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</si>
  <si>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</si>
  <si>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</si>
  <si>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</si>
  <si>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</si>
  <si>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</si>
  <si>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</si>
  <si>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</si>
  <si>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</si>
  <si>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</si>
  <si>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</si>
  <si>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</si>
  <si>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</si>
  <si>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</si>
  <si>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</si>
  <si>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</si>
  <si>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</si>
  <si>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</si>
  <si>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</si>
  <si>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</si>
  <si>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</si>
  <si>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</si>
  <si>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</si>
  <si>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</si>
  <si>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</si>
  <si>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</si>
  <si>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</si>
  <si>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</si>
  <si>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</si>
  <si>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Administration - RDS Mapping</t>
  </si>
  <si>
    <t>Homepage - Administration - GEUS Setup</t>
  </si>
  <si>
    <t>Homepage - Administration - Favourites</t>
  </si>
  <si>
    <t>Homepage - Administration - Baseline</t>
  </si>
  <si>
    <t>Homepage - Under Construction</t>
  </si>
  <si>
    <t>Admin - System Variables</t>
  </si>
  <si>
    <t>Admin - News Item Homepage</t>
  </si>
  <si>
    <t>Admin - Extract Flatfile</t>
  </si>
  <si>
    <t>Admin - Reporting Stage Name Lookup</t>
  </si>
  <si>
    <t>Admin - Set Default Accounts</t>
  </si>
  <si>
    <t>Admin - Application Set Up</t>
  </si>
  <si>
    <t>Admin - Programme Details</t>
  </si>
  <si>
    <t>Admin - Programme Transfers</t>
  </si>
  <si>
    <t>Admin - Indexation Setup</t>
  </si>
  <si>
    <t>Admin - Re-Activating Indexation and FE3</t>
  </si>
  <si>
    <t>Admin - 00BAL Adjustments</t>
  </si>
  <si>
    <t>Admin - GEUS Diagnostic Report</t>
  </si>
  <si>
    <t>ADMINISTRATION</t>
  </si>
  <si>
    <t>GEUS ADMINISTRATION MENU</t>
  </si>
  <si>
    <t>Admin - Create Programme</t>
  </si>
  <si>
    <t>Admin - Upload Programme Dimension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</si>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</sst>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rgb="FF333399"/>
      <name val="Verdana"/>
      <family val="2"/>
    </font>
    <font>
      <sz val="11"/>
      <color theme="8" tint="-0.499954222235786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4" borderId="0" xfId="6" applyFont="1" applyFill="1" applyAlignment="1" applyProtection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4" fillId="2" borderId="0" xfId="0" applyFont="1" applyFill="1" applyAlignment="1">
      <alignment horizontal="right" vertical="center" indent="1"/>
    </xf>
    <xf numFmtId="0" fontId="0" fillId="0" borderId="3" xfId="0" applyBorder="1"/>
    <xf numFmtId="0" fontId="9" fillId="0" borderId="0" xfId="0" applyFont="1"/>
    <xf numFmtId="0" fontId="7" fillId="2" borderId="0" xfId="0" applyFont="1" applyFill="1" applyAlignment="1">
      <alignment horizontal="left" vertical="center"/>
    </xf>
    <xf numFmtId="0" fontId="7" fillId="4" borderId="0" xfId="6" applyFont="1" applyFill="1" applyAlignment="1" applyProtection="1">
      <alignment horizontal="left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1">
    <dxf>
      <font>
        <color theme="0"/>
      </font>
      <fill>
        <patternFill>
          <bgColor theme="9" tint="-0.499954222235786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837"/>
  <ax:ocxPr ax:name="_ExtentY" ax:value="582"/>
  <ax:ocxPr ax:name="_StockProps" ax:value="0"/>
  <ax:ocxPr ax:name="ServerName" ax:value="=db_name"/>
  <ax:ocxPr ax:name="ProcessName" ax:value="sys_Set Default Account 01 - Populate Display Flag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Set Default Accounts For Data Entry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SetDefAccWB"/>
  <ax:ocxPr ax:name="TargetWorksheetName" ax:value="=TM1AdminSetDefAcc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57</xdr:row>
      <xdr:rowOff>55686</xdr:rowOff>
    </xdr:from>
    <xdr:to>
      <xdr:col>22</xdr:col>
      <xdr:colOff>206290</xdr:colOff>
      <xdr:row>57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6191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62</xdr:row>
      <xdr:rowOff>57150</xdr:rowOff>
    </xdr:from>
    <xdr:to>
      <xdr:col>15</xdr:col>
      <xdr:colOff>307716</xdr:colOff>
      <xdr:row>62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600200"/>
          <a:ext cx="238125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62</xdr:row>
      <xdr:rowOff>66675</xdr:rowOff>
    </xdr:from>
    <xdr:to>
      <xdr:col>22</xdr:col>
      <xdr:colOff>289046</xdr:colOff>
      <xdr:row>62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28575</xdr:rowOff>
    </xdr:from>
    <xdr:to>
      <xdr:col>12</xdr:col>
      <xdr:colOff>57150</xdr:colOff>
      <xdr:row>55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575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62</xdr:row>
      <xdr:rowOff>66675</xdr:rowOff>
    </xdr:from>
    <xdr:to>
      <xdr:col>22</xdr:col>
      <xdr:colOff>289046</xdr:colOff>
      <xdr:row>62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63</xdr:row>
          <xdr:rowOff>47625</xdr:rowOff>
        </xdr:from>
        <xdr:to>
          <xdr:col>14</xdr:col>
          <xdr:colOff>752475</xdr:colOff>
          <xdr:row>66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47625</xdr:rowOff>
        </xdr:from>
        <xdr:to>
          <xdr:col>14</xdr:col>
          <xdr:colOff>752475</xdr:colOff>
          <xdr:row>68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104775</xdr:rowOff>
        </xdr:from>
        <xdr:to>
          <xdr:col>14</xdr:col>
          <xdr:colOff>752475</xdr:colOff>
          <xdr:row>70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59</xdr:row>
          <xdr:rowOff>47625</xdr:rowOff>
        </xdr:from>
        <xdr:to>
          <xdr:col>13</xdr:col>
          <xdr:colOff>38100</xdr:colOff>
          <xdr:row>61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59</xdr:row>
          <xdr:rowOff>47625</xdr:rowOff>
        </xdr:from>
        <xdr:to>
          <xdr:col>15</xdr:col>
          <xdr:colOff>352425</xdr:colOff>
          <xdr:row>61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59</xdr:row>
          <xdr:rowOff>38100</xdr:rowOff>
        </xdr:from>
        <xdr:to>
          <xdr:col>19</xdr:col>
          <xdr:colOff>1104900</xdr:colOff>
          <xdr:row>61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59</xdr:row>
          <xdr:rowOff>38100</xdr:rowOff>
        </xdr:from>
        <xdr:to>
          <xdr:col>22</xdr:col>
          <xdr:colOff>114300</xdr:colOff>
          <xdr:row>61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63</xdr:row>
          <xdr:rowOff>47625</xdr:rowOff>
        </xdr:from>
        <xdr:to>
          <xdr:col>21</xdr:col>
          <xdr:colOff>1038225</xdr:colOff>
          <xdr:row>66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47625</xdr:rowOff>
        </xdr:from>
        <xdr:to>
          <xdr:col>21</xdr:col>
          <xdr:colOff>1038225</xdr:colOff>
          <xdr:row>68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104775</xdr:rowOff>
        </xdr:from>
        <xdr:to>
          <xdr:col>21</xdr:col>
          <xdr:colOff>1038225</xdr:colOff>
          <xdr:row>70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161925</xdr:rowOff>
        </xdr:from>
        <xdr:to>
          <xdr:col>21</xdr:col>
          <xdr:colOff>1038225</xdr:colOff>
          <xdr:row>72</xdr:row>
          <xdr:rowOff>38100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72</xdr:row>
          <xdr:rowOff>85725</xdr:rowOff>
        </xdr:from>
        <xdr:to>
          <xdr:col>21</xdr:col>
          <xdr:colOff>1038225</xdr:colOff>
          <xdr:row>74</xdr:row>
          <xdr:rowOff>152400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75</xdr:row>
          <xdr:rowOff>9525</xdr:rowOff>
        </xdr:from>
        <xdr:to>
          <xdr:col>21</xdr:col>
          <xdr:colOff>1038225</xdr:colOff>
          <xdr:row>78</xdr:row>
          <xdr:rowOff>19050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78</xdr:row>
          <xdr:rowOff>66675</xdr:rowOff>
        </xdr:from>
        <xdr:to>
          <xdr:col>21</xdr:col>
          <xdr:colOff>1038225</xdr:colOff>
          <xdr:row>80</xdr:row>
          <xdr:rowOff>133350</xdr:rowOff>
        </xdr:to>
        <xdr:sp macro="" textlink="">
          <xdr:nvSpPr>
            <xdr:cNvPr id="1042" name="TIButton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87</xdr:row>
          <xdr:rowOff>38100</xdr:rowOff>
        </xdr:from>
        <xdr:to>
          <xdr:col>21</xdr:col>
          <xdr:colOff>1038225</xdr:colOff>
          <xdr:row>90</xdr:row>
          <xdr:rowOff>38100</xdr:rowOff>
        </xdr:to>
        <xdr:sp macro="" textlink="">
          <xdr:nvSpPr>
            <xdr:cNvPr id="1043" name="TIButton1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90</xdr:row>
          <xdr:rowOff>85725</xdr:rowOff>
        </xdr:from>
        <xdr:to>
          <xdr:col>21</xdr:col>
          <xdr:colOff>1038225</xdr:colOff>
          <xdr:row>92</xdr:row>
          <xdr:rowOff>152400</xdr:rowOff>
        </xdr:to>
        <xdr:sp macro="" textlink="">
          <xdr:nvSpPr>
            <xdr:cNvPr id="1044" name="TIButton1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161925</xdr:rowOff>
        </xdr:from>
        <xdr:to>
          <xdr:col>14</xdr:col>
          <xdr:colOff>752475</xdr:colOff>
          <xdr:row>72</xdr:row>
          <xdr:rowOff>38100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72</xdr:row>
          <xdr:rowOff>85725</xdr:rowOff>
        </xdr:from>
        <xdr:to>
          <xdr:col>14</xdr:col>
          <xdr:colOff>752475</xdr:colOff>
          <xdr:row>74</xdr:row>
          <xdr:rowOff>152400</xdr:rowOff>
        </xdr:to>
        <xdr:sp macro="" textlink="">
          <xdr:nvSpPr>
            <xdr:cNvPr id="1048" name="TIButton2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19052</xdr:colOff>
      <xdr:row>0</xdr:row>
      <xdr:rowOff>0</xdr:rowOff>
    </xdr:from>
    <xdr:to>
      <xdr:col>26</xdr:col>
      <xdr:colOff>76202</xdr:colOff>
      <xdr:row>63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0100" y="0"/>
          <a:ext cx="1885950" cy="1905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81</xdr:row>
          <xdr:rowOff>19050</xdr:rowOff>
        </xdr:from>
        <xdr:to>
          <xdr:col>21</xdr:col>
          <xdr:colOff>1038225</xdr:colOff>
          <xdr:row>84</xdr:row>
          <xdr:rowOff>28575</xdr:rowOff>
        </xdr:to>
        <xdr:sp macro="" textlink="">
          <xdr:nvSpPr>
            <xdr:cNvPr id="1050" name="TIButton12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84</xdr:row>
          <xdr:rowOff>76200</xdr:rowOff>
        </xdr:from>
        <xdr:to>
          <xdr:col>21</xdr:col>
          <xdr:colOff>1038225</xdr:colOff>
          <xdr:row>86</xdr:row>
          <xdr:rowOff>142875</xdr:rowOff>
        </xdr:to>
        <xdr:sp macro="" textlink="">
          <xdr:nvSpPr>
            <xdr:cNvPr id="1051" name="TIButton19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/>
  <dimension ref="A1:W98"/>
  <sheetViews>
    <sheetView showGridLines="0" tabSelected="1" topLeftCell="J56" workbookViewId="0"/>
  </sheetViews>
  <sheetFormatPr defaultRowHeight="14.45" customHeight="1" outlineLevelRow="1" outlineLevelCol="1" x14ac:dyDescent="0.25"/>
  <cols>
    <col min="1" max="1" width="5.7109375" hidden="1" customWidth="1" outlineLevel="1"/>
    <col min="2" max="2" width="27.85546875" hidden="1" customWidth="1" outlineLevel="1"/>
    <col min="3" max="4" width="20.28515625" hidden="1" customWidth="1" outlineLevel="1"/>
    <col min="5" max="5" width="24.42578125" hidden="1" customWidth="1" outlineLevel="1"/>
    <col min="6" max="6" width="83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t="14.45" hidden="1" customHeight="1" outlineLevel="1" x14ac:dyDescent="0.25">
      <c r="B1" s="16" t="s">
        <v>0</v>
      </c>
      <c r="C1" s="17"/>
      <c r="D1" s="18"/>
    </row>
    <row r="2" spans="2:4" ht="14.45" hidden="1" customHeight="1" outlineLevel="1" x14ac:dyDescent="0.25">
      <c r="B2" s="2" t="s">
        <v>1</v>
      </c>
      <c r="C2" s="3" t="s">
        <v>55</v>
      </c>
      <c r="D2" s="4"/>
    </row>
    <row r="3" spans="2:4" ht="14.45" hidden="1" customHeight="1" outlineLevel="1" x14ac:dyDescent="0.25">
      <c r="B3" s="2" t="s">
        <v>2</v>
      </c>
      <c r="C3" s="10" t="str">
        <f ca="1">_xll.VIEW((db_name&amp;":}ElementAttributes_}Clients"),"!","!")</f>
        <v>finance_geus:}ElementAttributes_}Clients</v>
      </c>
      <c r="D3" s="4"/>
    </row>
    <row r="4" spans="2:4" ht="14.45" hidden="1" customHeight="1" outlineLevel="1" x14ac:dyDescent="0.25">
      <c r="B4" s="2" t="s">
        <v>3</v>
      </c>
      <c r="C4" s="3" t="str">
        <f ca="1">_xll.TM1USER(db_name)</f>
        <v/>
      </c>
      <c r="D4" s="4"/>
    </row>
    <row r="5" spans="2:4" ht="14.45" hidden="1" customHeight="1" outlineLevel="1" x14ac:dyDescent="0.25">
      <c r="B5" s="2" t="s">
        <v>4</v>
      </c>
      <c r="C5" s="3" t="str">
        <f ca="1">_xll.DBR($C$3,$C$4,$B5)</f>
        <v>*KEY_ERR</v>
      </c>
      <c r="D5" s="4"/>
    </row>
    <row r="6" spans="2:4" ht="14.45" hidden="1" customHeight="1" outlineLevel="1" x14ac:dyDescent="0.25">
      <c r="B6" s="2" t="s">
        <v>5</v>
      </c>
      <c r="C6" s="3" t="str">
        <f ca="1">_xll.DBR($C$3,$C$4,$B6)</f>
        <v>*KEY_ERR</v>
      </c>
      <c r="D6" s="4"/>
    </row>
    <row r="7" spans="2:4" ht="14.45" hidden="1" customHeight="1" outlineLevel="1" x14ac:dyDescent="0.25">
      <c r="B7" s="2" t="s">
        <v>6</v>
      </c>
      <c r="C7" s="3" t="str">
        <f ca="1">IF((LEFT($C$4,6)="CAM_AD"),$C$5,$C$4)</f>
        <v/>
      </c>
      <c r="D7" s="1"/>
    </row>
    <row r="8" spans="2:4" ht="14.45" hidden="1" customHeight="1" outlineLevel="1" x14ac:dyDescent="0.25"/>
    <row r="9" spans="2:4" ht="14.45" hidden="1" customHeight="1" outlineLevel="1" x14ac:dyDescent="0.25">
      <c r="B9" s="16" t="s">
        <v>7</v>
      </c>
      <c r="C9" s="17"/>
      <c r="D9" s="18"/>
    </row>
    <row r="10" spans="2:4" ht="14.45" hidden="1" customHeight="1" outlineLevel="1" x14ac:dyDescent="0.25">
      <c r="B10" s="2" t="s">
        <v>8</v>
      </c>
      <c r="C10" s="1" t="str">
        <f ca="1">_xll.VIEW((db_name&amp;":}ElementAttributes_variables"),"!","!")</f>
        <v>finance_geus:}ElementAttributes_variables</v>
      </c>
      <c r="D10" s="1"/>
    </row>
    <row r="11" spans="2:4" ht="14.45" hidden="1" customHeight="1" outlineLevel="1" x14ac:dyDescent="0.25">
      <c r="B11" s="2" t="s">
        <v>9</v>
      </c>
      <c r="C11" s="1" t="str">
        <f ca="1">_xll.DBR($C$10,$B11,"value")</f>
        <v>*KEY_ERR</v>
      </c>
      <c r="D11" s="1"/>
    </row>
    <row r="12" spans="2:4" ht="14.45" hidden="1" customHeight="1" outlineLevel="1" x14ac:dyDescent="0.25">
      <c r="B12" s="2" t="s">
        <v>10</v>
      </c>
      <c r="C12" s="1" t="str">
        <f ca="1">_xll.DBR($C$10,$B12,"value")</f>
        <v>*KEY_ERR</v>
      </c>
      <c r="D12" s="1"/>
    </row>
    <row r="13" spans="2:4" ht="14.45" hidden="1" customHeight="1" outlineLevel="1" x14ac:dyDescent="0.25">
      <c r="B13" s="2" t="s">
        <v>11</v>
      </c>
      <c r="C13" s="1" t="str">
        <f ca="1">_xll.DBR($C$10,$B13,"value")</f>
        <v>*KEY_ERR</v>
      </c>
      <c r="D13" s="1"/>
    </row>
    <row r="14" spans="2:4" ht="14.45" hidden="1" customHeight="1" outlineLevel="1" x14ac:dyDescent="0.25">
      <c r="B14" s="2" t="s">
        <v>12</v>
      </c>
      <c r="C14" s="1" t="str">
        <f ca="1">_xll.DBR($C$10,$B14,"value")</f>
        <v>*KEY_ERR</v>
      </c>
      <c r="D14" s="1"/>
    </row>
    <row r="15" spans="2:4" ht="14.45" hidden="1" customHeight="1" outlineLevel="1" x14ac:dyDescent="0.25">
      <c r="B15" s="2" t="s">
        <v>13</v>
      </c>
      <c r="C15" s="1" t="str">
        <f ca="1">("The current scenario is """&amp;($C$12&amp;(""" for the """&amp;($C$11&amp;(""" Headline Year. Archive was done for """&amp;($C$13&amp;(""" on scenario """&amp;($C$14&amp;"""."))))))))</f>
        <v>The current scenario is "*KEY_ERR" for the "*KEY_ERR" Headline Year. Archive was done for "*KEY_ERR" on scenario "*KEY_ERR".</v>
      </c>
      <c r="D15" s="1"/>
    </row>
    <row r="16" spans="2:4" ht="14.45" hidden="1" customHeight="1" outlineLevel="1" x14ac:dyDescent="0.25"/>
    <row r="17" spans="2:8" ht="14.45" hidden="1" customHeight="1" outlineLevel="1" x14ac:dyDescent="0.25">
      <c r="B17" s="16" t="s">
        <v>14</v>
      </c>
      <c r="C17" s="17"/>
      <c r="D17" s="18"/>
    </row>
    <row r="18" spans="2:8" ht="14.45" hidden="1" customHeight="1" outlineLevel="1" x14ac:dyDescent="0.25">
      <c r="B18" s="2" t="s">
        <v>8</v>
      </c>
      <c r="C18" s="1" t="str">
        <f ca="1">_xll.VIEW((db_name&amp;":sys_client preference"),"!","!","!")</f>
        <v>finance_geus:sys_client preference</v>
      </c>
      <c r="D18" s="1"/>
    </row>
    <row r="19" spans="2:8" ht="14.45" hidden="1" customHeight="1" outlineLevel="1" x14ac:dyDescent="0.25">
      <c r="B19" s="2" t="s">
        <v>15</v>
      </c>
      <c r="C19" s="1" t="str">
        <f ca="1">_xll.DBR($C$18,psUser,$B19,"value")</f>
        <v>*KEY_ERR</v>
      </c>
      <c r="D19" s="1"/>
    </row>
    <row r="20" spans="2:8" ht="14.45" hidden="1" customHeight="1" outlineLevel="1" x14ac:dyDescent="0.25">
      <c r="B20" s="2" t="s">
        <v>16</v>
      </c>
      <c r="C20" s="1" t="str">
        <f ca="1">_xll.DBR($C$18,psUser,$B20,"value")</f>
        <v>*KEY_ERR</v>
      </c>
      <c r="D20" s="1"/>
    </row>
    <row r="21" spans="2:8" ht="14.45" hidden="1" customHeight="1" outlineLevel="1" x14ac:dyDescent="0.25">
      <c r="B21" s="2" t="s">
        <v>17</v>
      </c>
      <c r="C21" s="1" t="str">
        <f ca="1">_xll.DBR($C$18,psUser,$B21,"value")</f>
        <v>*KEY_ERR</v>
      </c>
      <c r="D21" s="1"/>
    </row>
    <row r="22" spans="2:8" ht="14.45" hidden="1" customHeight="1" outlineLevel="1" x14ac:dyDescent="0.25">
      <c r="B22" s="2" t="s">
        <v>18</v>
      </c>
      <c r="C22" s="1" t="str">
        <f ca="1">_xll.DBR($C$18,psUser,$B22,"value")</f>
        <v>*KEY_ERR</v>
      </c>
      <c r="D22" s="1"/>
    </row>
    <row r="23" spans="2:8" ht="14.45" hidden="1" customHeight="1" outlineLevel="1" x14ac:dyDescent="0.25">
      <c r="B23" s="2" t="s">
        <v>19</v>
      </c>
      <c r="C23" s="1" t="s">
        <v>20</v>
      </c>
      <c r="D23" s="1"/>
    </row>
    <row r="24" spans="2:8" ht="14.45" hidden="1" customHeight="1" outlineLevel="1" x14ac:dyDescent="0.25"/>
    <row r="25" spans="2:8" ht="14.45" hidden="1" customHeight="1" outlineLevel="1" x14ac:dyDescent="0.25">
      <c r="B25" s="16" t="s">
        <v>21</v>
      </c>
      <c r="C25" s="17"/>
      <c r="D25" s="18"/>
    </row>
    <row r="26" spans="2:8" ht="14.45" hidden="1" customHeight="1" outlineLevel="1" x14ac:dyDescent="0.25">
      <c r="B26" s="1" t="s">
        <v>22</v>
      </c>
      <c r="C26" s="12" t="str">
        <f ca="1">_xll.VIEW((db_name&amp;":sys_application"),"!","!")</f>
        <v>finance_geus:sys_application</v>
      </c>
      <c r="D26" s="12"/>
    </row>
    <row r="27" spans="2:8" ht="14.45" hidden="1" customHeight="1" outlineLevel="1" x14ac:dyDescent="0.25">
      <c r="C27" s="12" t="s">
        <v>23</v>
      </c>
      <c r="D27" s="12" t="s">
        <v>24</v>
      </c>
      <c r="E27" s="12" t="s">
        <v>25</v>
      </c>
      <c r="F27" s="12" t="s">
        <v>26</v>
      </c>
      <c r="G27" s="12" t="s">
        <v>27</v>
      </c>
      <c r="H27" s="12" t="s">
        <v>28</v>
      </c>
    </row>
    <row r="28" spans="2:8" ht="14.45" hidden="1" customHeight="1" outlineLevel="1" x14ac:dyDescent="0.25">
      <c r="B28" s="1" t="s">
        <v>29</v>
      </c>
      <c r="C28" s="1" t="str">
        <f ca="1">_xll.DBR($C$26,$B28,C$27)</f>
        <v>*KEY_ERR</v>
      </c>
      <c r="D28" s="1" t="str">
        <f ca="1">_xll.DBR($C$26,$B28,D$27)</f>
        <v>*KEY_ERR</v>
      </c>
      <c r="E28" s="1" t="str">
        <f ca="1">_xll.DBR($C$26,$B28,E$27)</f>
        <v>*KEY_ERR</v>
      </c>
      <c r="F28" s="1" t="str">
        <f ca="1">_xll.DBR($C$26,$B28,F$27)</f>
        <v>*KEY_ERR</v>
      </c>
      <c r="G28" s="1" t="str">
        <f ca="1">_xll.DBR($C$26,$B28,G$27)</f>
        <v>*KEY_ERR</v>
      </c>
      <c r="H28" s="1" t="str">
        <f ca="1">_xll.DBR($C$26,$B28,H$27)</f>
        <v>*KEY_ERR</v>
      </c>
    </row>
    <row r="29" spans="2:8" ht="14.45" hidden="1" customHeight="1" outlineLevel="1" x14ac:dyDescent="0.25">
      <c r="B29" s="1" t="s">
        <v>30</v>
      </c>
      <c r="C29" s="1" t="str">
        <f ca="1">_xll.DBR($C$26,$B29,C$27)</f>
        <v>*KEY_ERR</v>
      </c>
      <c r="D29" s="1" t="str">
        <f ca="1">_xll.DBR($C$26,$B29,D$27)</f>
        <v>*KEY_ERR</v>
      </c>
      <c r="E29" s="1" t="str">
        <f ca="1">_xll.DBR($C$26,$B29,E$27)</f>
        <v>*KEY_ERR</v>
      </c>
      <c r="F29" s="1" t="str">
        <f ca="1">_xll.DBR($C$26,$B29,F$27)</f>
        <v>*KEY_ERR</v>
      </c>
      <c r="G29" s="1" t="str">
        <f ca="1">_xll.DBR($C$26,$B29,G$27)</f>
        <v>*KEY_ERR</v>
      </c>
      <c r="H29" s="1" t="str">
        <f ca="1">_xll.DBR($C$26,$B29,H$27)</f>
        <v>*KEY_ERR</v>
      </c>
    </row>
    <row r="30" spans="2:8" ht="14.45" hidden="1" customHeight="1" outlineLevel="1" x14ac:dyDescent="0.25">
      <c r="B30" s="1" t="s">
        <v>31</v>
      </c>
      <c r="C30" s="1" t="str">
        <f ca="1">_xll.DBR($C$26,$B30,C$27)</f>
        <v>*KEY_ERR</v>
      </c>
      <c r="D30" s="1" t="str">
        <f ca="1">_xll.DBR($C$26,$B30,D$27)</f>
        <v>*KEY_ERR</v>
      </c>
      <c r="E30" s="1" t="str">
        <f ca="1">_xll.DBR($C$26,$B30,E$27)</f>
        <v>*KEY_ERR</v>
      </c>
      <c r="F30" s="1" t="str">
        <f ca="1">_xll.DBR($C$26,$B30,F$27)</f>
        <v>*KEY_ERR</v>
      </c>
      <c r="G30" s="1" t="str">
        <f ca="1">_xll.DBR($C$26,$B30,G$27)</f>
        <v>*KEY_ERR</v>
      </c>
      <c r="H30" s="1" t="str">
        <f ca="1">_xll.DBR($C$26,$B30,H$27)</f>
        <v>*KEY_ERR</v>
      </c>
    </row>
    <row r="31" spans="2:8" ht="14.45" hidden="1" customHeight="1" outlineLevel="1" x14ac:dyDescent="0.25">
      <c r="B31" s="1" t="s">
        <v>32</v>
      </c>
      <c r="C31" s="1" t="str">
        <f ca="1">_xll.DBR($C$26,$B31,C$27)</f>
        <v>*KEY_ERR</v>
      </c>
      <c r="D31" s="1" t="str">
        <f ca="1">_xll.DBR($C$26,$B31,D$27)</f>
        <v>*KEY_ERR</v>
      </c>
      <c r="E31" s="1" t="str">
        <f ca="1">_xll.DBR($C$26,$B31,E$27)</f>
        <v>*KEY_ERR</v>
      </c>
      <c r="F31" s="1" t="str">
        <f ca="1">_xll.DBR($C$26,$B31,F$27)</f>
        <v>*KEY_ERR</v>
      </c>
      <c r="G31" s="1" t="str">
        <f ca="1">_xll.DBR($C$26,$B31,G$27)</f>
        <v>*KEY_ERR</v>
      </c>
      <c r="H31" s="1" t="str">
        <f ca="1">_xll.DBR($C$26,$B31,H$27)</f>
        <v>*KEY_ERR</v>
      </c>
    </row>
    <row r="32" spans="2:8" ht="14.45" hidden="1" customHeight="1" outlineLevel="1" x14ac:dyDescent="0.25">
      <c r="B32" s="1" t="s">
        <v>33</v>
      </c>
      <c r="C32" s="1" t="str">
        <f ca="1">_xll.DBR($C$26,$B32,C$27)</f>
        <v>*KEY_ERR</v>
      </c>
      <c r="D32" s="1" t="str">
        <f ca="1">_xll.DBR($C$26,$B32,D$27)</f>
        <v>*KEY_ERR</v>
      </c>
      <c r="E32" s="1" t="str">
        <f ca="1">_xll.DBR($C$26,$B32,E$27)</f>
        <v>*KEY_ERR</v>
      </c>
      <c r="F32" s="1" t="str">
        <f ca="1">_xll.DBR($C$26,$B32,F$27)</f>
        <v>*KEY_ERR</v>
      </c>
      <c r="G32" s="1" t="str">
        <f ca="1">_xll.DBR($C$26,$B32,G$27)</f>
        <v>*KEY_ERR</v>
      </c>
      <c r="H32" s="1" t="str">
        <f ca="1">_xll.DBR($C$26,$B32,H$27)</f>
        <v>*KEY_ERR</v>
      </c>
    </row>
    <row r="33" spans="2:8" ht="14.45" hidden="1" customHeight="1" outlineLevel="1" x14ac:dyDescent="0.25">
      <c r="B33" s="1" t="s">
        <v>34</v>
      </c>
      <c r="C33" s="1" t="str">
        <f ca="1">_xll.DBR($C$26,$B33,C$27)</f>
        <v>*KEY_ERR</v>
      </c>
      <c r="D33" s="1" t="str">
        <f ca="1">_xll.DBR($C$26,$B33,D$27)</f>
        <v>*KEY_ERR</v>
      </c>
      <c r="E33" s="1" t="str">
        <f ca="1">_xll.DBR($C$26,$B33,E$27)</f>
        <v>*KEY_ERR</v>
      </c>
      <c r="F33" s="1" t="str">
        <f ca="1">_xll.DBR($C$26,$B33,F$27)</f>
        <v>*KEY_ERR</v>
      </c>
      <c r="G33" s="1" t="str">
        <f ca="1">_xll.DBR($C$26,$B33,G$27)</f>
        <v>*KEY_ERR</v>
      </c>
      <c r="H33" s="1" t="str">
        <f ca="1">_xll.DBR($C$26,$B33,H$27)</f>
        <v>*KEY_ERR</v>
      </c>
    </row>
    <row r="34" spans="2:8" ht="14.45" hidden="1" customHeight="1" outlineLevel="1" x14ac:dyDescent="0.25">
      <c r="B34" s="1" t="s">
        <v>35</v>
      </c>
      <c r="C34" s="1" t="str">
        <f ca="1">_xll.DBR($C$26,$B34,C$27)</f>
        <v>*KEY_ERR</v>
      </c>
      <c r="D34" s="1" t="str">
        <f ca="1">_xll.DBR($C$26,$B34,D$27)</f>
        <v>*KEY_ERR</v>
      </c>
      <c r="E34" s="1" t="str">
        <f ca="1">_xll.DBR($C$26,$B34,E$27)</f>
        <v>*KEY_ERR</v>
      </c>
      <c r="F34" s="1" t="str">
        <f ca="1">_xll.DBR($C$26,$B34,F$27)</f>
        <v>*KEY_ERR</v>
      </c>
      <c r="G34" s="1" t="str">
        <f ca="1">_xll.DBR($C$26,$B34,G$27)</f>
        <v>*KEY_ERR</v>
      </c>
      <c r="H34" s="1" t="str">
        <f ca="1">_xll.DBR($C$26,$B34,H$27)</f>
        <v>*KEY_ERR</v>
      </c>
    </row>
    <row r="35" spans="2:8" ht="14.45" hidden="1" customHeight="1" outlineLevel="1" x14ac:dyDescent="0.25">
      <c r="B35" s="1" t="s">
        <v>36</v>
      </c>
      <c r="C35" s="1" t="str">
        <f ca="1">_xll.DBR($C$26,$B35,C$27)</f>
        <v>*KEY_ERR</v>
      </c>
      <c r="D35" s="1" t="str">
        <f ca="1">_xll.DBR($C$26,$B35,D$27)</f>
        <v>*KEY_ERR</v>
      </c>
      <c r="E35" s="1" t="str">
        <f ca="1">_xll.DBR($C$26,$B35,E$27)</f>
        <v>*KEY_ERR</v>
      </c>
      <c r="F35" s="1" t="str">
        <f ca="1">_xll.DBR($C$26,$B35,F$27)</f>
        <v>*KEY_ERR</v>
      </c>
      <c r="G35" s="1" t="str">
        <f ca="1">_xll.DBR($C$26,$B35,G$27)</f>
        <v>*KEY_ERR</v>
      </c>
      <c r="H35" s="1" t="str">
        <f ca="1">_xll.DBR($C$26,$B35,H$27)</f>
        <v>*KEY_ERR</v>
      </c>
    </row>
    <row r="36" spans="2:8" ht="14.45" hidden="1" customHeight="1" outlineLevel="1" x14ac:dyDescent="0.25">
      <c r="B36" s="1" t="s">
        <v>37</v>
      </c>
      <c r="C36" s="1" t="str">
        <f ca="1">_xll.DBR($C$26,$B36,C$27)</f>
        <v>*KEY_ERR</v>
      </c>
      <c r="D36" s="1" t="str">
        <f ca="1">_xll.DBR($C$26,$B36,D$27)</f>
        <v>*KEY_ERR</v>
      </c>
      <c r="E36" s="1" t="str">
        <f ca="1">_xll.DBR($C$26,$B36,E$27)</f>
        <v>*KEY_ERR</v>
      </c>
      <c r="F36" s="1" t="str">
        <f ca="1">_xll.DBR($C$26,$B36,F$27)</f>
        <v>*KEY_ERR</v>
      </c>
      <c r="G36" s="1" t="str">
        <f ca="1">_xll.DBR($C$26,$B36,G$27)</f>
        <v>*KEY_ERR</v>
      </c>
      <c r="H36" s="1" t="str">
        <f ca="1">_xll.DBR($C$26,$B36,H$27)</f>
        <v>*KEY_ERR</v>
      </c>
    </row>
    <row r="37" spans="2:8" ht="14.45" hidden="1" customHeight="1" outlineLevel="1" x14ac:dyDescent="0.25">
      <c r="B37" s="1" t="s">
        <v>38</v>
      </c>
      <c r="C37" s="1" t="str">
        <f ca="1">_xll.DBR($C$26,$B37,C$27)</f>
        <v>*KEY_ERR</v>
      </c>
      <c r="D37" s="1" t="str">
        <f ca="1">_xll.DBR($C$26,$B37,D$27)</f>
        <v>*KEY_ERR</v>
      </c>
      <c r="E37" s="1" t="str">
        <f ca="1">_xll.DBR($C$26,$B37,E$27)</f>
        <v>*KEY_ERR</v>
      </c>
      <c r="F37" s="1" t="str">
        <f ca="1">_xll.DBR($C$26,$B37,F$27)</f>
        <v>*KEY_ERR</v>
      </c>
      <c r="G37" s="1" t="str">
        <f ca="1">_xll.DBR($C$26,$B37,G$27)</f>
        <v>*KEY_ERR</v>
      </c>
      <c r="H37" s="1" t="str">
        <f ca="1">_xll.DBR($C$26,$B37,H$27)</f>
        <v>*KEY_ERR</v>
      </c>
    </row>
    <row r="38" spans="2:8" ht="14.45" hidden="1" customHeight="1" outlineLevel="1" x14ac:dyDescent="0.25">
      <c r="B38" s="1" t="s">
        <v>39</v>
      </c>
      <c r="C38" s="1" t="str">
        <f ca="1">_xll.DBR($C$26,$B38,C$27)</f>
        <v>*KEY_ERR</v>
      </c>
      <c r="D38" s="1" t="str">
        <f ca="1">_xll.DBR($C$26,$B38,D$27)</f>
        <v>*KEY_ERR</v>
      </c>
      <c r="E38" s="1" t="str">
        <f ca="1">_xll.DBR($C$26,$B38,E$27)</f>
        <v>*KEY_ERR</v>
      </c>
      <c r="F38" s="1" t="str">
        <f ca="1">_xll.DBR($C$26,$B38,F$27)</f>
        <v>*KEY_ERR</v>
      </c>
      <c r="G38" s="1" t="str">
        <f ca="1">_xll.DBR($C$26,$B38,G$27)</f>
        <v>*KEY_ERR</v>
      </c>
      <c r="H38" s="1" t="str">
        <f ca="1">_xll.DBR($C$26,$B38,H$27)</f>
        <v>*KEY_ERR</v>
      </c>
    </row>
    <row r="39" spans="2:8" ht="14.45" hidden="1" customHeight="1" outlineLevel="1" x14ac:dyDescent="0.25">
      <c r="B39" s="1" t="s">
        <v>40</v>
      </c>
      <c r="C39" s="1" t="str">
        <f ca="1">_xll.DBR($C$26,$B39,C$27)</f>
        <v>*KEY_ERR</v>
      </c>
      <c r="D39" s="1" t="str">
        <f ca="1">_xll.DBR($C$26,$B39,D$27)</f>
        <v>*KEY_ERR</v>
      </c>
      <c r="E39" s="1" t="str">
        <f ca="1">_xll.DBR($C$26,$B39,E$27)</f>
        <v>*KEY_ERR</v>
      </c>
      <c r="F39" s="1" t="str">
        <f ca="1">_xll.DBR($C$26,$B39,F$27)</f>
        <v>*KEY_ERR</v>
      </c>
      <c r="G39" s="1" t="str">
        <f ca="1">_xll.DBR($C$26,$B39,G$27)</f>
        <v>*KEY_ERR</v>
      </c>
      <c r="H39" s="1" t="str">
        <f ca="1">_xll.DBR($C$26,$B39,H$27)</f>
        <v>*KEY_ERR</v>
      </c>
    </row>
    <row r="40" spans="2:8" ht="14.45" hidden="1" customHeight="1" outlineLevel="1" x14ac:dyDescent="0.25">
      <c r="B40" s="1" t="s">
        <v>41</v>
      </c>
      <c r="C40" s="1" t="str">
        <f ca="1">_xll.DBR($C$26,$B40,C$27)</f>
        <v>*KEY_ERR</v>
      </c>
      <c r="D40" s="1" t="str">
        <f ca="1">_xll.DBR($C$26,$B40,D$27)</f>
        <v>*KEY_ERR</v>
      </c>
      <c r="E40" s="1" t="str">
        <f ca="1">_xll.DBR($C$26,$B40,E$27)</f>
        <v>*KEY_ERR</v>
      </c>
      <c r="F40" s="1" t="str">
        <f ca="1">_xll.DBR($C$26,$B40,F$27)</f>
        <v>*KEY_ERR</v>
      </c>
      <c r="G40" s="1" t="str">
        <f ca="1">_xll.DBR($C$26,$B40,G$27)</f>
        <v>*KEY_ERR</v>
      </c>
      <c r="H40" s="1" t="str">
        <f ca="1">_xll.DBR($C$26,$B40,H$27)</f>
        <v>*KEY_ERR</v>
      </c>
    </row>
    <row r="41" spans="2:8" ht="14.45" hidden="1" customHeight="1" outlineLevel="1" x14ac:dyDescent="0.25">
      <c r="B41" s="1" t="s">
        <v>42</v>
      </c>
      <c r="C41" s="1" t="str">
        <f ca="1">_xll.DBR($C$26,$B41,C$27)</f>
        <v>*KEY_ERR</v>
      </c>
      <c r="D41" s="1" t="str">
        <f ca="1">_xll.DBR($C$26,$B41,D$27)</f>
        <v>*KEY_ERR</v>
      </c>
      <c r="E41" s="1" t="str">
        <f ca="1">_xll.DBR($C$26,$B41,E$27)</f>
        <v>*KEY_ERR</v>
      </c>
      <c r="F41" s="1" t="str">
        <f ca="1">_xll.DBR($C$26,$B41,F$27)</f>
        <v>*KEY_ERR</v>
      </c>
      <c r="G41" s="1" t="str">
        <f ca="1">_xll.DBR($C$26,$B41,G$27)</f>
        <v>*KEY_ERR</v>
      </c>
      <c r="H41" s="1" t="str">
        <f ca="1">_xll.DBR($C$26,$B41,H$27)</f>
        <v>*KEY_ERR</v>
      </c>
    </row>
    <row r="42" spans="2:8" ht="14.45" hidden="1" customHeight="1" outlineLevel="1" x14ac:dyDescent="0.25">
      <c r="B42" s="1" t="s">
        <v>43</v>
      </c>
      <c r="C42" s="1" t="str">
        <f ca="1">_xll.DBR($C$26,$B42,C$27)</f>
        <v>*KEY_ERR</v>
      </c>
      <c r="D42" s="1" t="str">
        <f ca="1">_xll.DBR($C$26,$B42,D$27)</f>
        <v>*KEY_ERR</v>
      </c>
      <c r="E42" s="1" t="str">
        <f ca="1">_xll.DBR($C$26,$B42,E$27)</f>
        <v>*KEY_ERR</v>
      </c>
      <c r="F42" s="1" t="str">
        <f ca="1">_xll.DBR($C$26,$B42,F$27)</f>
        <v>*KEY_ERR</v>
      </c>
      <c r="G42" s="1" t="str">
        <f ca="1">_xll.DBR($C$26,$B42,G$27)</f>
        <v>*KEY_ERR</v>
      </c>
      <c r="H42" s="1" t="str">
        <f ca="1">_xll.DBR($C$26,$B42,H$27)</f>
        <v>*KEY_ERR</v>
      </c>
    </row>
    <row r="43" spans="2:8" ht="14.45" hidden="1" customHeight="1" outlineLevel="1" x14ac:dyDescent="0.25">
      <c r="B43" s="1" t="s">
        <v>44</v>
      </c>
      <c r="C43" s="1" t="str">
        <f ca="1">_xll.DBR($C$26,$B43,C$27)</f>
        <v>*KEY_ERR</v>
      </c>
      <c r="D43" s="1" t="str">
        <f ca="1">_xll.DBR($C$26,$B43,D$27)</f>
        <v>*KEY_ERR</v>
      </c>
      <c r="E43" s="1" t="str">
        <f ca="1">_xll.DBR($C$26,$B43,E$27)</f>
        <v>*KEY_ERR</v>
      </c>
      <c r="F43" s="1" t="str">
        <f ca="1">_xll.DBR($C$26,$B43,F$27)</f>
        <v>*KEY_ERR</v>
      </c>
      <c r="G43" s="1" t="str">
        <f ca="1">_xll.DBR($C$26,$B43,G$27)</f>
        <v>*KEY_ERR</v>
      </c>
      <c r="H43" s="1" t="str">
        <f ca="1">_xll.DBR($C$26,$B43,H$27)</f>
        <v>*KEY_ERR</v>
      </c>
    </row>
    <row r="44" spans="2:8" ht="14.45" hidden="1" customHeight="1" outlineLevel="1" x14ac:dyDescent="0.25">
      <c r="B44" s="1" t="s">
        <v>45</v>
      </c>
      <c r="C44" s="1" t="str">
        <f ca="1">_xll.DBR($C$26,$B44,C$27)</f>
        <v>*KEY_ERR</v>
      </c>
      <c r="D44" s="1" t="str">
        <f ca="1">_xll.DBR($C$26,$B44,D$27)</f>
        <v>*KEY_ERR</v>
      </c>
      <c r="E44" s="1" t="str">
        <f ca="1">_xll.DBR($C$26,$B44,E$27)</f>
        <v>*KEY_ERR</v>
      </c>
      <c r="F44" s="1" t="str">
        <f ca="1">_xll.DBR($C$26,$B44,F$27)</f>
        <v>*KEY_ERR</v>
      </c>
      <c r="G44" s="1" t="str">
        <f ca="1">_xll.DBR($C$26,$B44,G$27)</f>
        <v>*KEY_ERR</v>
      </c>
      <c r="H44" s="1" t="str">
        <f ca="1">_xll.DBR($C$26,$B44,H$27)</f>
        <v>*KEY_ERR</v>
      </c>
    </row>
    <row r="45" spans="2:8" ht="14.45" hidden="1" customHeight="1" outlineLevel="1" x14ac:dyDescent="0.25">
      <c r="B45" s="1" t="s">
        <v>46</v>
      </c>
      <c r="C45" s="1" t="str">
        <f ca="1">_xll.DBR($C$26,$B45,C$27)</f>
        <v>*KEY_ERR</v>
      </c>
      <c r="D45" s="1" t="str">
        <f ca="1">_xll.DBR($C$26,$B45,D$27)</f>
        <v>*KEY_ERR</v>
      </c>
      <c r="E45" s="1" t="str">
        <f ca="1">_xll.DBR($C$26,$B45,E$27)</f>
        <v>*KEY_ERR</v>
      </c>
      <c r="F45" s="1" t="str">
        <f ca="1">_xll.DBR($C$26,$B45,F$27)</f>
        <v>*KEY_ERR</v>
      </c>
      <c r="G45" s="1" t="str">
        <f ca="1">_xll.DBR($C$26,$B45,G$27)</f>
        <v>*KEY_ERR</v>
      </c>
      <c r="H45" s="1" t="str">
        <f ca="1">_xll.DBR($C$26,$B45,H$27)</f>
        <v>*KEY_ERR</v>
      </c>
    </row>
    <row r="46" spans="2:8" ht="14.45" hidden="1" customHeight="1" outlineLevel="1" x14ac:dyDescent="0.25">
      <c r="B46" s="1" t="s">
        <v>47</v>
      </c>
      <c r="C46" s="1" t="str">
        <f ca="1">_xll.DBR($C$26,$B46,C$27)</f>
        <v>*KEY_ERR</v>
      </c>
      <c r="D46" s="1" t="str">
        <f ca="1">_xll.DBR($C$26,$B46,D$27)</f>
        <v>*KEY_ERR</v>
      </c>
      <c r="E46" s="1" t="str">
        <f ca="1">_xll.DBR($C$26,$B46,E$27)</f>
        <v>*KEY_ERR</v>
      </c>
      <c r="F46" s="1" t="str">
        <f ca="1">_xll.DBR($C$26,$B46,F$27)</f>
        <v>*KEY_ERR</v>
      </c>
      <c r="G46" s="1" t="str">
        <f ca="1">_xll.DBR($C$26,$B46,G$27)</f>
        <v>*KEY_ERR</v>
      </c>
      <c r="H46" s="1" t="str">
        <f ca="1">_xll.DBR($C$26,$B46,H$27)</f>
        <v>*KEY_ERR</v>
      </c>
    </row>
    <row r="47" spans="2:8" ht="14.45" hidden="1" customHeight="1" outlineLevel="1" x14ac:dyDescent="0.25">
      <c r="B47" s="1" t="s">
        <v>48</v>
      </c>
      <c r="C47" s="1" t="str">
        <f ca="1">_xll.DBR($C$26,$B47,C$27)</f>
        <v>*KEY_ERR</v>
      </c>
      <c r="D47" s="1" t="str">
        <f ca="1">_xll.DBR($C$26,$B47,D$27)</f>
        <v>*KEY_ERR</v>
      </c>
      <c r="E47" s="1" t="str">
        <f ca="1">_xll.DBR($C$26,$B47,E$27)</f>
        <v>*KEY_ERR</v>
      </c>
      <c r="F47" s="1" t="str">
        <f ca="1">_xll.DBR($C$26,$B47,F$27)</f>
        <v>*KEY_ERR</v>
      </c>
      <c r="G47" s="1" t="str">
        <f ca="1">_xll.DBR($C$26,$B47,G$27)</f>
        <v>*KEY_ERR</v>
      </c>
      <c r="H47" s="1" t="str">
        <f ca="1">_xll.DBR($C$26,$B47,H$27)</f>
        <v>*KEY_ERR</v>
      </c>
    </row>
    <row r="48" spans="2:8" ht="14.45" hidden="1" customHeight="1" outlineLevel="1" x14ac:dyDescent="0.25">
      <c r="B48" s="1" t="s">
        <v>49</v>
      </c>
      <c r="C48" s="1" t="str">
        <f ca="1">_xll.DBR($C$26,$B48,C$27)</f>
        <v>*KEY_ERR</v>
      </c>
      <c r="D48" s="1" t="str">
        <f ca="1">_xll.DBR($C$26,$B48,D$27)</f>
        <v>*KEY_ERR</v>
      </c>
      <c r="E48" s="1" t="str">
        <f ca="1">_xll.DBR($C$26,$B48,E$27)</f>
        <v>*KEY_ERR</v>
      </c>
      <c r="F48" s="1" t="str">
        <f ca="1">_xll.DBR($C$26,$B48,F$27)</f>
        <v>*KEY_ERR</v>
      </c>
      <c r="G48" s="1" t="str">
        <f ca="1">_xll.DBR($C$26,$B48,G$27)</f>
        <v>*KEY_ERR</v>
      </c>
      <c r="H48" s="1" t="str">
        <f ca="1">_xll.DBR($C$26,$B48,H$27)</f>
        <v>*KEY_ERR</v>
      </c>
    </row>
    <row r="49" spans="2:23" ht="14.45" hidden="1" customHeight="1" outlineLevel="1" x14ac:dyDescent="0.25">
      <c r="B49" s="1" t="s">
        <v>50</v>
      </c>
      <c r="C49" s="1" t="str">
        <f ca="1">_xll.DBR($C$26,$B49,C$27)</f>
        <v>*KEY_ERR</v>
      </c>
      <c r="D49" s="1" t="str">
        <f ca="1">_xll.DBR($C$26,$B49,D$27)</f>
        <v>*KEY_ERR</v>
      </c>
      <c r="E49" s="1" t="str">
        <f ca="1">_xll.DBR($C$26,$B49,E$27)</f>
        <v>*KEY_ERR</v>
      </c>
      <c r="F49" s="1" t="str">
        <f ca="1">_xll.DBR($C$26,$B49,F$27)</f>
        <v>*KEY_ERR</v>
      </c>
      <c r="G49" s="1" t="str">
        <f ca="1">_xll.DBR($C$26,$B49,G$27)</f>
        <v>*KEY_ERR</v>
      </c>
      <c r="H49" s="1" t="str">
        <f ca="1">_xll.DBR($C$26,$B49,H$27)</f>
        <v>*KEY_ERR</v>
      </c>
    </row>
    <row r="50" spans="2:23" ht="14.45" hidden="1" customHeight="1" outlineLevel="1" x14ac:dyDescent="0.25">
      <c r="B50" s="1" t="s">
        <v>53</v>
      </c>
      <c r="C50" s="1" t="str">
        <f ca="1">_xll.DBR($C$26,$B50,C$27)</f>
        <v>*KEY_ERR</v>
      </c>
      <c r="D50" s="1" t="str">
        <f ca="1">_xll.DBR($C$26,$B50,D$27)</f>
        <v>*KEY_ERR</v>
      </c>
      <c r="E50" s="1" t="str">
        <f ca="1">_xll.DBR($C$26,$B50,E$27)</f>
        <v>*KEY_ERR</v>
      </c>
      <c r="F50" s="1" t="str">
        <f ca="1">_xll.DBR($C$26,$B50,F$27)</f>
        <v>*KEY_ERR</v>
      </c>
      <c r="G50" s="1" t="str">
        <f ca="1">_xll.DBR($C$26,$B50,G$27)</f>
        <v>*KEY_ERR</v>
      </c>
      <c r="H50" s="1" t="str">
        <f ca="1">_xll.DBR($C$26,$B50,H$27)</f>
        <v>*KEY_ERR</v>
      </c>
    </row>
    <row r="51" spans="2:23" ht="14.45" hidden="1" customHeight="1" outlineLevel="1" x14ac:dyDescent="0.25">
      <c r="B51" s="1" t="s">
        <v>54</v>
      </c>
      <c r="C51" s="1" t="str">
        <f ca="1">_xll.DBR($C$26,$B51,C$27)</f>
        <v>*KEY_ERR</v>
      </c>
      <c r="D51" s="1" t="str">
        <f ca="1">_xll.DBR($C$26,$B51,D$27)</f>
        <v>*KEY_ERR</v>
      </c>
      <c r="E51" s="1" t="str">
        <f ca="1">_xll.DBR($C$26,$B51,E$27)</f>
        <v>*KEY_ERR</v>
      </c>
      <c r="F51" s="1" t="str">
        <f ca="1">_xll.DBR($C$26,$B51,F$27)</f>
        <v>*KEY_ERR</v>
      </c>
      <c r="G51" s="1" t="str">
        <f ca="1">_xll.DBR($C$26,$B51,G$27)</f>
        <v>*KEY_ERR</v>
      </c>
      <c r="H51" s="1" t="str">
        <f ca="1">_xll.DBR($C$26,$B51,H$27)</f>
        <v>*KEY_ERR</v>
      </c>
    </row>
    <row r="52" spans="2:23" ht="14.45" hidden="1" customHeight="1" outlineLevel="1" x14ac:dyDescent="0.25"/>
    <row r="53" spans="2:23" ht="14.45" hidden="1" customHeight="1" outlineLevel="1" x14ac:dyDescent="0.25"/>
    <row r="54" spans="2:23" ht="14.45" hidden="1" customHeight="1" outlineLevel="1" x14ac:dyDescent="0.25"/>
    <row r="55" spans="2:23" ht="14.45" hidden="1" customHeight="1" outlineLevel="1" x14ac:dyDescent="0.25"/>
    <row r="56" spans="2:23" ht="39.75" customHeight="1" collapsed="1" x14ac:dyDescent="0.25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11" t="str">
        <f ca="1">("Welcome "&amp;psUser)</f>
        <v xml:space="preserve">Welcome </v>
      </c>
    </row>
    <row r="57" spans="2:23" ht="4.5" customHeight="1" x14ac:dyDescent="0.25"/>
    <row r="58" spans="2:23" ht="30" customHeight="1" x14ac:dyDescent="0.25">
      <c r="J58" s="6"/>
      <c r="K58" s="19" t="str">
        <f ca="1">$C$15</f>
        <v>The current scenario is "*KEY_ERR" for the "*KEY_ERR" Headline Year. Archive was done for "*KEY_ERR" on scenario "*KEY_ERR".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6"/>
      <c r="W58" s="6"/>
    </row>
    <row r="59" spans="2:23" ht="4.5" customHeight="1" x14ac:dyDescent="0.25"/>
    <row r="63" spans="2:23" ht="24.75" customHeight="1" x14ac:dyDescent="0.25">
      <c r="J63" s="7"/>
      <c r="K63" s="7"/>
      <c r="L63" s="14" t="s">
        <v>51</v>
      </c>
      <c r="M63" s="14"/>
      <c r="N63" s="14"/>
      <c r="O63" s="14"/>
      <c r="P63" s="5"/>
      <c r="R63" s="8"/>
      <c r="S63" s="15" t="s">
        <v>52</v>
      </c>
      <c r="T63" s="15"/>
      <c r="U63" s="15"/>
      <c r="V63" s="15"/>
      <c r="W63" s="8"/>
    </row>
    <row r="64" spans="2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9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19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4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ht="19.5" customHeight="1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14.4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ht="14.45" customHeight="1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ht="14.45" customHeight="1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ht="14.45" customHeight="1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ht="14.45" customHeight="1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ht="14.45" customHeight="1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ht="14.45" customHeight="1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ht="14.45" customHeight="1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ht="14.45" customHeight="1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ht="14.45" customHeight="1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ht="4.5" customHeight="1" x14ac:dyDescent="0.25"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</row>
    <row r="91" spans="10:23" ht="14.45" customHeight="1" x14ac:dyDescent="0.25"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</row>
    <row r="92" spans="10:23" ht="4.5" customHeight="1" x14ac:dyDescent="0.25"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</row>
    <row r="93" spans="10:23" ht="14.45" customHeight="1" x14ac:dyDescent="0.25"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</row>
    <row r="94" spans="10:23" ht="4.5" customHeight="1" x14ac:dyDescent="0.25">
      <c r="J94" s="9"/>
      <c r="K94" s="9"/>
      <c r="L94" s="9"/>
      <c r="M94" s="9"/>
      <c r="N94" s="9"/>
      <c r="O94" s="9"/>
      <c r="P94" s="9"/>
      <c r="R94" s="9"/>
      <c r="S94" s="9"/>
      <c r="T94" s="9"/>
      <c r="U94" s="9"/>
      <c r="V94" s="9"/>
      <c r="W94" s="9"/>
    </row>
    <row r="95" spans="10:23" ht="14.45" customHeight="1" x14ac:dyDescent="0.25">
      <c r="J95" s="9"/>
      <c r="K95" s="9"/>
      <c r="L95" s="9"/>
      <c r="M95" s="9"/>
      <c r="N95" s="9"/>
      <c r="O95" s="9"/>
      <c r="P95" s="9"/>
      <c r="R95" s="9"/>
      <c r="S95" s="9"/>
      <c r="T95" s="9"/>
      <c r="U95" s="9"/>
      <c r="V95" s="9"/>
      <c r="W95" s="9"/>
    </row>
    <row r="96" spans="10:23" ht="4.5" customHeight="1" x14ac:dyDescent="0.25">
      <c r="J96" s="9"/>
      <c r="K96" s="9"/>
      <c r="L96" s="9"/>
      <c r="M96" s="9"/>
      <c r="N96" s="9"/>
      <c r="O96" s="9"/>
      <c r="P96" s="9"/>
      <c r="R96" s="9"/>
      <c r="S96" s="9"/>
      <c r="T96" s="9"/>
      <c r="U96" s="9"/>
      <c r="V96" s="9"/>
      <c r="W96" s="9"/>
    </row>
    <row r="97" spans="10:23" ht="14.45" customHeight="1" x14ac:dyDescent="0.25">
      <c r="J97" s="9"/>
      <c r="K97" s="9"/>
      <c r="L97" s="9"/>
      <c r="M97" s="9"/>
      <c r="N97" s="9"/>
      <c r="O97" s="9"/>
      <c r="P97" s="9"/>
      <c r="R97" s="9"/>
      <c r="S97" s="9"/>
      <c r="T97" s="9"/>
      <c r="U97" s="9"/>
      <c r="V97" s="9"/>
      <c r="W97" s="9"/>
    </row>
    <row r="98" spans="10:23" ht="14.45" customHeight="1" x14ac:dyDescent="0.25">
      <c r="K98" s="13" t="str">
        <f ca="1">("© Excelerated Consulting Pty Ltd 2001-"&amp;YEAR(NOW()))</f>
        <v>© Excelerated Consulting Pty Ltd 2001-2025</v>
      </c>
    </row>
  </sheetData>
  <sheetProtection sheet="1" objects="1" scenarios="1"/>
  <mergeCells count="7">
    <mergeCell ref="L63:O63"/>
    <mergeCell ref="S63:V63"/>
    <mergeCell ref="B1:D1"/>
    <mergeCell ref="B9:D9"/>
    <mergeCell ref="B17:D17"/>
    <mergeCell ref="B25:D25"/>
    <mergeCell ref="K58:U58"/>
  </mergeCells>
  <conditionalFormatting sqref="R63:W63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11</xdr:col>
                <xdr:colOff>0</xdr:colOff>
                <xdr:row>63</xdr:row>
                <xdr:rowOff>47625</xdr:rowOff>
              </from>
              <to>
                <xdr:col>14</xdr:col>
                <xdr:colOff>752475</xdr:colOff>
                <xdr:row>66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11</xdr:col>
                <xdr:colOff>0</xdr:colOff>
                <xdr:row>66</xdr:row>
                <xdr:rowOff>47625</xdr:rowOff>
              </from>
              <to>
                <xdr:col>14</xdr:col>
                <xdr:colOff>752475</xdr:colOff>
                <xdr:row>68</xdr:row>
                <xdr:rowOff>57150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0</xdr:colOff>
                <xdr:row>68</xdr:row>
                <xdr:rowOff>104775</xdr:rowOff>
              </from>
              <to>
                <xdr:col>14</xdr:col>
                <xdr:colOff>752475</xdr:colOff>
                <xdr:row>70</xdr:row>
                <xdr:rowOff>114300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31" r:id="rId10" name="TIButton5">
          <controlPr defaultSize="0" print="0" autoLine="0" r:id="rId11">
            <anchor moveWithCells="1" sizeWithCells="1">
              <from>
                <xdr:col>10</xdr:col>
                <xdr:colOff>123825</xdr:colOff>
                <xdr:row>59</xdr:row>
                <xdr:rowOff>47625</xdr:rowOff>
              </from>
              <to>
                <xdr:col>13</xdr:col>
                <xdr:colOff>38100</xdr:colOff>
                <xdr:row>61</xdr:row>
                <xdr:rowOff>85725</xdr:rowOff>
              </to>
            </anchor>
          </controlPr>
        </control>
      </mc:Choice>
      <mc:Fallback>
        <control shapeId="1031" r:id="rId10" name="TIButton5"/>
      </mc:Fallback>
    </mc:AlternateContent>
    <mc:AlternateContent xmlns:mc="http://schemas.openxmlformats.org/markup-compatibility/2006">
      <mc:Choice Requires="x14">
        <control shapeId="1032" r:id="rId12" name="TIButton6">
          <controlPr defaultSize="0" print="0" autoLine="0" r:id="rId13">
            <anchor moveWithCells="1" sizeWithCells="1">
              <from>
                <xdr:col>13</xdr:col>
                <xdr:colOff>57150</xdr:colOff>
                <xdr:row>59</xdr:row>
                <xdr:rowOff>47625</xdr:rowOff>
              </from>
              <to>
                <xdr:col>15</xdr:col>
                <xdr:colOff>352425</xdr:colOff>
                <xdr:row>61</xdr:row>
                <xdr:rowOff>85725</xdr:rowOff>
              </to>
            </anchor>
          </controlPr>
        </control>
      </mc:Choice>
      <mc:Fallback>
        <control shapeId="1032" r:id="rId12" name="TIButton6"/>
      </mc:Fallback>
    </mc:AlternateContent>
    <mc:AlternateContent xmlns:mc="http://schemas.openxmlformats.org/markup-compatibility/2006">
      <mc:Choice Requires="x14">
        <control shapeId="1033" r:id="rId14" name="TIButton7">
          <controlPr defaultSize="0" print="0" autoLine="0" r:id="rId15">
            <anchor moveWithCells="1" sizeWithCells="1">
              <from>
                <xdr:col>15</xdr:col>
                <xdr:colOff>371475</xdr:colOff>
                <xdr:row>59</xdr:row>
                <xdr:rowOff>38100</xdr:rowOff>
              </from>
              <to>
                <xdr:col>19</xdr:col>
                <xdr:colOff>1104900</xdr:colOff>
                <xdr:row>61</xdr:row>
                <xdr:rowOff>76200</xdr:rowOff>
              </to>
            </anchor>
          </controlPr>
        </control>
      </mc:Choice>
      <mc:Fallback>
        <control shapeId="1033" r:id="rId14" name="TIButton7"/>
      </mc:Fallback>
    </mc:AlternateContent>
    <mc:AlternateContent xmlns:mc="http://schemas.openxmlformats.org/markup-compatibility/2006">
      <mc:Choice Requires="x14">
        <control shapeId="1034" r:id="rId16" name="TIButton8">
          <controlPr defaultSize="0" print="0" autoLine="0" r:id="rId17">
            <anchor moveWithCells="1" sizeWithCells="1">
              <from>
                <xdr:col>19</xdr:col>
                <xdr:colOff>1133475</xdr:colOff>
                <xdr:row>59</xdr:row>
                <xdr:rowOff>38100</xdr:rowOff>
              </from>
              <to>
                <xdr:col>22</xdr:col>
                <xdr:colOff>114300</xdr:colOff>
                <xdr:row>61</xdr:row>
                <xdr:rowOff>76200</xdr:rowOff>
              </to>
            </anchor>
          </controlPr>
        </control>
      </mc:Choice>
      <mc:Fallback>
        <control shapeId="1034" r:id="rId16" name="TIButton8"/>
      </mc:Fallback>
    </mc:AlternateContent>
    <mc:AlternateContent xmlns:mc="http://schemas.openxmlformats.org/markup-compatibility/2006">
      <mc:Choice Requires="x14">
        <control shapeId="1035" r:id="rId18" name="TIButton9">
          <controlPr defaultSize="0" print="0" autoLine="0" r:id="rId19">
            <anchor moveWithCells="1" sizeWithCells="1">
              <from>
                <xdr:col>18</xdr:col>
                <xdr:colOff>285750</xdr:colOff>
                <xdr:row>63</xdr:row>
                <xdr:rowOff>47625</xdr:rowOff>
              </from>
              <to>
                <xdr:col>21</xdr:col>
                <xdr:colOff>1038225</xdr:colOff>
                <xdr:row>66</xdr:row>
                <xdr:rowOff>0</xdr:rowOff>
              </to>
            </anchor>
          </controlPr>
        </control>
      </mc:Choice>
      <mc:Fallback>
        <control shapeId="1035" r:id="rId18" name="TIButton9"/>
      </mc:Fallback>
    </mc:AlternateContent>
    <mc:AlternateContent xmlns:mc="http://schemas.openxmlformats.org/markup-compatibility/2006">
      <mc:Choice Requires="x14">
        <control shapeId="1036" r:id="rId20" name="TIButton10">
          <controlPr defaultSize="0" print="0" autoLine="0" r:id="rId21">
            <anchor moveWithCells="1" sizeWithCells="1">
              <from>
                <xdr:col>18</xdr:col>
                <xdr:colOff>285750</xdr:colOff>
                <xdr:row>66</xdr:row>
                <xdr:rowOff>47625</xdr:rowOff>
              </from>
              <to>
                <xdr:col>21</xdr:col>
                <xdr:colOff>1038225</xdr:colOff>
                <xdr:row>68</xdr:row>
                <xdr:rowOff>57150</xdr:rowOff>
              </to>
            </anchor>
          </controlPr>
        </control>
      </mc:Choice>
      <mc:Fallback>
        <control shapeId="1036" r:id="rId20" name="TIButton10"/>
      </mc:Fallback>
    </mc:AlternateContent>
    <mc:AlternateContent xmlns:mc="http://schemas.openxmlformats.org/markup-compatibility/2006">
      <mc:Choice Requires="x14">
        <control shapeId="1037" r:id="rId22" name="TIButton11">
          <controlPr defaultSize="0" print="0" autoLine="0" r:id="rId23">
            <anchor moveWithCells="1" sizeWithCells="1">
              <from>
                <xdr:col>18</xdr:col>
                <xdr:colOff>285750</xdr:colOff>
                <xdr:row>68</xdr:row>
                <xdr:rowOff>104775</xdr:rowOff>
              </from>
              <to>
                <xdr:col>21</xdr:col>
                <xdr:colOff>1038225</xdr:colOff>
                <xdr:row>70</xdr:row>
                <xdr:rowOff>114300</xdr:rowOff>
              </to>
            </anchor>
          </controlPr>
        </control>
      </mc:Choice>
      <mc:Fallback>
        <control shapeId="1037" r:id="rId22" name="TIButton11"/>
      </mc:Fallback>
    </mc:AlternateContent>
    <mc:AlternateContent xmlns:mc="http://schemas.openxmlformats.org/markup-compatibility/2006">
      <mc:Choice Requires="x14">
        <control shapeId="1039" r:id="rId24" name="TIButton13">
          <controlPr defaultSize="0" print="0" autoLine="0" r:id="rId25">
            <anchor moveWithCells="1" sizeWithCells="1">
              <from>
                <xdr:col>18</xdr:col>
                <xdr:colOff>285750</xdr:colOff>
                <xdr:row>70</xdr:row>
                <xdr:rowOff>161925</xdr:rowOff>
              </from>
              <to>
                <xdr:col>21</xdr:col>
                <xdr:colOff>1038225</xdr:colOff>
                <xdr:row>72</xdr:row>
                <xdr:rowOff>38100</xdr:rowOff>
              </to>
            </anchor>
          </controlPr>
        </control>
      </mc:Choice>
      <mc:Fallback>
        <control shapeId="1039" r:id="rId24" name="TIButton13"/>
      </mc:Fallback>
    </mc:AlternateContent>
    <mc:AlternateContent xmlns:mc="http://schemas.openxmlformats.org/markup-compatibility/2006">
      <mc:Choice Requires="x14">
        <control shapeId="1040" r:id="rId26" name="TIButton14">
          <controlPr defaultSize="0" print="0" autoLine="0" r:id="rId27">
            <anchor moveWithCells="1" sizeWithCells="1">
              <from>
                <xdr:col>18</xdr:col>
                <xdr:colOff>285750</xdr:colOff>
                <xdr:row>72</xdr:row>
                <xdr:rowOff>85725</xdr:rowOff>
              </from>
              <to>
                <xdr:col>21</xdr:col>
                <xdr:colOff>1038225</xdr:colOff>
                <xdr:row>74</xdr:row>
                <xdr:rowOff>152400</xdr:rowOff>
              </to>
            </anchor>
          </controlPr>
        </control>
      </mc:Choice>
      <mc:Fallback>
        <control shapeId="1040" r:id="rId26" name="TIButton14"/>
      </mc:Fallback>
    </mc:AlternateContent>
    <mc:AlternateContent xmlns:mc="http://schemas.openxmlformats.org/markup-compatibility/2006">
      <mc:Choice Requires="x14">
        <control shapeId="1041" r:id="rId28" name="TIButton15">
          <controlPr defaultSize="0" print="0" autoLine="0" r:id="rId29">
            <anchor moveWithCells="1" sizeWithCells="1">
              <from>
                <xdr:col>18</xdr:col>
                <xdr:colOff>285750</xdr:colOff>
                <xdr:row>75</xdr:row>
                <xdr:rowOff>9525</xdr:rowOff>
              </from>
              <to>
                <xdr:col>21</xdr:col>
                <xdr:colOff>1038225</xdr:colOff>
                <xdr:row>78</xdr:row>
                <xdr:rowOff>19050</xdr:rowOff>
              </to>
            </anchor>
          </controlPr>
        </control>
      </mc:Choice>
      <mc:Fallback>
        <control shapeId="1041" r:id="rId28" name="TIButton15"/>
      </mc:Fallback>
    </mc:AlternateContent>
    <mc:AlternateContent xmlns:mc="http://schemas.openxmlformats.org/markup-compatibility/2006">
      <mc:Choice Requires="x14">
        <control shapeId="1042" r:id="rId30" name="TIButton4">
          <controlPr defaultSize="0" print="0" autoLine="0" r:id="rId31">
            <anchor moveWithCells="1" sizeWithCells="1">
              <from>
                <xdr:col>18</xdr:col>
                <xdr:colOff>285750</xdr:colOff>
                <xdr:row>78</xdr:row>
                <xdr:rowOff>66675</xdr:rowOff>
              </from>
              <to>
                <xdr:col>21</xdr:col>
                <xdr:colOff>1038225</xdr:colOff>
                <xdr:row>80</xdr:row>
                <xdr:rowOff>133350</xdr:rowOff>
              </to>
            </anchor>
          </controlPr>
        </control>
      </mc:Choice>
      <mc:Fallback>
        <control shapeId="1042" r:id="rId30" name="TIButton4"/>
      </mc:Fallback>
    </mc:AlternateContent>
    <mc:AlternateContent xmlns:mc="http://schemas.openxmlformats.org/markup-compatibility/2006">
      <mc:Choice Requires="x14">
        <control shapeId="1043" r:id="rId32" name="TIButton16">
          <controlPr defaultSize="0" print="0" autoLine="0" r:id="rId33">
            <anchor moveWithCells="1" sizeWithCells="1">
              <from>
                <xdr:col>18</xdr:col>
                <xdr:colOff>285750</xdr:colOff>
                <xdr:row>87</xdr:row>
                <xdr:rowOff>38100</xdr:rowOff>
              </from>
              <to>
                <xdr:col>21</xdr:col>
                <xdr:colOff>1038225</xdr:colOff>
                <xdr:row>90</xdr:row>
                <xdr:rowOff>38100</xdr:rowOff>
              </to>
            </anchor>
          </controlPr>
        </control>
      </mc:Choice>
      <mc:Fallback>
        <control shapeId="1043" r:id="rId32" name="TIButton16"/>
      </mc:Fallback>
    </mc:AlternateContent>
    <mc:AlternateContent xmlns:mc="http://schemas.openxmlformats.org/markup-compatibility/2006">
      <mc:Choice Requires="x14">
        <control shapeId="1044" r:id="rId34" name="TIButton17">
          <controlPr defaultSize="0" print="0" autoLine="0" r:id="rId35">
            <anchor moveWithCells="1" sizeWithCells="1">
              <from>
                <xdr:col>18</xdr:col>
                <xdr:colOff>285750</xdr:colOff>
                <xdr:row>90</xdr:row>
                <xdr:rowOff>85725</xdr:rowOff>
              </from>
              <to>
                <xdr:col>21</xdr:col>
                <xdr:colOff>1038225</xdr:colOff>
                <xdr:row>92</xdr:row>
                <xdr:rowOff>152400</xdr:rowOff>
              </to>
            </anchor>
          </controlPr>
        </control>
      </mc:Choice>
      <mc:Fallback>
        <control shapeId="1044" r:id="rId34" name="TIButton17"/>
      </mc:Fallback>
    </mc:AlternateContent>
    <mc:AlternateContent xmlns:mc="http://schemas.openxmlformats.org/markup-compatibility/2006">
      <mc:Choice Requires="x14">
        <control shapeId="1045" r:id="rId36" name="TIButton18">
          <controlPr defaultSize="0" print="0" autoLine="0" r:id="rId37">
            <anchor moveWithCells="1" sizeWithCells="1">
              <from>
                <xdr:col>11</xdr:col>
                <xdr:colOff>0</xdr:colOff>
                <xdr:row>70</xdr:row>
                <xdr:rowOff>161925</xdr:rowOff>
              </from>
              <to>
                <xdr:col>14</xdr:col>
                <xdr:colOff>752475</xdr:colOff>
                <xdr:row>72</xdr:row>
                <xdr:rowOff>38100</xdr:rowOff>
              </to>
            </anchor>
          </controlPr>
        </control>
      </mc:Choice>
      <mc:Fallback>
        <control shapeId="1045" r:id="rId36" name="TIButton18"/>
      </mc:Fallback>
    </mc:AlternateContent>
    <mc:AlternateContent xmlns:mc="http://schemas.openxmlformats.org/markup-compatibility/2006">
      <mc:Choice Requires="x14">
        <control shapeId="1048" r:id="rId38" name="TIButton21">
          <controlPr defaultSize="0" print="0" autoLine="0" r:id="rId39">
            <anchor moveWithCells="1" sizeWithCells="1">
              <from>
                <xdr:col>11</xdr:col>
                <xdr:colOff>0</xdr:colOff>
                <xdr:row>72</xdr:row>
                <xdr:rowOff>85725</xdr:rowOff>
              </from>
              <to>
                <xdr:col>14</xdr:col>
                <xdr:colOff>752475</xdr:colOff>
                <xdr:row>74</xdr:row>
                <xdr:rowOff>152400</xdr:rowOff>
              </to>
            </anchor>
          </controlPr>
        </control>
      </mc:Choice>
      <mc:Fallback>
        <control shapeId="1048" r:id="rId38" name="TIButton21"/>
      </mc:Fallback>
    </mc:AlternateContent>
    <mc:AlternateContent xmlns:mc="http://schemas.openxmlformats.org/markup-compatibility/2006">
      <mc:Choice Requires="x14">
        <control shapeId="1050" r:id="rId40" name="TIButton12">
          <controlPr defaultSize="0" print="0" autoLine="0" r:id="rId41">
            <anchor moveWithCells="1" sizeWithCells="1">
              <from>
                <xdr:col>18</xdr:col>
                <xdr:colOff>285750</xdr:colOff>
                <xdr:row>81</xdr:row>
                <xdr:rowOff>19050</xdr:rowOff>
              </from>
              <to>
                <xdr:col>21</xdr:col>
                <xdr:colOff>1038225</xdr:colOff>
                <xdr:row>84</xdr:row>
                <xdr:rowOff>28575</xdr:rowOff>
              </to>
            </anchor>
          </controlPr>
        </control>
      </mc:Choice>
      <mc:Fallback>
        <control shapeId="1050" r:id="rId40" name="TIButton12"/>
      </mc:Fallback>
    </mc:AlternateContent>
    <mc:AlternateContent xmlns:mc="http://schemas.openxmlformats.org/markup-compatibility/2006">
      <mc:Choice Requires="x14">
        <control shapeId="1051" r:id="rId42" name="TIButton19">
          <controlPr defaultSize="0" print="0" autoLine="0" r:id="rId43">
            <anchor moveWithCells="1" sizeWithCells="1">
              <from>
                <xdr:col>18</xdr:col>
                <xdr:colOff>285750</xdr:colOff>
                <xdr:row>84</xdr:row>
                <xdr:rowOff>76200</xdr:rowOff>
              </from>
              <to>
                <xdr:col>21</xdr:col>
                <xdr:colOff>1038225</xdr:colOff>
                <xdr:row>86</xdr:row>
                <xdr:rowOff>142875</xdr:rowOff>
              </to>
            </anchor>
          </controlPr>
        </control>
      </mc:Choice>
      <mc:Fallback>
        <control shapeId="1051" r:id="rId42" name="TIButton1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Menu</vt:lpstr>
      <vt:lpstr>db_name</vt:lpstr>
      <vt:lpstr>home</vt:lpstr>
      <vt:lpstr>Menu</vt:lpstr>
      <vt:lpstr>psUser</vt:lpstr>
      <vt:lpstr>TM1Admin00BALAdjCAP</vt:lpstr>
      <vt:lpstr>TM1Admin00BALAdjWB</vt:lpstr>
      <vt:lpstr>TM1Admin00BALAdjWS</vt:lpstr>
      <vt:lpstr>TM1AdminAppSetupCAP</vt:lpstr>
      <vt:lpstr>TM1AdminAppSetupWB</vt:lpstr>
      <vt:lpstr>TM1AdminAppSetupWS</vt:lpstr>
      <vt:lpstr>TM1AdminCreateProgCAP</vt:lpstr>
      <vt:lpstr>TM1AdminCreateProgWB</vt:lpstr>
      <vt:lpstr>TM1AdminCreateProgWS</vt:lpstr>
      <vt:lpstr>TM1AdminExtractFFCAP</vt:lpstr>
      <vt:lpstr>TM1AdminExtractFFWB</vt:lpstr>
      <vt:lpstr>TM1AdminExtractFFWS</vt:lpstr>
      <vt:lpstr>TM1AdminGEUSDiagnosticRepCAP</vt:lpstr>
      <vt:lpstr>TM1AdminGEUSDiagnosticRepWB</vt:lpstr>
      <vt:lpstr>TM1AdminGEUSDiagnosticRepWS</vt:lpstr>
      <vt:lpstr>TM1AdminIndexSetupCAP</vt:lpstr>
      <vt:lpstr>TM1AdminIndexSetupWB</vt:lpstr>
      <vt:lpstr>TM1AdminIndexSetupWS</vt:lpstr>
      <vt:lpstr>TM1AdminNewsItemCAP</vt:lpstr>
      <vt:lpstr>TM1AdminNewsItemWB</vt:lpstr>
      <vt:lpstr>TM1AdminNewsItemWS</vt:lpstr>
      <vt:lpstr>TM1AdminProgDetCAP</vt:lpstr>
      <vt:lpstr>TM1AdminProgDetWB</vt:lpstr>
      <vt:lpstr>TM1AdminProgDetWS</vt:lpstr>
      <vt:lpstr>TM1AdminProgTransferCAP</vt:lpstr>
      <vt:lpstr>TM1AdminProgTransferWB</vt:lpstr>
      <vt:lpstr>TM1AdminProgTransferWS</vt:lpstr>
      <vt:lpstr>TM1AdminReActivateIndexFE3CAP</vt:lpstr>
      <vt:lpstr>TM1AdminReActivateIndexFE3WB</vt:lpstr>
      <vt:lpstr>TM1AdminReActivateIndexFE3WS</vt:lpstr>
      <vt:lpstr>TM1AdminRepStageLookupCAP</vt:lpstr>
      <vt:lpstr>TM1AdminRepStageLookupWB</vt:lpstr>
      <vt:lpstr>TM1AdminRepStageLookupWS</vt:lpstr>
      <vt:lpstr>TM1AdminSetDefAccCAP</vt:lpstr>
      <vt:lpstr>TM1AdminSetDefAccWB</vt:lpstr>
      <vt:lpstr>TM1AdminSetDefAccWS</vt:lpstr>
      <vt:lpstr>TM1AdminSysVarCAP</vt:lpstr>
      <vt:lpstr>TM1AdminSysVarWB</vt:lpstr>
      <vt:lpstr>TM1AdminSysVarWS</vt:lpstr>
      <vt:lpstr>TM1AdminUploadProgCAP</vt:lpstr>
      <vt:lpstr>TM1AdminUploadProgWB</vt:lpstr>
      <vt:lpstr>TM1AdminUploadProgWS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Xin HE</cp:lastModifiedBy>
  <dcterms:created xsi:type="dcterms:W3CDTF">2023-08-21T05:31:49Z</dcterms:created>
  <dcterms:modified xsi:type="dcterms:W3CDTF">2025-08-07T00:01:41Z</dcterms:modified>
  <cp:category/>
  <cp:contentStatus/>
</cp:coreProperties>
</file>