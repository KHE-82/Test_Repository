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B5B726A-3A02-4E5B-BAE7-A7648970911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AdjIDListCAP">Menu!$D$46</definedName>
    <definedName name="TM1AdjIDListWB">Menu!$F$46</definedName>
    <definedName name="TM1AdminAccTempListCAP">Menu!$D$42</definedName>
    <definedName name="TM1AdminAccTempListWB">Menu!$F$42</definedName>
    <definedName name="TM1AdminAccTempListWS">Menu!$H$42</definedName>
    <definedName name="TM1AdminAccTempProgMapCAP">Menu!$D$44</definedName>
    <definedName name="TM1AdminAccTempProgMapWB">Menu!$F$44</definedName>
    <definedName name="TM1AdminAccTempProgMapWS">Menu!$H$44</definedName>
    <definedName name="TM1AdminAccTempUpdateEditCAP">Menu!$D$43</definedName>
    <definedName name="TM1AdminAccTempUpdateEditWB">Menu!$F$43</definedName>
    <definedName name="TM1AdminAccTempUpdateEditWS">Menu!$H$43</definedName>
    <definedName name="TM1BulkProcessCAP">Menu!$D$45</definedName>
    <definedName name="TM1BulkProcessWB">Menu!$F$45</definedName>
    <definedName name="TM1BulkProcessWS">Menu!$H$45</definedName>
    <definedName name="TM1GrpNewAdj01AHeaderCAP">Menu!$D$39</definedName>
    <definedName name="TM1GrpNewAdj01AHeaderWB">Menu!$F$39</definedName>
    <definedName name="TM1GrpNewAdj01AHeaderWS">Menu!$H$39</definedName>
    <definedName name="TM1GrpNewAdj01HeaderCAP">Menu!$D$38</definedName>
    <definedName name="TM1GrpNewAdj01HeaderWB">Menu!$F$38</definedName>
    <definedName name="TM1GrpNewAdj01HeaderWS">Menu!$H$38</definedName>
    <definedName name="TM1GrpNewAdj08RecogDataEntryCAP">Menu!$D$40</definedName>
    <definedName name="TM1GrpNewAdj08RecogDataEntryWB">Menu!$F$40</definedName>
    <definedName name="TM1GrpNewAdj08RecogDataEntryWS">Menu!$H$40</definedName>
    <definedName name="TM1GrpNewAdj97UploadCAP">Menu!$D$41</definedName>
    <definedName name="TM1GrpNewAdj97UploadWB">Menu!$F$41</definedName>
    <definedName name="TM1GrpNewAdj97UploadWS">Menu!$H$41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IDListWS">Menu!$H$46</definedName>
    <definedName name="TM1NewAdj97UploadCAP">Menu!$D$47</definedName>
    <definedName name="TM1NewAdj97UploadWB">Menu!$F$47</definedName>
    <definedName name="TM1NewAdj97UploadWS">Menu!$H$47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90" i="1"/>
  <c r="C10" i="1"/>
  <c r="C12" i="1"/>
  <c r="C11" i="1"/>
  <c r="C13" i="1"/>
  <c r="C14" i="1"/>
  <c r="C15" i="1"/>
  <c r="K56" i="1"/>
  <c r="C4" i="1"/>
  <c r="C7" i="1"/>
  <c r="W54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<sst xmlns="http://schemas.openxmlformats.org/spreadsheetml/2006/main" count="62" uniqueCount="56">
  <si>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</si>
  <si>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</si>
  <si>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</si>
  <si>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</si>
  <si>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</si>
  <si>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</si>
  <si>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</si>
  <si>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</si>
  <si>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</si>
  <si>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</si>
  <si>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</si>
  <si>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</si>
  <si>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</si>
  <si>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</si>
  <si>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</si>
  <si>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</si>
  <si>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</si>
  <si>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</si>
  <si>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</si>
  <si>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</si>
  <si>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</si>
  <si>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</si>
  <si>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</si>
  <si>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</si>
  <si>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</si>
  <si>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</si>
  <si>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</si>
  <si>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</si>
  <si>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</si>
  <si>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</si>
  <si>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</si>
  <si>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</si>
  <si>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</si>
  <si>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</si>
  <si>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</si>
  <si>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</si>
  <si>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</si>
  <si>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</si>
  <si>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</si>
  <si>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Group Data Entry - New Adj 01 - Header Details</t>
  </si>
  <si>
    <t>Group Data Entry - New Adj 01A - Compliance Header Details</t>
  </si>
  <si>
    <t>Group Data Entry - New Adj 08 - Recognition</t>
  </si>
  <si>
    <t>Group Data Entry - New Adj 97 - Upload</t>
  </si>
  <si>
    <t>Admin Acc Temp - Account Template List</t>
  </si>
  <si>
    <t>Admin Acc Temp - Update Account Template</t>
  </si>
  <si>
    <t>Admin Acc Temp - Program To Account Template Mapping</t>
  </si>
  <si>
    <t>Adjustment - Bulk Process</t>
  </si>
  <si>
    <t>Adjustment - ID List</t>
  </si>
  <si>
    <t>Data Entry - New Adj 97 - Upload</t>
  </si>
  <si>
    <t>ANNUAL ESTIMATES</t>
  </si>
  <si>
    <t>ACCOUNT VARIATION / GROUP ADJ DATA ENTRY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</si>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</sst>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55</xdr:row>
      <xdr:rowOff>55686</xdr:rowOff>
    </xdr:from>
    <xdr:to>
      <xdr:col>22</xdr:col>
      <xdr:colOff>206290</xdr:colOff>
      <xdr:row>55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60</xdr:row>
      <xdr:rowOff>57150</xdr:rowOff>
    </xdr:from>
    <xdr:to>
      <xdr:col>15</xdr:col>
      <xdr:colOff>307716</xdr:colOff>
      <xdr:row>60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28575</xdr:rowOff>
    </xdr:from>
    <xdr:to>
      <xdr:col>12</xdr:col>
      <xdr:colOff>57150</xdr:colOff>
      <xdr:row>53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61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64</xdr:row>
      <xdr:rowOff>0</xdr:rowOff>
    </xdr:to>
    <xdr:sp macro="Sheet1.ExecuteAction_73eb4d9f_7f1e_4565_b580_749913cc8332" textlink="TM1HomeAEDataEntryCAP">
      <xdr:nvSpPr>
        <xdr:cNvPr id="2" name="TM1Button_73eb4d9f_7f1e_4565_b580_749913cc8332">
          <a:extLst>
            <a:ext uri="{FF2B5EF4-FFF2-40B4-BE49-F238E27FC236}">
              <a16:creationId xmlns:a16="http://schemas.microsoft.com/office/drawing/2014/main" id="{5E2091CE-C6E5-FB2D-2DBA-7AD80ABD1DA1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37EB61-1E61-467F-B478-310A858786C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104775</xdr:rowOff>
    </xdr:from>
    <xdr:to>
      <xdr:col>21</xdr:col>
      <xdr:colOff>1038225</xdr:colOff>
      <xdr:row>68</xdr:row>
      <xdr:rowOff>114300</xdr:rowOff>
    </xdr:to>
    <xdr:sp macro="Sheet1.ExecuteAction_05fb2147_f95c_435b_b64c_522db56dfb73" textlink="">
      <xdr:nvSpPr>
        <xdr:cNvPr id="3" name="TM1Button_05fb2147_f95c_435b_b64c_522db56dfb73">
          <a:extLst>
            <a:ext uri="{FF2B5EF4-FFF2-40B4-BE49-F238E27FC236}">
              <a16:creationId xmlns:a16="http://schemas.microsoft.com/office/drawing/2014/main" id="{FE8BBCA5-F6AA-E843-76C1-1690CC7696DB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Adjustment List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161925</xdr:rowOff>
    </xdr:from>
    <xdr:to>
      <xdr:col>21</xdr:col>
      <xdr:colOff>1038225</xdr:colOff>
      <xdr:row>70</xdr:row>
      <xdr:rowOff>38100</xdr:rowOff>
    </xdr:to>
    <xdr:sp macro="Sheet1.ExecuteAction_d25e48f8_d4ca_48a9_8b22_7cd4ea223916" textlink="">
      <xdr:nvSpPr>
        <xdr:cNvPr id="4" name="TM1Button_d25e48f8_d4ca_48a9_8b22_7cd4ea223916">
          <a:extLst>
            <a:ext uri="{FF2B5EF4-FFF2-40B4-BE49-F238E27FC236}">
              <a16:creationId xmlns:a16="http://schemas.microsoft.com/office/drawing/2014/main" id="{54D342B9-B4CE-2F21-F28A-A3429D88B425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Adjustment Processing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85725</xdr:rowOff>
    </xdr:from>
    <xdr:to>
      <xdr:col>21</xdr:col>
      <xdr:colOff>1038225</xdr:colOff>
      <xdr:row>72</xdr:row>
      <xdr:rowOff>152400</xdr:rowOff>
    </xdr:to>
    <xdr:sp macro="Sheet1.ExecuteAction_0c37e592_2331_418f_aabf_632ddb71d0fd" textlink="">
      <xdr:nvSpPr>
        <xdr:cNvPr id="5" name="TM1Button_0c37e592_2331_418f_aabf_632ddb71d0fd">
          <a:extLst>
            <a:ext uri="{FF2B5EF4-FFF2-40B4-BE49-F238E27FC236}">
              <a16:creationId xmlns:a16="http://schemas.microsoft.com/office/drawing/2014/main" id="{6C8C127D-BEAD-1C69-A757-FD489E1B7996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Adjustments Using Account Variation Template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9525</xdr:rowOff>
    </xdr:from>
    <xdr:to>
      <xdr:col>21</xdr:col>
      <xdr:colOff>1038225</xdr:colOff>
      <xdr:row>76</xdr:row>
      <xdr:rowOff>19050</xdr:rowOff>
    </xdr:to>
    <xdr:sp macro="Sheet1.ExecuteAction_23cee539_9236_4322_9d95_18004e463da4" textlink="">
      <xdr:nvSpPr>
        <xdr:cNvPr id="6" name="TM1Button_23cee539_9236_4322_9d95_18004e463da4">
          <a:extLst>
            <a:ext uri="{FF2B5EF4-FFF2-40B4-BE49-F238E27FC236}">
              <a16:creationId xmlns:a16="http://schemas.microsoft.com/office/drawing/2014/main" id="{5AFC2364-C9DB-3B82-EC11-C890D9A9B9BE}"/>
            </a:ext>
          </a:extLst>
        </xdr:cNvPr>
        <xdr:cNvSpPr txBox="1"/>
      </xdr:nvSpPr>
      <xdr:spPr>
        <a:xfrm>
          <a:off x="6858000" y="36861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/ Create Account Templates</a:t>
          </a:r>
        </a:p>
      </xdr:txBody>
    </xdr:sp>
    <xdr:clientData/>
  </xdr:twoCellAnchor>
  <xdr:twoCellAnchor editAs="oneCell">
    <xdr:from>
      <xdr:col>18</xdr:col>
      <xdr:colOff>285750</xdr:colOff>
      <xdr:row>76</xdr:row>
      <xdr:rowOff>66675</xdr:rowOff>
    </xdr:from>
    <xdr:to>
      <xdr:col>21</xdr:col>
      <xdr:colOff>1038225</xdr:colOff>
      <xdr:row>78</xdr:row>
      <xdr:rowOff>133350</xdr:rowOff>
    </xdr:to>
    <xdr:sp macro="Sheet1.ExecuteAction_adb57e8c_81e6_414b_b463_4f3857839b1d" textlink="">
      <xdr:nvSpPr>
        <xdr:cNvPr id="7" name="TM1Button_adb57e8c_81e6_414b_b463_4f3857839b1d">
          <a:extLst>
            <a:ext uri="{FF2B5EF4-FFF2-40B4-BE49-F238E27FC236}">
              <a16:creationId xmlns:a16="http://schemas.microsoft.com/office/drawing/2014/main" id="{0D9BBC97-7676-7C7E-B934-E39CE24C1298}"/>
            </a:ext>
          </a:extLst>
        </xdr:cNvPr>
        <xdr:cNvSpPr txBox="1"/>
      </xdr:nvSpPr>
      <xdr:spPr>
        <a:xfrm>
          <a:off x="6858000" y="40386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Account Templates To Programmes</a:t>
          </a: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66</xdr:row>
      <xdr:rowOff>57150</xdr:rowOff>
    </xdr:to>
    <xdr:sp macro="Sheet1.ExecuteAction_faa40712_c450_406a_b956_05145260f74c" textlink="">
      <xdr:nvSpPr>
        <xdr:cNvPr id="8" name="TM1Button_faa40712_c450_406a_b956_05145260f74c">
          <a:extLst>
            <a:ext uri="{FF2B5EF4-FFF2-40B4-BE49-F238E27FC236}">
              <a16:creationId xmlns:a16="http://schemas.microsoft.com/office/drawing/2014/main" id="{04B92B67-7A60-F63E-B6C6-1C9AB2FC84E7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Compliance Debt Adjustment</a:t>
          </a:r>
        </a:p>
      </xdr:txBody>
    </xdr:sp>
    <xdr:clientData/>
  </xdr:twoCellAnchor>
  <xdr:twoCellAnchor editAs="oneCell">
    <xdr:from>
      <xdr:col>11</xdr:col>
      <xdr:colOff>0</xdr:colOff>
      <xdr:row>70</xdr:row>
      <xdr:rowOff>104775</xdr:rowOff>
    </xdr:from>
    <xdr:to>
      <xdr:col>14</xdr:col>
      <xdr:colOff>752475</xdr:colOff>
      <xdr:row>73</xdr:row>
      <xdr:rowOff>0</xdr:rowOff>
    </xdr:to>
    <xdr:sp macro="Sheet1.ExecuteAction_244c928b_307b_4ce5_854a_154d5b14cbaf" textlink="TM1HomeAECDMCAP">
      <xdr:nvSpPr>
        <xdr:cNvPr id="10" name="TM1Button_244c928b_307b_4ce5_854a_154d5b14cbaf">
          <a:extLst>
            <a:ext uri="{FF2B5EF4-FFF2-40B4-BE49-F238E27FC236}">
              <a16:creationId xmlns:a16="http://schemas.microsoft.com/office/drawing/2014/main" id="{318E4786-0AE2-4982-F78B-315B2E1B1A0F}"/>
            </a:ext>
          </a:extLst>
        </xdr:cNvPr>
        <xdr:cNvSpPr txBox="1"/>
      </xdr:nvSpPr>
      <xdr:spPr>
        <a:xfrm>
          <a:off x="438150" y="33623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574027-4005-42BA-9F1E-32612089F80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66</xdr:row>
      <xdr:rowOff>57150</xdr:rowOff>
    </xdr:to>
    <xdr:sp macro="Sheet1.ExecuteAction_0698f67b_42e1_4324_ba7e_36ef55c5a030" textlink="TM1HomeAEMeasuresCAP">
      <xdr:nvSpPr>
        <xdr:cNvPr id="13" name="TM1Button_0698f67b_42e1_4324_ba7e_36ef55c5a030">
          <a:extLst>
            <a:ext uri="{FF2B5EF4-FFF2-40B4-BE49-F238E27FC236}">
              <a16:creationId xmlns:a16="http://schemas.microsoft.com/office/drawing/2014/main" id="{8EF16983-DF05-7F1B-A989-EE62B3652D9E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70B1CD-3ABD-4BC4-A82A-6E8F1F8FA31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104775</xdr:rowOff>
    </xdr:from>
    <xdr:to>
      <xdr:col>14</xdr:col>
      <xdr:colOff>752475</xdr:colOff>
      <xdr:row>68</xdr:row>
      <xdr:rowOff>114300</xdr:rowOff>
    </xdr:to>
    <xdr:sp macro="Sheet1.ExecuteAction_de4c95dc_e438_4995_9d48_3b066196bb7d" textlink="TM1HomeAEFFCAP">
      <xdr:nvSpPr>
        <xdr:cNvPr id="14" name="TM1Button_de4c95dc_e438_4995_9d48_3b066196bb7d">
          <a:extLst>
            <a:ext uri="{FF2B5EF4-FFF2-40B4-BE49-F238E27FC236}">
              <a16:creationId xmlns:a16="http://schemas.microsoft.com/office/drawing/2014/main" id="{8369184D-57BF-1176-ADDE-9D218A3EE75F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C6C4E1-9FF0-4F85-BBAA-2568FB52DEA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161925</xdr:rowOff>
    </xdr:from>
    <xdr:to>
      <xdr:col>14</xdr:col>
      <xdr:colOff>752475</xdr:colOff>
      <xdr:row>70</xdr:row>
      <xdr:rowOff>38100</xdr:rowOff>
    </xdr:to>
    <xdr:sp macro="Sheet1.ExecuteAction_69512b24_5f1b_43ef_a785_bae8719da80b" textlink="TM1HomeAEAccVarCAP">
      <xdr:nvSpPr>
        <xdr:cNvPr id="15" name="TM1Button_69512b24_5f1b_43ef_a785_bae8719da80b">
          <a:extLst>
            <a:ext uri="{FF2B5EF4-FFF2-40B4-BE49-F238E27FC236}">
              <a16:creationId xmlns:a16="http://schemas.microsoft.com/office/drawing/2014/main" id="{3257A1BC-E948-DD5B-A1D2-0F4E1E89C1A2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7673882-1305-40C7-8DCC-BA0BCE49728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57</xdr:row>
      <xdr:rowOff>47625</xdr:rowOff>
    </xdr:from>
    <xdr:to>
      <xdr:col>13</xdr:col>
      <xdr:colOff>38100</xdr:colOff>
      <xdr:row>59</xdr:row>
      <xdr:rowOff>85725</xdr:rowOff>
    </xdr:to>
    <xdr:sp macro="Sheet1.ExecuteAction_5de3ff14_7446_4e6e_a53e_47a3136d278f" textlink="TM1HomeCAP">
      <xdr:nvSpPr>
        <xdr:cNvPr id="16" name="TM1Button_5de3ff14_7446_4e6e_a53e_47a3136d278f">
          <a:extLst>
            <a:ext uri="{FF2B5EF4-FFF2-40B4-BE49-F238E27FC236}">
              <a16:creationId xmlns:a16="http://schemas.microsoft.com/office/drawing/2014/main" id="{DF23729A-67A3-488B-F132-90271357859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04BCDA-0DE9-40B4-ADEB-8B535A39D1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57</xdr:row>
      <xdr:rowOff>47625</xdr:rowOff>
    </xdr:from>
    <xdr:to>
      <xdr:col>15</xdr:col>
      <xdr:colOff>352425</xdr:colOff>
      <xdr:row>59</xdr:row>
      <xdr:rowOff>85725</xdr:rowOff>
    </xdr:to>
    <xdr:sp macro="Sheet1.ExecuteAction_6db4dacf_e060_431d_bea1_10b94350a6e4" textlink="TM1HomeAECAP">
      <xdr:nvSpPr>
        <xdr:cNvPr id="17" name="TM1Button_6db4dacf_e060_431d_bea1_10b94350a6e4">
          <a:extLst>
            <a:ext uri="{FF2B5EF4-FFF2-40B4-BE49-F238E27FC236}">
              <a16:creationId xmlns:a16="http://schemas.microsoft.com/office/drawing/2014/main" id="{DD290D90-B285-9ABB-34CA-4A23F7905B2A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3EB70D-109E-486E-ADE1-3D0CC0ACB3A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57</xdr:row>
      <xdr:rowOff>38100</xdr:rowOff>
    </xdr:from>
    <xdr:to>
      <xdr:col>19</xdr:col>
      <xdr:colOff>1104900</xdr:colOff>
      <xdr:row>59</xdr:row>
      <xdr:rowOff>76200</xdr:rowOff>
    </xdr:to>
    <xdr:sp macro="Sheet1.ExecuteAction_11db1bd0_f60d_4f2e_a263_17d894a58f55" textlink="TM1HomeRepCAP">
      <xdr:nvSpPr>
        <xdr:cNvPr id="18" name="TM1Button_11db1bd0_f60d_4f2e_a263_17d894a58f55">
          <a:extLst>
            <a:ext uri="{FF2B5EF4-FFF2-40B4-BE49-F238E27FC236}">
              <a16:creationId xmlns:a16="http://schemas.microsoft.com/office/drawing/2014/main" id="{2D9619DC-5A30-EB4B-1BA5-27DCCECC116D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3E4432A-9D22-403B-AA62-1B18911394A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57</xdr:row>
      <xdr:rowOff>38100</xdr:rowOff>
    </xdr:from>
    <xdr:to>
      <xdr:col>22</xdr:col>
      <xdr:colOff>114300</xdr:colOff>
      <xdr:row>59</xdr:row>
      <xdr:rowOff>76200</xdr:rowOff>
    </xdr:to>
    <xdr:sp macro="Sheet1.ExecuteAction_d71a7b85_c8e0_4017_b675_591eb3933764" textlink="TM1HomeAdminCAP">
      <xdr:nvSpPr>
        <xdr:cNvPr id="20" name="TM1Button_d71a7b85_c8e0_4017_b675_591eb3933764">
          <a:extLst>
            <a:ext uri="{FF2B5EF4-FFF2-40B4-BE49-F238E27FC236}">
              <a16:creationId xmlns:a16="http://schemas.microsoft.com/office/drawing/2014/main" id="{717BA732-7765-B5A5-8855-B9FA22A0BE27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1E05702-E646-4517-B38E-1D400E3C8CF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64</xdr:row>
      <xdr:rowOff>0</xdr:rowOff>
    </xdr:to>
    <xdr:sp macro="Sheet1.ExecuteAction_c769d1b9_b315_43c4_8f44_703b0b383b28" textlink="">
      <xdr:nvSpPr>
        <xdr:cNvPr id="23" name="TM1Button_c769d1b9_b315_43c4_8f44_703b0b383b28">
          <a:extLst>
            <a:ext uri="{FF2B5EF4-FFF2-40B4-BE49-F238E27FC236}">
              <a16:creationId xmlns:a16="http://schemas.microsoft.com/office/drawing/2014/main" id="{F632C8D6-5C6E-BF5F-8CAB-08C241C288E3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Group Adjustment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90"/>
  <sheetViews>
    <sheetView showGridLines="0" tabSelected="1" topLeftCell="J54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43.4257812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55</v>
      </c>
      <c r="D2" s="4"/>
    </row>
    <row r="3" spans="2:4" ht="14.45" hidden="1" customHeight="1" outlineLevel="1" x14ac:dyDescent="0.25">
      <c r="B3" s="2" t="s">
        <v>2</v>
      </c>
      <c r="C3" s="10" t="e">
        <f ca="1">_xll.VIEW((db_name&amp;":}ElementAttributes_}Clients"),"!","!")</f>
        <v>#NAME?</v>
      </c>
      <c r="D3" s="4"/>
    </row>
    <row r="4" spans="2:4" ht="14.45" hidden="1" customHeight="1" outlineLevel="1" x14ac:dyDescent="0.25">
      <c r="B4" s="2" t="s">
        <v>3</v>
      </c>
      <c r="C4" s="3" t="e">
        <f ca="1">_xll.TM1USER(db_name)</f>
        <v>#NAME?</v>
      </c>
      <c r="D4" s="4"/>
    </row>
    <row r="5" spans="2:4" ht="14.45" hidden="1" customHeight="1" outlineLevel="1" x14ac:dyDescent="0.25">
      <c r="B5" s="2" t="s">
        <v>4</v>
      </c>
      <c r="C5" s="3" t="e">
        <f ca="1">_xll.DBR($C$3,$C$4,$B5)</f>
        <v>#NAME?</v>
      </c>
      <c r="D5" s="4"/>
    </row>
    <row r="6" spans="2:4" ht="14.45" hidden="1" customHeight="1" outlineLevel="1" x14ac:dyDescent="0.25">
      <c r="B6" s="2" t="s">
        <v>5</v>
      </c>
      <c r="C6" s="3" t="e">
        <f ca="1">_xll.DBR($C$3,$C$4,$B6)</f>
        <v>#NAME?</v>
      </c>
      <c r="D6" s="4"/>
    </row>
    <row r="7" spans="2:4" ht="14.45" hidden="1" customHeight="1" outlineLevel="1" x14ac:dyDescent="0.25">
      <c r="B7" s="2" t="s">
        <v>6</v>
      </c>
      <c r="C7" s="3" t="e">
        <f ca="1">IF((LEFT($C$4,6)="CAM_AD"),$C$5,$C$4)</f>
        <v>#NAME?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e">
        <f ca="1">_xll.VIEW((db_name&amp;":}ElementAttributes_variables"),"!","!")</f>
        <v>#NAME?</v>
      </c>
      <c r="D10" s="1"/>
    </row>
    <row r="11" spans="2:4" ht="14.45" hidden="1" customHeight="1" outlineLevel="1" x14ac:dyDescent="0.25">
      <c r="B11" s="2" t="s">
        <v>9</v>
      </c>
      <c r="C11" s="1" t="e">
        <f ca="1">_xll.DBR($C$10,$B11,"value")</f>
        <v>#NAME?</v>
      </c>
      <c r="D11" s="1"/>
    </row>
    <row r="12" spans="2:4" ht="14.45" hidden="1" customHeight="1" outlineLevel="1" x14ac:dyDescent="0.25">
      <c r="B12" s="2" t="s">
        <v>10</v>
      </c>
      <c r="C12" s="1" t="e">
        <f ca="1">_xll.DBR($C$10,$B12,"value")</f>
        <v>#NAME?</v>
      </c>
      <c r="D12" s="1"/>
    </row>
    <row r="13" spans="2:4" ht="14.45" hidden="1" customHeight="1" outlineLevel="1" x14ac:dyDescent="0.25">
      <c r="B13" s="2" t="s">
        <v>11</v>
      </c>
      <c r="C13" s="1" t="e">
        <f ca="1">_xll.DBR($C$10,$B13,"value")</f>
        <v>#NAME?</v>
      </c>
      <c r="D13" s="1"/>
    </row>
    <row r="14" spans="2:4" ht="14.45" hidden="1" customHeight="1" outlineLevel="1" x14ac:dyDescent="0.25">
      <c r="B14" s="2" t="s">
        <v>12</v>
      </c>
      <c r="C14" s="1" t="e">
        <f ca="1">_xll.DBR($C$10,$B14,"value")</f>
        <v>#NAME?</v>
      </c>
      <c r="D14" s="1"/>
    </row>
    <row r="15" spans="2:4" ht="14.45" hidden="1" customHeight="1" outlineLevel="1" x14ac:dyDescent="0.25">
      <c r="B15" s="2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e">
        <f ca="1">_xll.VIEW((db_name&amp;":sys_client preference"),"!","!","!")</f>
        <v>#NAME?</v>
      </c>
      <c r="D18" s="1"/>
    </row>
    <row r="19" spans="2:13" ht="14.45" hidden="1" customHeight="1" outlineLevel="1" x14ac:dyDescent="0.25">
      <c r="B19" s="2" t="s">
        <v>15</v>
      </c>
      <c r="C19" s="1" t="e">
        <f ca="1">_xll.DBR($C$18,psUser,$B19,"value")</f>
        <v>#NAME?</v>
      </c>
      <c r="D19" s="1"/>
    </row>
    <row r="20" spans="2:13" ht="14.45" hidden="1" customHeight="1" outlineLevel="1" x14ac:dyDescent="0.25">
      <c r="B20" s="2" t="s">
        <v>16</v>
      </c>
      <c r="C20" s="1" t="e">
        <f ca="1">_xll.DBR($C$18,psUser,$B20,"value")</f>
        <v>#NAME?</v>
      </c>
      <c r="D20" s="1"/>
    </row>
    <row r="21" spans="2:13" ht="14.45" hidden="1" customHeight="1" outlineLevel="1" x14ac:dyDescent="0.25">
      <c r="B21" s="2" t="s">
        <v>17</v>
      </c>
      <c r="C21" s="1" t="e">
        <f ca="1">_xll.DBR($C$18,psUser,$B21,"value")</f>
        <v>#NAME?</v>
      </c>
      <c r="D21" s="1"/>
    </row>
    <row r="22" spans="2:13" ht="14.45" hidden="1" customHeight="1" outlineLevel="1" x14ac:dyDescent="0.25">
      <c r="B22" s="2" t="s">
        <v>18</v>
      </c>
      <c r="C22" s="1" t="e">
        <f ca="1">_xll.DBR($C$18,psUser,$B22,"value")</f>
        <v>#NAME?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e">
        <f ca="1">_xll.VIEW((db_name&amp;":sys_application"),"!","!")</f>
        <v>#NAME?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  <c r="M28" t="s">
        <v>24</v>
      </c>
    </row>
    <row r="29" spans="2:13" ht="14.45" hidden="1" customHeight="1" outlineLevel="1" x14ac:dyDescent="0.25">
      <c r="B29" s="1" t="s">
        <v>30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  <c r="M29" t="s">
        <v>25</v>
      </c>
    </row>
    <row r="30" spans="2:13" ht="14.45" hidden="1" customHeight="1" outlineLevel="1" x14ac:dyDescent="0.25">
      <c r="B30" s="1" t="s">
        <v>31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  <c r="M30" t="s">
        <v>26</v>
      </c>
    </row>
    <row r="31" spans="2:13" ht="14.45" hidden="1" customHeight="1" outlineLevel="1" x14ac:dyDescent="0.25">
      <c r="B31" s="1" t="s">
        <v>32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  <c r="M31" t="s">
        <v>27</v>
      </c>
    </row>
    <row r="32" spans="2:13" ht="14.45" hidden="1" customHeight="1" outlineLevel="1" x14ac:dyDescent="0.25">
      <c r="B32" s="1" t="s">
        <v>33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  <c r="M32" t="s">
        <v>28</v>
      </c>
    </row>
    <row r="33" spans="2:13" ht="14.45" hidden="1" customHeight="1" outlineLevel="1" x14ac:dyDescent="0.25">
      <c r="B33" s="1" t="s">
        <v>34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  <c r="M33" t="s">
        <v>35</v>
      </c>
    </row>
    <row r="34" spans="2:13" ht="14.45" hidden="1" customHeight="1" outlineLevel="1" x14ac:dyDescent="0.25">
      <c r="B34" s="1" t="s">
        <v>36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13" ht="14.45" hidden="1" customHeight="1" outlineLevel="1" x14ac:dyDescent="0.25">
      <c r="B35" s="1" t="s">
        <v>37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13" ht="14.45" hidden="1" customHeight="1" outlineLevel="1" x14ac:dyDescent="0.25">
      <c r="B36" s="1" t="s">
        <v>38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13" ht="14.45" hidden="1" customHeight="1" outlineLevel="1" x14ac:dyDescent="0.25">
      <c r="B37" s="1" t="s">
        <v>54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13" ht="14.45" hidden="1" customHeight="1" outlineLevel="1" x14ac:dyDescent="0.25">
      <c r="B38" s="1" t="s">
        <v>39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13" ht="14.45" hidden="1" customHeight="1" outlineLevel="1" x14ac:dyDescent="0.25">
      <c r="B39" s="1" t="s">
        <v>40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13" ht="14.45" hidden="1" customHeight="1" outlineLevel="1" x14ac:dyDescent="0.25">
      <c r="B40" s="1" t="s">
        <v>41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13" ht="14.45" hidden="1" customHeight="1" outlineLevel="1" x14ac:dyDescent="0.25">
      <c r="B41" s="1" t="s">
        <v>42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13" ht="14.45" hidden="1" customHeight="1" outlineLevel="1" x14ac:dyDescent="0.25">
      <c r="B42" s="1" t="s">
        <v>43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13" ht="14.45" hidden="1" customHeight="1" outlineLevel="1" x14ac:dyDescent="0.25">
      <c r="B43" s="1" t="s">
        <v>44</v>
      </c>
      <c r="C43" s="1" t="e">
        <f ca="1">_xll.DBR($C$26,$B43,C$27)</f>
        <v>#NAME?</v>
      </c>
      <c r="D43" s="1" t="e">
        <f ca="1">_xll.DBR($C$26,$B43,D$27)</f>
        <v>#NAME?</v>
      </c>
      <c r="E43" s="1" t="e">
        <f ca="1">_xll.DBR($C$26,$B43,E$27)</f>
        <v>#NAME?</v>
      </c>
      <c r="F43" s="1" t="e">
        <f ca="1">_xll.DBR($C$26,$B43,F$27)</f>
        <v>#NAME?</v>
      </c>
      <c r="G43" s="1" t="e">
        <f ca="1">_xll.DBR($C$26,$B43,G$27)</f>
        <v>#NAME?</v>
      </c>
      <c r="H43" s="1" t="e">
        <f ca="1">_xll.DBR($C$26,$B43,H$27)</f>
        <v>#NAME?</v>
      </c>
    </row>
    <row r="44" spans="2:13" ht="14.45" hidden="1" customHeight="1" outlineLevel="1" x14ac:dyDescent="0.25">
      <c r="B44" s="1" t="s">
        <v>45</v>
      </c>
      <c r="C44" s="1" t="e">
        <f ca="1">_xll.DBR($C$26,$B44,C$27)</f>
        <v>#NAME?</v>
      </c>
      <c r="D44" s="1" t="e">
        <f ca="1">_xll.DBR($C$26,$B44,D$27)</f>
        <v>#NAME?</v>
      </c>
      <c r="E44" s="1" t="e">
        <f ca="1">_xll.DBR($C$26,$B44,E$27)</f>
        <v>#NAME?</v>
      </c>
      <c r="F44" s="1" t="e">
        <f ca="1">_xll.DBR($C$26,$B44,F$27)</f>
        <v>#NAME?</v>
      </c>
      <c r="G44" s="1" t="e">
        <f ca="1">_xll.DBR($C$26,$B44,G$27)</f>
        <v>#NAME?</v>
      </c>
      <c r="H44" s="1" t="e">
        <f ca="1">_xll.DBR($C$26,$B44,H$27)</f>
        <v>#NAME?</v>
      </c>
    </row>
    <row r="45" spans="2:13" ht="14.45" hidden="1" customHeight="1" outlineLevel="1" x14ac:dyDescent="0.25">
      <c r="B45" s="1" t="s">
        <v>46</v>
      </c>
      <c r="C45" s="1" t="e">
        <f ca="1">_xll.DBR($C$26,$B45,C$27)</f>
        <v>#NAME?</v>
      </c>
      <c r="D45" s="1" t="e">
        <f ca="1">_xll.DBR($C$26,$B45,D$27)</f>
        <v>#NAME?</v>
      </c>
      <c r="E45" s="1" t="e">
        <f ca="1">_xll.DBR($C$26,$B45,E$27)</f>
        <v>#NAME?</v>
      </c>
      <c r="F45" s="1" t="e">
        <f ca="1">_xll.DBR($C$26,$B45,F$27)</f>
        <v>#NAME?</v>
      </c>
      <c r="G45" s="1" t="e">
        <f ca="1">_xll.DBR($C$26,$B45,G$27)</f>
        <v>#NAME?</v>
      </c>
      <c r="H45" s="1" t="e">
        <f ca="1">_xll.DBR($C$26,$B45,H$27)</f>
        <v>#NAME?</v>
      </c>
    </row>
    <row r="46" spans="2:13" ht="14.45" hidden="1" customHeight="1" outlineLevel="1" x14ac:dyDescent="0.25">
      <c r="B46" s="1" t="s">
        <v>47</v>
      </c>
      <c r="C46" s="1" t="e">
        <f ca="1">_xll.DBR($C$26,$B46,C$27)</f>
        <v>#NAME?</v>
      </c>
      <c r="D46" s="1" t="e">
        <f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13" ht="14.45" hidden="1" customHeight="1" outlineLevel="1" x14ac:dyDescent="0.25">
      <c r="B47" s="1" t="s">
        <v>48</v>
      </c>
      <c r="C47" s="1" t="e">
        <f ca="1">_xll.DBR($C$26,$B47,C$27)</f>
        <v>#NAME?</v>
      </c>
      <c r="D47" s="1" t="e">
        <f ca="1">_xll.DBR($C$26,$B47,D$27)</f>
        <v>#NAME?</v>
      </c>
      <c r="E47" s="1" t="e">
        <f ca="1">_xll.DBR($C$26,$B47,E$27)</f>
        <v>#NAME?</v>
      </c>
      <c r="F47" s="1" t="e">
        <f ca="1">_xll.DBR($C$26,$B47,F$27)</f>
        <v>#NAME?</v>
      </c>
      <c r="G47" s="1" t="e">
        <f ca="1">_xll.DBR($C$26,$B47,G$27)</f>
        <v>#NAME?</v>
      </c>
      <c r="H47" s="1" t="e">
        <f ca="1">_xll.DBR($C$26,$B47,H$27)</f>
        <v>#NAME?</v>
      </c>
    </row>
    <row r="48" spans="2:13" ht="14.45" hidden="1" customHeight="1" outlineLevel="1" x14ac:dyDescent="0.25"/>
    <row r="49" spans="10:23" ht="14.45" hidden="1" customHeight="1" outlineLevel="1" x14ac:dyDescent="0.25"/>
    <row r="50" spans="10:23" ht="14.45" hidden="1" customHeight="1" outlineLevel="1" x14ac:dyDescent="0.25"/>
    <row r="51" spans="10:23" ht="14.45" hidden="1" customHeight="1" outlineLevel="1" x14ac:dyDescent="0.25"/>
    <row r="52" spans="10:23" ht="14.45" hidden="1" customHeight="1" outlineLevel="1" x14ac:dyDescent="0.25"/>
    <row r="53" spans="10:23" ht="14.45" hidden="1" customHeight="1" outlineLevel="1" x14ac:dyDescent="0.25"/>
    <row r="54" spans="10:23" ht="39.75" customHeight="1" collapsed="1" x14ac:dyDescent="0.25"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11" t="e">
        <f ca="1">("Welcome "&amp;psUser)</f>
        <v>#NAME?</v>
      </c>
    </row>
    <row r="55" spans="10:23" ht="4.5" customHeight="1" x14ac:dyDescent="0.25"/>
    <row r="56" spans="10:23" ht="30" customHeight="1" x14ac:dyDescent="0.25">
      <c r="J56" s="6"/>
      <c r="K56" s="19" t="e">
        <f ca="1">$C$15</f>
        <v>#NAME?</v>
      </c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6"/>
      <c r="W56" s="6"/>
    </row>
    <row r="57" spans="10:23" ht="4.5" customHeight="1" x14ac:dyDescent="0.25"/>
    <row r="61" spans="10:23" ht="24.75" customHeight="1" x14ac:dyDescent="0.25">
      <c r="J61" s="7"/>
      <c r="K61" s="7"/>
      <c r="L61" s="14" t="s">
        <v>49</v>
      </c>
      <c r="M61" s="14"/>
      <c r="N61" s="14"/>
      <c r="O61" s="14"/>
      <c r="P61" s="5"/>
      <c r="R61" s="8"/>
      <c r="S61" s="15" t="s">
        <v>50</v>
      </c>
      <c r="T61" s="15"/>
      <c r="U61" s="15"/>
      <c r="V61" s="15"/>
      <c r="W61" s="8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4.4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4.4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14.4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14.4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14.4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14.4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14.45" customHeight="1" x14ac:dyDescent="0.25">
      <c r="K90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61:O61"/>
    <mergeCell ref="S61:V61"/>
    <mergeCell ref="B1:D1"/>
    <mergeCell ref="B9:D9"/>
    <mergeCell ref="B17:D17"/>
    <mergeCell ref="B25:D25"/>
    <mergeCell ref="K56:U56"/>
  </mergeCells>
  <conditionalFormatting sqref="R61:W6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51</v>
      </c>
    </row>
    <row r="2" spans="1:1" ht="14.45" customHeight="1" x14ac:dyDescent="0.25">
      <c r="A2" t="s">
        <v>52</v>
      </c>
    </row>
    <row r="3" spans="1:1" ht="14.45" customHeight="1" x14ac:dyDescent="0.25">
      <c r="A3" t="s">
        <v>53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TM1BulkProcessCAP</vt:lpstr>
      <vt:lpstr>TM1BulkProcessWB</vt:lpstr>
      <vt:lpstr>TM1BulkProcessWS</vt:lpstr>
      <vt:lpstr>TM1GrpNewAdj01AHeaderCAP</vt:lpstr>
      <vt:lpstr>TM1GrpNewAdj01AHeaderWB</vt:lpstr>
      <vt:lpstr>TM1GrpNewAdj01AHeaderWS</vt:lpstr>
      <vt:lpstr>TM1GrpNewAdj01HeaderCAP</vt:lpstr>
      <vt:lpstr>TM1GrpNewAdj01HeaderWB</vt:lpstr>
      <vt:lpstr>TM1GrpNewAdj01HeaderWS</vt:lpstr>
      <vt:lpstr>TM1GrpNewAdj08RecogDataEntryCAP</vt:lpstr>
      <vt:lpstr>TM1GrpNewAdj08RecogDataEntryWB</vt:lpstr>
      <vt:lpstr>TM1GrpNewAdj08RecogDataEntryWS</vt:lpstr>
      <vt:lpstr>TM1GrpNewAdj97UploadCAP</vt:lpstr>
      <vt:lpstr>TM1GrpNewAdj97UploadWB</vt:lpstr>
      <vt:lpstr>TM1GrpNewAdj97UploadWS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TM1NewAdj97UploadCAP</vt:lpstr>
      <vt:lpstr>TM1NewAdj97UploadWB</vt:lpstr>
      <vt:lpstr>TM1NewAdj97UploadWS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2023-04-03T06:27:54Z</dcterms:created>
  <dcterms:modified xsi:type="dcterms:W3CDTF">2025-08-11T06:20:06Z</dcterms:modified>
  <cp:category/>
  <cp:contentStatus/>
</cp:coreProperties>
</file>