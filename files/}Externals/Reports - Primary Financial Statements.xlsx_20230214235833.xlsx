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02CA034-50FD-42C4-9A02-9573BEB8EBB9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ort" sheetId="1" r:id="rId1"/>
  </sheets>
  <definedNames>
    <definedName name="db_name">report!$C$12</definedName>
    <definedName name="Freeze_Here">report!#REF!</definedName>
    <definedName name="PL_progtype_list">report!$B$66:$B$67</definedName>
    <definedName name="PL_progtype_lookup">report!$B$66:$D$67</definedName>
    <definedName name="psApp">report!$C$27</definedName>
    <definedName name="psProgDimName">report!$C$23</definedName>
    <definedName name="psUser">report!$C$14</definedName>
    <definedName name="TargetCells">report!$N$100:$N$100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DATARNG1" localSheetId="0">report!$94:$94</definedName>
    <definedName name="TM1RPTDATARNGARPT1" localSheetId="0">report!$97:$97</definedName>
    <definedName name="TM1RPTDATARNGARPT1">report!$97:$97</definedName>
    <definedName name="TM1RPTDATARNGARPT2" localSheetId="0">report!$100:$100</definedName>
    <definedName name="TM1RPTFMTIDCOL" localSheetId="0">report!$A$1:$A$8</definedName>
    <definedName name="TM1RPTFMTRNG" localSheetId="0">report!$B$1:$V$8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20" i="1" a="1"/>
  <c r="C20" i="1"/>
  <c r="C21" i="1" a="1"/>
  <c r="C21" i="1"/>
  <c r="O84" i="1" a="1"/>
  <c r="O84" i="1"/>
  <c r="C22" i="1" a="1"/>
  <c r="C22" i="1"/>
  <c r="O85" i="1" a="1"/>
  <c r="O85" i="1"/>
  <c r="O86" i="1"/>
  <c r="C44" i="1" a="1"/>
  <c r="C45" i="1" a="1"/>
  <c r="C46" i="1" a="1"/>
  <c r="C47" i="1" a="1"/>
  <c r="C48" i="1" a="1"/>
  <c r="C49" i="1" a="1"/>
  <c r="C50" i="1" a="1"/>
  <c r="C51" i="1" a="1"/>
  <c r="C52" i="1" a="1"/>
  <c r="C53" i="1" a="1"/>
  <c r="C23" i="1" a="1"/>
  <c r="C23" i="1"/>
  <c r="S84" i="1" a="1"/>
  <c r="S84" i="1"/>
  <c r="O87" i="1" a="1"/>
  <c r="O87" i="1"/>
  <c r="C66" i="1"/>
  <c r="C71" i="1"/>
  <c r="D71" i="1"/>
  <c r="O100" i="1" a="1"/>
  <c r="D63" i="1"/>
  <c r="N100" i="1"/>
  <c r="C56" i="1" a="1"/>
  <c r="C57" i="1" a="1"/>
  <c r="N20" i="1"/>
  <c r="Q20" i="1" a="1"/>
  <c r="C44" i="1"/>
  <c r="C45" i="1"/>
  <c r="C46" i="1"/>
  <c r="C47" i="1"/>
  <c r="C48" i="1"/>
  <c r="C49" i="1"/>
  <c r="C50" i="1"/>
  <c r="C51" i="1"/>
  <c r="C52" i="1"/>
  <c r="C53" i="1"/>
  <c r="O100" i="1"/>
  <c r="C56" i="1"/>
  <c r="C57" i="1"/>
  <c r="Q20" i="1"/>
  <c r="Q100" i="1" a="1"/>
  <c r="Q100" i="1"/>
  <c r="C38" i="1"/>
  <c r="C70" i="1"/>
  <c r="D70" i="1"/>
  <c r="O97" i="1" a="1"/>
  <c r="O97" i="1"/>
  <c r="D62" i="1"/>
  <c r="N97" i="1"/>
  <c r="Q97" i="1" a="1"/>
  <c r="Q97" i="1"/>
  <c r="C37" i="1" a="1"/>
  <c r="C37" i="1"/>
  <c r="C69" i="1"/>
  <c r="D69" i="1"/>
  <c r="O94" i="1" a="1"/>
  <c r="O94" i="1"/>
  <c r="D61" i="1"/>
  <c r="N94" i="1" a="1"/>
  <c r="N94" i="1"/>
  <c r="Q94" i="1" a="1"/>
  <c r="Q94" i="1"/>
  <c r="Q89" i="1"/>
  <c r="C40" i="1"/>
  <c r="C26" i="1"/>
  <c r="C41" i="1" a="1"/>
  <c r="C41" i="1"/>
  <c r="V20" i="1" a="1"/>
  <c r="V20" i="1"/>
  <c r="U20" i="1" a="1"/>
  <c r="U20" i="1"/>
  <c r="T20" i="1" a="1"/>
  <c r="T20" i="1"/>
  <c r="S20" i="1" a="1"/>
  <c r="S20" i="1"/>
  <c r="R20" i="1" a="1"/>
  <c r="R20" i="1"/>
  <c r="V100" i="1" a="1"/>
  <c r="V100" i="1"/>
  <c r="U100" i="1" a="1"/>
  <c r="U100" i="1"/>
  <c r="T100" i="1" a="1"/>
  <c r="T100" i="1"/>
  <c r="S100" i="1" a="1"/>
  <c r="S100" i="1"/>
  <c r="R100" i="1" a="1"/>
  <c r="R100" i="1"/>
  <c r="K100" i="1" a="1"/>
  <c r="K100" i="1"/>
  <c r="A100" i="1" a="1"/>
  <c r="A100" i="1"/>
  <c r="V97" i="1" a="1"/>
  <c r="V97" i="1"/>
  <c r="U97" i="1" a="1"/>
  <c r="U97" i="1"/>
  <c r="T97" i="1" a="1"/>
  <c r="T97" i="1"/>
  <c r="S97" i="1" a="1"/>
  <c r="S97" i="1"/>
  <c r="R97" i="1" a="1"/>
  <c r="R97" i="1"/>
  <c r="K97" i="1" a="1"/>
  <c r="K97" i="1"/>
  <c r="A97" i="1" a="1"/>
  <c r="A97" i="1"/>
  <c r="V94" i="1" a="1"/>
  <c r="V94" i="1"/>
  <c r="U94" i="1" a="1"/>
  <c r="U94" i="1"/>
  <c r="T94" i="1" a="1"/>
  <c r="T94" i="1"/>
  <c r="S94" i="1" a="1"/>
  <c r="S94" i="1"/>
  <c r="R94" i="1" a="1"/>
  <c r="R94" i="1"/>
  <c r="K94" i="1" a="1"/>
  <c r="K94" i="1"/>
  <c r="A94" i="1" a="1"/>
  <c r="A94" i="1"/>
  <c r="S86" i="1" a="1"/>
  <c r="S86" i="1"/>
  <c r="S85" i="1" a="1"/>
  <c r="S8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C17" i="1"/>
  <c r="U87" i="1"/>
  <c r="P100" i="1"/>
  <c r="P97" i="1"/>
  <c r="P94" i="1"/>
  <c r="C73" i="1"/>
  <c r="C72" i="1"/>
  <c r="C67" i="1"/>
  <c r="V89" i="1"/>
  <c r="U89" i="1"/>
  <c r="T89" i="1"/>
  <c r="S89" i="1"/>
  <c r="R89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<sst xmlns="http://schemas.openxmlformats.org/spreadsheetml/2006/main" count="108" uniqueCount="96">
  <si>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</si>
  <si>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</si>
  <si>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</si>
  <si>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</si>
  <si>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</si>
  <si>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</si>
  <si>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</si>
  <si>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</si>
  <si>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</si>
  <si>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</si>
  <si>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</si>
  <si>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id</t>
  </si>
  <si>
    <t>jurisdiction</t>
  </si>
  <si>
    <t>D</t>
  </si>
  <si>
    <t>N</t>
  </si>
  <si>
    <t>[Begin Format Range]</t>
  </si>
  <si>
    <t>[End Format Range]</t>
  </si>
  <si>
    <t>System Parameters</t>
  </si>
  <si>
    <t>Dataabase Name</t>
  </si>
  <si>
    <t xml:space="preserve">System Variables </t>
  </si>
  <si>
    <t>Period Variables</t>
  </si>
  <si>
    <t>headline scenario</t>
  </si>
  <si>
    <t>current</t>
  </si>
  <si>
    <t>Report Variables</t>
  </si>
  <si>
    <t>IS AF RPTView</t>
  </si>
  <si>
    <t>BS AF RPTView</t>
  </si>
  <si>
    <t>CFS AF RPT View</t>
  </si>
  <si>
    <t>AE Adj Cube Slice</t>
  </si>
  <si>
    <t>DR/CR Slice View</t>
  </si>
  <si>
    <t xml:space="preserve">Headline year:    </t>
  </si>
  <si>
    <t>See Rreport Parameters</t>
  </si>
  <si>
    <t xml:space="preserve">Scenario:    </t>
  </si>
  <si>
    <t xml:space="preserve">Programme:    </t>
  </si>
  <si>
    <t>Account:</t>
  </si>
  <si>
    <t>See MDX</t>
  </si>
  <si>
    <t>Period</t>
  </si>
  <si>
    <t>See Period Variables</t>
  </si>
  <si>
    <t>Report MDX</t>
  </si>
  <si>
    <t>IS Account MDX</t>
  </si>
  <si>
    <t>BS Account MDX</t>
  </si>
  <si>
    <t>CFS Account MDX</t>
  </si>
  <si>
    <t>Programmes MDX</t>
  </si>
  <si>
    <t>Drill Function</t>
  </si>
  <si>
    <t/>
  </si>
  <si>
    <t>Report Parameters:</t>
  </si>
  <si>
    <t>Income</t>
  </si>
  <si>
    <t>Balance Sheet</t>
  </si>
  <si>
    <t>CashFlow</t>
  </si>
  <si>
    <t>Income Statement</t>
  </si>
  <si>
    <t>Cash Flow Statement</t>
  </si>
  <si>
    <t>MDX To Use</t>
  </si>
  <si>
    <t>Cash Flow</t>
  </si>
  <si>
    <t>REPORT PARAMETERS</t>
  </si>
  <si>
    <t>RB</t>
  </si>
  <si>
    <t>NB</t>
  </si>
  <si>
    <t>FE1</t>
  </si>
  <si>
    <t>FE2</t>
  </si>
  <si>
    <t>FE3</t>
  </si>
  <si>
    <t>ACCOUNT</t>
  </si>
  <si>
    <t>DR/CR</t>
  </si>
  <si>
    <t>$'000</t>
  </si>
  <si>
    <t>PROGRAM</t>
  </si>
  <si>
    <t>sys_application</t>
  </si>
  <si>
    <t>Slice View</t>
  </si>
  <si>
    <t>Current Workbook</t>
  </si>
  <si>
    <t>Reports - Primary Financial Statements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</si>
  <si>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</si>
  <si>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</si>
  <si>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</si>
  <si>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</si>
  <si>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</si>
  <si>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</si>
  <si>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</si>
  <si>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</si>
  <si>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</si>
  <si>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program dimension name</t>
  </si>
  <si>
    <t>VIEW</t>
  </si>
  <si>
    <t xml:space="preserve">Financial Statements </t>
  </si>
  <si>
    <t>DISPLAY SETTINGS</t>
  </si>
  <si>
    <t>Collapse</t>
  </si>
  <si>
    <t>Expand</t>
  </si>
  <si>
    <t>Homepage - Reports - Other</t>
  </si>
  <si>
    <t>As at</t>
  </si>
  <si>
    <t>}Clients</t>
  </si>
  <si>
    <t>TM1 User</t>
  </si>
  <si>
    <t>}TM1_DefaultDisplayValue</t>
  </si>
  <si>
    <t>GEUS User Name</t>
  </si>
  <si>
    <t>Current User</t>
  </si>
  <si>
    <t xml:space="preserve">Headline Year : </t>
  </si>
  <si>
    <t>Scenario :</t>
  </si>
  <si>
    <t>Status :</t>
  </si>
  <si>
    <t>Program :</t>
  </si>
  <si>
    <t>Homepage - Reports - Analytical</t>
  </si>
  <si>
    <t>Other Reports - Trial Balance Drill</t>
  </si>
  <si>
    <t>PA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</si>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</sst>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+ &quot;@"/>
    <numFmt numFmtId="166" formatCode="_-* #,##0_-;[Red]* \(#,##0\)_-;_-* &quot;-&quot;??_-;_-@_-"/>
    <numFmt numFmtId="167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426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3" fillId="0" borderId="6" xfId="0" applyFont="1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0" fillId="2" borderId="12" xfId="0" applyFill="1" applyBorder="1"/>
    <xf numFmtId="0" fontId="3" fillId="0" borderId="9" xfId="0" applyFont="1" applyBorder="1"/>
    <xf numFmtId="0" fontId="0" fillId="2" borderId="10" xfId="0" applyFill="1" applyBorder="1"/>
    <xf numFmtId="0" fontId="5" fillId="0" borderId="8" xfId="0" quotePrefix="1" applyFont="1" applyBorder="1"/>
    <xf numFmtId="0" fontId="6" fillId="0" borderId="7" xfId="0" applyFont="1" applyBorder="1"/>
    <xf numFmtId="0" fontId="5" fillId="0" borderId="8" xfId="0" applyFont="1" applyBorder="1"/>
    <xf numFmtId="0" fontId="6" fillId="0" borderId="0" xfId="0" applyFont="1"/>
    <xf numFmtId="0" fontId="3" fillId="2" borderId="2" xfId="0" applyFont="1" applyFill="1" applyBorder="1"/>
    <xf numFmtId="0" fontId="3" fillId="2" borderId="15" xfId="0" applyFont="1" applyFill="1" applyBorder="1"/>
    <xf numFmtId="0" fontId="7" fillId="2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7" xfId="0" applyFont="1" applyBorder="1"/>
    <xf numFmtId="0" fontId="0" fillId="0" borderId="0" xfId="0" quotePrefix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7" fillId="4" borderId="0" xfId="2" applyNumberFormat="1" applyFont="1" applyFill="1"/>
    <xf numFmtId="166" fontId="7" fillId="4" borderId="19" xfId="2" applyNumberFormat="1" applyFont="1" applyFill="1" applyBorder="1"/>
    <xf numFmtId="166" fontId="5" fillId="0" borderId="0" xfId="2" applyNumberFormat="1" applyFont="1"/>
    <xf numFmtId="166" fontId="5" fillId="0" borderId="19" xfId="2" applyNumberFormat="1" applyFont="1" applyBorder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1" xfId="0" applyBorder="1"/>
    <xf numFmtId="0" fontId="7" fillId="4" borderId="1" xfId="0" applyFont="1" applyFill="1" applyBorder="1"/>
    <xf numFmtId="0" fontId="5" fillId="0" borderId="1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6" fillId="0" borderId="8" xfId="0" applyFont="1" applyBorder="1"/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0" fontId="2" fillId="5" borderId="8" xfId="0" applyFont="1" applyFill="1" applyBorder="1" applyAlignment="1">
      <alignment horizontal="center" wrapText="1"/>
    </xf>
    <xf numFmtId="0" fontId="3" fillId="0" borderId="1" xfId="0" applyFont="1" applyBorder="1"/>
    <xf numFmtId="0" fontId="0" fillId="0" borderId="1" xfId="0" applyBorder="1"/>
    <xf numFmtId="0" fontId="7" fillId="4" borderId="19" xfId="0" applyFont="1" applyFill="1" applyBorder="1"/>
    <xf numFmtId="0" fontId="7" fillId="4" borderId="1" xfId="0" applyFont="1" applyFill="1" applyBorder="1" applyAlignment="1">
      <alignment horizontal="center"/>
    </xf>
    <xf numFmtId="166" fontId="7" fillId="4" borderId="26" xfId="2" applyNumberFormat="1" applyFont="1" applyFill="1" applyBorder="1"/>
    <xf numFmtId="0" fontId="5" fillId="0" borderId="19" xfId="0" applyFont="1" applyBorder="1"/>
    <xf numFmtId="0" fontId="5" fillId="0" borderId="1" xfId="0" applyFont="1" applyBorder="1" applyAlignment="1">
      <alignment horizontal="center"/>
    </xf>
    <xf numFmtId="166" fontId="5" fillId="0" borderId="26" xfId="2" applyNumberFormat="1" applyFont="1" applyBorder="1"/>
    <xf numFmtId="165" fontId="5" fillId="0" borderId="19" xfId="0" applyNumberFormat="1" applyFont="1" applyBorder="1"/>
    <xf numFmtId="0" fontId="12" fillId="0" borderId="5" xfId="0" applyFont="1" applyBorder="1"/>
    <xf numFmtId="0" fontId="11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49" fontId="5" fillId="0" borderId="1" xfId="0" applyNumberFormat="1" applyFont="1" applyBorder="1" applyAlignment="1">
      <alignment horizontal="left" indent="7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0" fillId="0" borderId="14" xfId="0" applyBorder="1"/>
    <xf numFmtId="0" fontId="0" fillId="0" borderId="22" xfId="0" applyBorder="1"/>
    <xf numFmtId="0" fontId="0" fillId="0" borderId="8" xfId="0" quotePrefix="1" applyBorder="1"/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right" vertical="center"/>
    </xf>
    <xf numFmtId="0" fontId="0" fillId="0" borderId="8" xfId="0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8" xfId="0" applyBorder="1" applyAlignment="1">
      <alignment horizontal="left"/>
    </xf>
    <xf numFmtId="49" fontId="5" fillId="0" borderId="1" xfId="0" applyNumberFormat="1" applyFont="1" applyBorder="1" applyAlignment="1">
      <alignment horizontal="left" indent="2"/>
    </xf>
    <xf numFmtId="49" fontId="5" fillId="0" borderId="1" xfId="0" applyNumberFormat="1" applyFont="1" applyBorder="1" applyAlignment="1">
      <alignment horizontal="left" indent="6"/>
    </xf>
    <xf numFmtId="0" fontId="0" fillId="0" borderId="8" xfId="0" applyBorder="1" applyAlignment="1" applyProtection="1">
      <alignment horizontal="left" indent="1"/>
      <protection locked="0"/>
    </xf>
    <xf numFmtId="166" fontId="7" fillId="4" borderId="0" xfId="2" applyNumberFormat="1" applyFont="1" applyFill="1" applyBorder="1"/>
    <xf numFmtId="166" fontId="5" fillId="0" borderId="0" xfId="2" applyNumberFormat="1" applyFont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7" fontId="3" fillId="0" borderId="0" xfId="0" applyNumberFormat="1" applyFont="1" applyAlignment="1">
      <alignment horizontal="left" indent="1"/>
    </xf>
    <xf numFmtId="0" fontId="2" fillId="5" borderId="26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3">
    <cellStyle name="Comma 4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77</xdr:row>
      <xdr:rowOff>28575</xdr:rowOff>
    </xdr:from>
    <xdr:to>
      <xdr:col>13</xdr:col>
      <xdr:colOff>1845522</xdr:colOff>
      <xdr:row>77</xdr:row>
      <xdr:rowOff>474345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6457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28575</xdr:colOff>
          <xdr:row>79</xdr:row>
          <xdr:rowOff>0</xdr:rowOff>
        </xdr:from>
        <xdr:to>
          <xdr:col>13</xdr:col>
          <xdr:colOff>666750</xdr:colOff>
          <xdr:row>79</xdr:row>
          <xdr:rowOff>247650</xdr:rowOff>
        </xdr:to>
        <xdr:sp macro="" textlink="">
          <xdr:nvSpPr>
            <xdr:cNvPr id="1034" name="TIButton2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2686050</xdr:colOff>
          <xdr:row>79</xdr:row>
          <xdr:rowOff>0</xdr:rowOff>
        </xdr:from>
        <xdr:to>
          <xdr:col>15</xdr:col>
          <xdr:colOff>85725</xdr:colOff>
          <xdr:row>79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704850</xdr:colOff>
          <xdr:row>79</xdr:row>
          <xdr:rowOff>0</xdr:rowOff>
        </xdr:from>
        <xdr:to>
          <xdr:col>13</xdr:col>
          <xdr:colOff>1828800</xdr:colOff>
          <xdr:row>79</xdr:row>
          <xdr:rowOff>247650</xdr:rowOff>
        </xdr:to>
        <xdr:sp macro="" textlink="">
          <xdr:nvSpPr>
            <xdr:cNvPr id="1036" name="TIButton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723900</xdr:colOff>
          <xdr:row>78</xdr:row>
          <xdr:rowOff>38100</xdr:rowOff>
        </xdr:from>
        <xdr:to>
          <xdr:col>21</xdr:col>
          <xdr:colOff>1047750</xdr:colOff>
          <xdr:row>79</xdr:row>
          <xdr:rowOff>285750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1857375</xdr:colOff>
          <xdr:row>79</xdr:row>
          <xdr:rowOff>0</xdr:rowOff>
        </xdr:from>
        <xdr:to>
          <xdr:col>13</xdr:col>
          <xdr:colOff>3209925</xdr:colOff>
          <xdr:row>79</xdr:row>
          <xdr:rowOff>247650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3228975</xdr:colOff>
          <xdr:row>79</xdr:row>
          <xdr:rowOff>0</xdr:rowOff>
        </xdr:from>
        <xdr:to>
          <xdr:col>14</xdr:col>
          <xdr:colOff>1400175</xdr:colOff>
          <xdr:row>79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1428750</xdr:colOff>
          <xdr:row>79</xdr:row>
          <xdr:rowOff>0</xdr:rowOff>
        </xdr:from>
        <xdr:to>
          <xdr:col>14</xdr:col>
          <xdr:colOff>2638425</xdr:colOff>
          <xdr:row>79</xdr:row>
          <xdr:rowOff>247650</xdr:rowOff>
        </xdr:to>
        <xdr:sp macro="" textlink="">
          <xdr:nvSpPr>
            <xdr:cNvPr id="1040" name="TIButton7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01"/>
  <sheetViews>
    <sheetView showGridLines="0" tabSelected="1" topLeftCell="M78" workbookViewId="0">
      <pane ySplit="14" topLeftCell="A92" activePane="bottomLeft" state="frozen"/>
      <selection activeCell="M78" sqref="M78"/>
      <selection pane="bottomLeft" activeCell="O78" sqref="O78"/>
    </sheetView>
  </sheetViews>
  <sheetFormatPr defaultColWidth="15.7109375" defaultRowHeight="15" outlineLevelRow="1" outlineLevelCol="1" x14ac:dyDescent="0.25"/>
  <cols>
    <col min="1" max="1" width="20.28515625" hidden="1" customWidth="1" outlineLevel="1"/>
    <col min="2" max="2" width="15.7109375" hidden="1" customWidth="1" outlineLevel="1"/>
    <col min="3" max="3" width="33.7109375" hidden="1" customWidth="1" outlineLevel="1"/>
    <col min="4" max="12" width="15.7109375" hidden="1" customWidth="1" outlineLevel="1"/>
    <col min="13" max="13" width="0.85546875" customWidth="1" collapsed="1"/>
    <col min="14" max="15" width="50.7109375" customWidth="1"/>
    <col min="16" max="16" width="6.7109375" customWidth="1"/>
    <col min="17" max="17" width="15.7109375" customWidth="1"/>
  </cols>
  <sheetData>
    <row r="1" spans="1:22" hidden="1" outlineLevel="1" x14ac:dyDescent="0.25">
      <c r="A1" t="s">
        <v>15</v>
      </c>
    </row>
    <row r="2" spans="1:22" hidden="1" outlineLevel="1" x14ac:dyDescent="0.25">
      <c r="A2">
        <f>0</f>
        <v>0</v>
      </c>
      <c r="B2" s="49"/>
      <c r="D2" s="2"/>
      <c r="E2" s="2"/>
      <c r="F2" s="2"/>
      <c r="G2" s="2"/>
      <c r="H2" s="2"/>
      <c r="I2" s="2"/>
      <c r="J2" s="2"/>
      <c r="K2" s="20"/>
      <c r="L2" s="2"/>
      <c r="M2" s="2"/>
      <c r="N2" s="38"/>
      <c r="O2" s="51"/>
      <c r="P2" s="52"/>
      <c r="Q2" s="53"/>
      <c r="R2" s="76"/>
      <c r="S2" s="31"/>
      <c r="T2" s="31"/>
      <c r="U2" s="31"/>
      <c r="V2" s="32"/>
    </row>
    <row r="3" spans="1:22" hidden="1" outlineLevel="1" x14ac:dyDescent="0.25">
      <c r="A3">
        <f>1</f>
        <v>1</v>
      </c>
      <c r="B3" s="50"/>
      <c r="D3" s="2"/>
      <c r="E3" s="2"/>
      <c r="F3" s="2"/>
      <c r="G3" s="2"/>
      <c r="H3" s="2"/>
      <c r="I3" s="2"/>
      <c r="J3" s="2"/>
      <c r="K3" s="20"/>
      <c r="L3" s="2"/>
      <c r="M3" s="2"/>
      <c r="N3" s="38"/>
      <c r="O3" s="51"/>
      <c r="P3" s="52"/>
      <c r="Q3" s="53"/>
      <c r="R3" s="76"/>
      <c r="S3" s="31"/>
      <c r="T3" s="31"/>
      <c r="U3" s="31"/>
      <c r="V3" s="32"/>
    </row>
    <row r="4" spans="1:22" hidden="1" outlineLevel="1" x14ac:dyDescent="0.25">
      <c r="A4">
        <f>2</f>
        <v>2</v>
      </c>
      <c r="B4" s="50"/>
      <c r="D4" s="2"/>
      <c r="E4" s="2"/>
      <c r="F4" s="2"/>
      <c r="G4" s="2"/>
      <c r="H4" s="2"/>
      <c r="I4" s="2"/>
      <c r="J4" s="2"/>
      <c r="K4" s="20"/>
      <c r="L4" s="2"/>
      <c r="M4" s="2"/>
      <c r="N4" s="38"/>
      <c r="O4" s="51"/>
      <c r="P4" s="52"/>
      <c r="Q4" s="53"/>
      <c r="R4" s="76"/>
      <c r="S4" s="31"/>
      <c r="T4" s="31"/>
      <c r="U4" s="31"/>
      <c r="V4" s="32"/>
    </row>
    <row r="5" spans="1:22" hidden="1" outlineLevel="1" x14ac:dyDescent="0.25">
      <c r="A5">
        <f>3</f>
        <v>3</v>
      </c>
      <c r="B5" s="50"/>
      <c r="D5" s="2"/>
      <c r="E5" s="2"/>
      <c r="F5" s="2"/>
      <c r="G5" s="2"/>
      <c r="H5" s="2"/>
      <c r="I5" s="2"/>
      <c r="J5" s="2"/>
      <c r="K5" s="20"/>
      <c r="L5" s="2"/>
      <c r="M5" s="2"/>
      <c r="N5" s="38"/>
      <c r="O5" s="51"/>
      <c r="P5" s="52"/>
      <c r="Q5" s="53"/>
      <c r="R5" s="76"/>
      <c r="S5" s="31"/>
      <c r="T5" s="31"/>
      <c r="U5" s="31"/>
      <c r="V5" s="32"/>
    </row>
    <row r="6" spans="1:22" hidden="1" outlineLevel="1" x14ac:dyDescent="0.25">
      <c r="A6" t="s">
        <v>13</v>
      </c>
      <c r="B6" s="50"/>
      <c r="D6" s="2"/>
      <c r="E6" s="2"/>
      <c r="F6" s="2"/>
      <c r="G6" s="2"/>
      <c r="H6" s="2"/>
      <c r="I6" s="2"/>
      <c r="J6" s="2"/>
      <c r="K6" s="20"/>
      <c r="L6" s="2"/>
      <c r="M6" s="2"/>
      <c r="N6" s="38"/>
      <c r="O6" s="51"/>
      <c r="P6" s="52"/>
      <c r="Q6" s="53"/>
      <c r="R6" s="76"/>
      <c r="S6" s="31"/>
      <c r="T6" s="31"/>
      <c r="U6" s="31"/>
      <c r="V6" s="32"/>
    </row>
    <row r="7" spans="1:22" hidden="1" outlineLevel="1" x14ac:dyDescent="0.25">
      <c r="A7" t="s">
        <v>14</v>
      </c>
      <c r="B7" s="50"/>
      <c r="D7" s="2"/>
      <c r="E7" s="2"/>
      <c r="F7" s="2"/>
      <c r="G7" s="2"/>
      <c r="H7" s="2"/>
      <c r="I7" s="2"/>
      <c r="J7" s="2"/>
      <c r="K7" s="20"/>
      <c r="L7" s="2"/>
      <c r="M7" s="2"/>
      <c r="N7" s="39"/>
      <c r="O7" s="54"/>
      <c r="P7" s="55"/>
      <c r="Q7" s="56"/>
      <c r="R7" s="77"/>
      <c r="S7" s="33"/>
      <c r="T7" s="33"/>
      <c r="U7" s="33"/>
      <c r="V7" s="34"/>
    </row>
    <row r="8" spans="1:22" hidden="1" outlineLevel="1" x14ac:dyDescent="0.25">
      <c r="A8" t="s">
        <v>16</v>
      </c>
      <c r="R8" s="3"/>
    </row>
    <row r="9" spans="1:22" hidden="1" outlineLevel="1" x14ac:dyDescent="0.25"/>
    <row r="10" spans="1:22" hidden="1" outlineLevel="1" x14ac:dyDescent="0.25"/>
    <row r="11" spans="1:22" hidden="1" outlineLevel="1" x14ac:dyDescent="0.25">
      <c r="B11" s="81" t="s">
        <v>17</v>
      </c>
      <c r="C11" s="81"/>
    </row>
    <row r="12" spans="1:22" hidden="1" outlineLevel="1" x14ac:dyDescent="0.25">
      <c r="B12" s="64" t="s">
        <v>18</v>
      </c>
      <c r="C12" s="10" t="s">
        <v>95</v>
      </c>
    </row>
    <row r="13" spans="1:22" hidden="1" outlineLevel="1" x14ac:dyDescent="0.25">
      <c r="B13" s="64" t="s">
        <v>83</v>
      </c>
      <c r="C13" s="72" t="e" cm="1">
        <f t="array" aca="1" ref="C13" ca="1">_xll.VIEW(db_name&amp;":}ElementAttributes_}Clients","!","!")</f>
        <v>#NAME?</v>
      </c>
    </row>
    <row r="14" spans="1:22" hidden="1" outlineLevel="1" x14ac:dyDescent="0.25">
      <c r="B14" s="64" t="s">
        <v>84</v>
      </c>
      <c r="C14" s="10" t="e" cm="1">
        <f t="array" aca="1" ref="C14" ca="1">_xll.TM1USER(db_name)</f>
        <v>#NAME?</v>
      </c>
    </row>
    <row r="15" spans="1:22" hidden="1" outlineLevel="1" x14ac:dyDescent="0.25">
      <c r="B15" s="64" t="s">
        <v>85</v>
      </c>
      <c r="C15" s="10" t="e" cm="1">
        <f t="array" aca="1" ref="C15" ca="1">_xll.DBR($C$13,$C$14,$B15)</f>
        <v>#NAME?</v>
      </c>
    </row>
    <row r="16" spans="1:22" hidden="1" outlineLevel="1" x14ac:dyDescent="0.25">
      <c r="B16" s="64" t="s">
        <v>86</v>
      </c>
      <c r="C16" s="10" t="e" cm="1">
        <f t="array" aca="1" ref="C16" ca="1">_xll.DBR($C$13,$C$14,$B16)</f>
        <v>#NAME?</v>
      </c>
    </row>
    <row r="17" spans="2:22" hidden="1" outlineLevel="1" x14ac:dyDescent="0.25">
      <c r="B17" s="64" t="s">
        <v>87</v>
      </c>
      <c r="C17" s="10" t="e">
        <f ca="1">IF(LEFT($C$15,6)="CAM_AD",$C$16,$C$15)</f>
        <v>#NAME?</v>
      </c>
    </row>
    <row r="18" spans="2:22" hidden="1" outlineLevel="1" x14ac:dyDescent="0.25">
      <c r="B18" s="1"/>
      <c r="C18" s="3"/>
      <c r="D18" s="3"/>
      <c r="R18" s="3"/>
    </row>
    <row r="19" spans="2:22" hidden="1" outlineLevel="1" x14ac:dyDescent="0.25">
      <c r="B19" s="81" t="s">
        <v>19</v>
      </c>
      <c r="C19" s="81"/>
      <c r="D19" s="3"/>
      <c r="N19" s="5" t="s">
        <v>20</v>
      </c>
      <c r="O19" s="6"/>
      <c r="P19" s="6"/>
      <c r="Q19" s="6"/>
      <c r="R19" s="7"/>
      <c r="S19" s="8"/>
      <c r="T19" s="8"/>
      <c r="U19" s="8"/>
      <c r="V19" s="8"/>
    </row>
    <row r="20" spans="2:22" hidden="1" outlineLevel="1" x14ac:dyDescent="0.25">
      <c r="B20" t="s">
        <v>76</v>
      </c>
      <c r="C20" t="e" cm="1">
        <f t="array" aca="1" ref="C20" ca="1">_xll.VIEW(db_name&amp;":}ElementAttributes_variables","!","!")</f>
        <v>#NAME?</v>
      </c>
      <c r="N20" s="9" t="e">
        <f ca="1">RIGHT($O$84,9)</f>
        <v>#NAME?</v>
      </c>
      <c r="O20" s="9"/>
      <c r="P20" s="9"/>
      <c r="Q20" s="10" t="e" cm="1">
        <f t="array" aca="1" ref="Q20" ca="1">_xll.DIMNM(db_name&amp;":period",_xll.DIMIX(db_name&amp;":period",$N$20)+Q$21)</f>
        <v>#NAME?</v>
      </c>
      <c r="R20" s="10" t="e" cm="1">
        <f t="array" aca="1" ref="R20" ca="1">_xll.DIMNM(db_name&amp;":period",_xll.DIMIX(db_name&amp;":period",$N$20)+R$21)</f>
        <v>#NAME?</v>
      </c>
      <c r="S20" s="10" t="e" cm="1">
        <f t="array" aca="1" ref="S20" ca="1">_xll.DIMNM(db_name&amp;":period",_xll.DIMIX(db_name&amp;":period",$N$20)+S$21)</f>
        <v>#NAME?</v>
      </c>
      <c r="T20" s="10" t="e" cm="1">
        <f t="array" aca="1" ref="T20" ca="1">_xll.DIMNM(db_name&amp;":period",_xll.DIMIX(db_name&amp;":period",$N$20)+T$21)</f>
        <v>#NAME?</v>
      </c>
      <c r="U20" s="10" t="e" cm="1">
        <f t="array" aca="1" ref="U20" ca="1">_xll.DIMNM(db_name&amp;":period",_xll.DIMIX(db_name&amp;":period",$N$20)+U$21)</f>
        <v>#NAME?</v>
      </c>
      <c r="V20" s="10" t="e" cm="1">
        <f t="array" aca="1" ref="V20" ca="1">_xll.DIMNM(db_name&amp;":period",_xll.DIMIX(db_name&amp;":period",$N$20)+V$21)</f>
        <v>#NAME?</v>
      </c>
    </row>
    <row r="21" spans="2:22" hidden="1" outlineLevel="1" x14ac:dyDescent="0.25">
      <c r="B21" s="9" t="s">
        <v>0</v>
      </c>
      <c r="C21" s="9" t="e" cm="1">
        <f t="array" aca="1" ref="C21" ca="1">_xll.DBR($C$20,$B21,"value")</f>
        <v>#NAME?</v>
      </c>
      <c r="N21" s="9" t="s">
        <v>22</v>
      </c>
      <c r="O21" s="9"/>
      <c r="P21" s="9"/>
      <c r="Q21" s="10">
        <v>-2</v>
      </c>
      <c r="R21" s="10">
        <v>-1</v>
      </c>
      <c r="S21" s="10">
        <v>0</v>
      </c>
      <c r="T21" s="10">
        <v>1</v>
      </c>
      <c r="U21" s="10">
        <v>2</v>
      </c>
      <c r="V21" s="10">
        <v>3</v>
      </c>
    </row>
    <row r="22" spans="2:22" hidden="1" outlineLevel="1" x14ac:dyDescent="0.25">
      <c r="B22" s="9" t="s">
        <v>21</v>
      </c>
      <c r="C22" s="9" t="e" cm="1">
        <f t="array" aca="1" ref="C22" ca="1">_xll.DBR($C$20,$B22,"value")</f>
        <v>#NAME?</v>
      </c>
      <c r="R22" s="3"/>
    </row>
    <row r="23" spans="2:22" hidden="1" outlineLevel="1" x14ac:dyDescent="0.25">
      <c r="B23" s="9" t="s">
        <v>75</v>
      </c>
      <c r="C23" s="9" t="e" cm="1">
        <f t="array" aca="1" ref="C23" ca="1">_xll.DBR($C$20,$B23,"value")</f>
        <v>#NAME?</v>
      </c>
      <c r="R23" s="3"/>
    </row>
    <row r="24" spans="2:22" hidden="1" outlineLevel="1" x14ac:dyDescent="0.25">
      <c r="R24" s="3"/>
    </row>
    <row r="25" spans="2:22" hidden="1" outlineLevel="1" x14ac:dyDescent="0.25">
      <c r="B25" s="78" t="s">
        <v>62</v>
      </c>
      <c r="C25" s="79"/>
      <c r="D25" s="80"/>
      <c r="E25" s="4"/>
      <c r="F25" s="4"/>
      <c r="G25" s="4"/>
      <c r="H25" s="4"/>
      <c r="R25" s="3"/>
    </row>
    <row r="26" spans="2:22" hidden="1" outlineLevel="1" x14ac:dyDescent="0.25">
      <c r="B26" s="64" t="s">
        <v>63</v>
      </c>
      <c r="C26" s="9" t="e">
        <f ca="1">_xll.VIEW(db_name&amp;":sys_application","!","!")</f>
        <v>#NAME?</v>
      </c>
      <c r="D26" s="9"/>
      <c r="R26" s="3"/>
    </row>
    <row r="27" spans="2:22" hidden="1" outlineLevel="1" x14ac:dyDescent="0.25">
      <c r="B27" s="64" t="s">
        <v>64</v>
      </c>
      <c r="C27" t="s">
        <v>65</v>
      </c>
      <c r="D27" s="9"/>
      <c r="R27" s="3"/>
    </row>
    <row r="28" spans="2:22" hidden="1" outlineLevel="1" x14ac:dyDescent="0.25">
      <c r="B28" s="9"/>
      <c r="C28" s="64" t="s">
        <v>66</v>
      </c>
      <c r="D28" s="64" t="s">
        <v>67</v>
      </c>
      <c r="E28" s="64" t="s">
        <v>68</v>
      </c>
      <c r="F28" s="64" t="s">
        <v>69</v>
      </c>
      <c r="G28" s="64" t="s">
        <v>70</v>
      </c>
      <c r="H28" s="64" t="s">
        <v>71</v>
      </c>
      <c r="R28" s="3"/>
    </row>
    <row r="29" spans="2:22" hidden="1" outlineLevel="1" x14ac:dyDescent="0.25">
      <c r="B29" s="9" t="s">
        <v>72</v>
      </c>
      <c r="C29" s="9" t="e" cm="1">
        <f t="array" aca="1" ref="C29" ca="1">_xll.DBR($C$26,$B29,C$28)</f>
        <v>#NAME?</v>
      </c>
      <c r="D29" s="9" t="e" cm="1">
        <f t="array" aca="1" ref="D29" ca="1">_xll.DBR($C$26,$B29,D$28)</f>
        <v>#NAME?</v>
      </c>
      <c r="E29" s="9" t="e" cm="1">
        <f t="array" aca="1" ref="E29" ca="1">_xll.DBR($C$26,$B29,E$28)</f>
        <v>#NAME?</v>
      </c>
      <c r="F29" s="9" t="e" cm="1">
        <f t="array" aca="1" ref="F29" ca="1">_xll.DBR($C$26,$B29,F$28)</f>
        <v>#NAME?</v>
      </c>
      <c r="G29" s="9" t="e" cm="1">
        <f t="array" aca="1" ref="G29" ca="1">_xll.DBR($C$26,$B29,G$28)</f>
        <v>#NAME?</v>
      </c>
      <c r="H29" s="9" t="e" cm="1">
        <f t="array" aca="1" ref="H29" ca="1">_xll.DBR($C$26,$B29,H$28)</f>
        <v>#NAME?</v>
      </c>
      <c r="R29" s="3"/>
    </row>
    <row r="30" spans="2:22" hidden="1" outlineLevel="1" x14ac:dyDescent="0.25">
      <c r="B30" s="9" t="s">
        <v>73</v>
      </c>
      <c r="C30" s="9" t="e" cm="1">
        <f t="array" aca="1" ref="C30" ca="1">_xll.DBR($C$26,$B30,C$28)</f>
        <v>#NAME?</v>
      </c>
      <c r="D30" s="9" t="e" cm="1">
        <f t="array" aca="1" ref="D30" ca="1">_xll.DBR($C$26,$B30,D$28)</f>
        <v>#NAME?</v>
      </c>
      <c r="E30" s="9" t="e" cm="1">
        <f t="array" aca="1" ref="E30" ca="1">_xll.DBR($C$26,$B30,E$28)</f>
        <v>#NAME?</v>
      </c>
      <c r="F30" s="9" t="e" cm="1">
        <f t="array" aca="1" ref="F30" ca="1">_xll.DBR($C$26,$B30,F$28)</f>
        <v>#NAME?</v>
      </c>
      <c r="G30" s="9" t="e" cm="1">
        <f t="array" aca="1" ref="G30" ca="1">_xll.DBR($C$26,$B30,G$28)</f>
        <v>#NAME?</v>
      </c>
      <c r="H30" s="9" t="e" cm="1">
        <f t="array" aca="1" ref="H30" ca="1">_xll.DBR($C$26,$B30,H$28)</f>
        <v>#NAME?</v>
      </c>
      <c r="R30" s="3"/>
    </row>
    <row r="31" spans="2:22" hidden="1" outlineLevel="1" x14ac:dyDescent="0.25">
      <c r="B31" s="9" t="s">
        <v>74</v>
      </c>
      <c r="C31" s="9" t="e" cm="1">
        <f t="array" aca="1" ref="C31" ca="1">_xll.DBR($C$26,$B31,C$28)</f>
        <v>#NAME?</v>
      </c>
      <c r="D31" s="9" t="e" cm="1">
        <f t="array" aca="1" ref="D31" ca="1">_xll.DBR($C$26,$B31,D$28)</f>
        <v>#NAME?</v>
      </c>
      <c r="E31" s="9" t="e" cm="1">
        <f t="array" aca="1" ref="E31" ca="1">_xll.DBR($C$26,$B31,E$28)</f>
        <v>#NAME?</v>
      </c>
      <c r="F31" s="9" t="e" cm="1">
        <f t="array" aca="1" ref="F31" ca="1">_xll.DBR($C$26,$B31,F$28)</f>
        <v>#NAME?</v>
      </c>
      <c r="G31" s="9" t="e" cm="1">
        <f t="array" aca="1" ref="G31" ca="1">_xll.DBR($C$26,$B31,G$28)</f>
        <v>#NAME?</v>
      </c>
      <c r="H31" s="9" t="e" cm="1">
        <f t="array" aca="1" ref="H31" ca="1">_xll.DBR($C$26,$B31,H$28)</f>
        <v>#NAME?</v>
      </c>
      <c r="R31" s="3"/>
    </row>
    <row r="32" spans="2:22" hidden="1" outlineLevel="1" x14ac:dyDescent="0.25">
      <c r="B32" s="9" t="s">
        <v>81</v>
      </c>
      <c r="C32" s="9" t="e" cm="1">
        <f t="array" aca="1" ref="C32" ca="1">_xll.DBR($C$26,$B32,C$28)</f>
        <v>#NAME?</v>
      </c>
      <c r="D32" s="9" t="e" cm="1">
        <f t="array" aca="1" ref="D32" ca="1">_xll.DBR($C$26,$B32,D$28)</f>
        <v>#NAME?</v>
      </c>
      <c r="E32" s="9" t="e" cm="1">
        <f t="array" aca="1" ref="E32" ca="1">_xll.DBR($C$26,$B32,E$28)</f>
        <v>#NAME?</v>
      </c>
      <c r="F32" s="9" t="e" cm="1">
        <f t="array" aca="1" ref="F32" ca="1">_xll.DBR($C$26,$B32,F$28)</f>
        <v>#NAME?</v>
      </c>
      <c r="G32" s="9" t="e" cm="1">
        <f t="array" aca="1" ref="G32" ca="1">_xll.DBR($C$26,$B32,G$28)</f>
        <v>#NAME?</v>
      </c>
      <c r="H32" s="9" t="e" cm="1">
        <f t="array" aca="1" ref="H32" ca="1">_xll.DBR($C$26,$B32,H$28)</f>
        <v>#NAME?</v>
      </c>
      <c r="R32" s="3"/>
    </row>
    <row r="33" spans="2:18" hidden="1" outlineLevel="1" x14ac:dyDescent="0.25">
      <c r="B33" s="9" t="s">
        <v>92</v>
      </c>
      <c r="C33" s="9" t="e" cm="1">
        <f t="array" aca="1" ref="C33" ca="1">_xll.DBR($C$26,$B33,C$28)</f>
        <v>#NAME?</v>
      </c>
      <c r="D33" s="9" t="e" cm="1">
        <f t="array" aca="1" ref="D33" ca="1">_xll.DBR($C$26,$B33,D$28)</f>
        <v>#NAME?</v>
      </c>
      <c r="E33" s="9" t="e" cm="1">
        <f t="array" aca="1" ref="E33" ca="1">_xll.DBR($C$26,$B33,E$28)</f>
        <v>#NAME?</v>
      </c>
      <c r="F33" s="9" t="e" cm="1">
        <f t="array" aca="1" ref="F33" ca="1">_xll.DBR($C$26,$B33,F$28)</f>
        <v>#NAME?</v>
      </c>
      <c r="G33" s="9" t="e" cm="1">
        <f t="array" aca="1" ref="G33" ca="1">_xll.DBR($C$26,$B33,G$28)</f>
        <v>#NAME?</v>
      </c>
      <c r="H33" s="9" t="e" cm="1">
        <f t="array" aca="1" ref="H33" ca="1">_xll.DBR($C$26,$B33,H$28)</f>
        <v>#NAME?</v>
      </c>
      <c r="R33" s="3"/>
    </row>
    <row r="34" spans="2:18" hidden="1" outlineLevel="1" x14ac:dyDescent="0.25">
      <c r="B34" s="9" t="s">
        <v>93</v>
      </c>
      <c r="C34" s="9" t="e" cm="1">
        <f t="array" aca="1" ref="C34" ca="1">_xll.DBR($C$26,$B34,C$28)</f>
        <v>#NAME?</v>
      </c>
      <c r="D34" s="9" t="e" cm="1">
        <f t="array" aca="1" ref="D34" ca="1">_xll.DBR($C$26,$B34,D$28)</f>
        <v>#NAME?</v>
      </c>
      <c r="E34" s="9" t="e" cm="1">
        <f t="array" aca="1" ref="E34" ca="1">_xll.DBR($C$26,$B34,E$28)</f>
        <v>#NAME?</v>
      </c>
      <c r="F34" s="9" t="e" cm="1">
        <f t="array" aca="1" ref="F34" ca="1">_xll.DBR($C$26,$B34,F$28)</f>
        <v>#NAME?</v>
      </c>
      <c r="G34" s="9" t="e" cm="1">
        <f t="array" aca="1" ref="G34" ca="1">_xll.DBR($C$26,$B34,G$28)</f>
        <v>#NAME?</v>
      </c>
      <c r="H34" s="9" t="e" cm="1">
        <f t="array" aca="1" ref="H34" ca="1">_xll.DBR($C$26,$B34,H$28)</f>
        <v>#NAME?</v>
      </c>
      <c r="R34" s="3"/>
    </row>
    <row r="35" spans="2:18" ht="15.75" hidden="1" outlineLevel="1" thickBot="1" x14ac:dyDescent="0.3">
      <c r="R35" s="3"/>
    </row>
    <row r="36" spans="2:18" ht="15.75" hidden="1" outlineLevel="1" thickBot="1" x14ac:dyDescent="0.3">
      <c r="B36" s="82" t="s">
        <v>23</v>
      </c>
      <c r="C36" s="83"/>
      <c r="R36" s="3"/>
    </row>
    <row r="37" spans="2:18" hidden="1" outlineLevel="1" x14ac:dyDescent="0.25">
      <c r="B37" s="11" t="s">
        <v>24</v>
      </c>
      <c r="C37" s="65" t="e" cm="1">
        <f t="array" aca="1" ref="C37" ca="1">_xll.TM1RPTVIEW(db_name&amp;":AE adjustments:1", 1, _xll.TM1RPTTITLE(db_name&amp;":headline year",$O$84), _xll.TM1RPTTITLE(db_name&amp;":scenario",$O$85), _xll.TM1RPTTITLE(db_name&amp;":status",$O$86), _xll.TM1RPTTITLE(db_name&amp;":outcome",$C$45), _xll.TM1RPTTITLE(db_name&amp;":related entity",$C$46), _xll.TM1RPTTITLE(db_name&amp;":function",$C$47), _xll.TM1RPTTITLE(db_name&amp;":reason",$C$48), _xll.TM1RPTTITLE(db_name&amp;":spp",$C$49), _xll.TM1RPTTITLE(db_name&amp;":measure code",$C$50), _xll.TM1RPTTITLE(db_name&amp;":appropriation type",$C$51), _xll.TM1RPTTITLE(db_name&amp;":movement account",$C$52), _xll.TM1RPTTITLE(db_name&amp;":appropriation item",$C$53), _xll.TM1RPTTITLE(db_name&amp;":id",$C$56), _xll.TM1RPTTITLE(db_name&amp;":jurisdiction",$C$57),TM1RPTFMTRNG,TM1RPTFMTIDCOL)</f>
        <v>#NAME?</v>
      </c>
      <c r="R37" s="3"/>
    </row>
    <row r="38" spans="2:18" hidden="1" outlineLevel="1" x14ac:dyDescent="0.25">
      <c r="B38" s="12" t="s">
        <v>25</v>
      </c>
      <c r="C38" s="66" t="e">
        <f ca="1">_xll.TM1RPTVIEW(db_name&amp;":AE adjustments:ARPT1", 1, _xll.TM1RPTTITLE(db_name&amp;":headline year",$O$84), _xll.TM1RPTTITLE(db_name&amp;":scenario",$O$85), _xll.TM1RPTTITLE(db_name&amp;":status",$O$86), _xll.TM1RPTTITLE(db_name&amp;":outcome",$C$45), _xll.TM1RPTTITLE(db_name&amp;":related entity",$C$46), _xll.TM1RPTTITLE(db_name&amp;":function",$C$47), _xll.TM1RPTTITLE(db_name&amp;":reason",$C$48), _xll.TM1RPTTITLE(db_name&amp;":spp",$C$49), _xll.TM1RPTTITLE(db_name&amp;":measure code",$C$50), _xll.TM1RPTTITLE(db_name&amp;":appropriation type",$C$51), _xll.TM1RPTTITLE(db_name&amp;":movement account",$C$52), _xll.TM1RPTTITLE(db_name&amp;":appropriation item",$C$53), _xll.TM1RPTTITLE(db_name&amp;":id",$C$56), _xll.TM1RPTTITLE(db_name&amp;":jurisdiction",$C$57),TM1RPTFMTRNG,TM1RPTFMTIDCOL)</f>
        <v>#NAME?</v>
      </c>
      <c r="R38" s="3"/>
    </row>
    <row r="39" spans="2:18" hidden="1" outlineLevel="1" x14ac:dyDescent="0.25">
      <c r="B39" s="12" t="s">
        <v>26</v>
      </c>
      <c r="C39" s="66" t="e">
        <f ca="1">_xll.TM1RPTVIEW(db_name&amp;":AE adjustments:ARPT2", 1, _xll.TM1RPTTITLE(db_name&amp;":headline year",$O$84), _xll.TM1RPTTITLE(db_name&amp;":scenario",$O$85), _xll.TM1RPTTITLE(db_name&amp;":status",$O$86), _xll.TM1RPTTITLE(db_name&amp;":outcome",$C$45), _xll.TM1RPTTITLE(db_name&amp;":related entity",$C$46), _xll.TM1RPTTITLE(db_name&amp;":function",$C$47), _xll.TM1RPTTITLE(db_name&amp;":reason",$C$48), _xll.TM1RPTTITLE(db_name&amp;":spp",$C$49), _xll.TM1RPTTITLE(db_name&amp;":measure code",$C$50), _xll.TM1RPTTITLE(db_name&amp;":appropriation type",$C$51), _xll.TM1RPTTITLE(db_name&amp;":movement account",$C$52), _xll.TM1RPTTITLE(db_name&amp;":appropriation item",$C$53), _xll.TM1RPTTITLE(db_name&amp;":id",$C$56), _xll.TM1RPTTITLE(db_name&amp;":jurisdiction",$C$57),TM1RPTFMTRNG,TM1RPTFMTIDCOL)</f>
        <v>#NAME?</v>
      </c>
      <c r="R39" s="3"/>
    </row>
    <row r="40" spans="2:18" hidden="1" outlineLevel="1" x14ac:dyDescent="0.25">
      <c r="B40" s="12" t="s">
        <v>27</v>
      </c>
      <c r="C40" s="13" t="e">
        <f ca="1">_xll.VIEW(db_name&amp;":AE adjustments",#REF!,#REF!,#REF!,#REF!,#REF!,#REF!,#REF!,#REF!,#REF!,#REF!,"!",#REF!,#REF!,"!",#REF!,#REF!,"!")</f>
        <v>#NAME?</v>
      </c>
      <c r="R40" s="3"/>
    </row>
    <row r="41" spans="2:18" hidden="1" outlineLevel="1" x14ac:dyDescent="0.25">
      <c r="B41" s="14" t="s">
        <v>28</v>
      </c>
      <c r="C41" s="13" t="e" cm="1">
        <f t="array" aca="1" ref="C41" ca="1">_xll.VIEW(db_name&amp;":}ElementAttributes_account","!","!")</f>
        <v>#NAME?</v>
      </c>
      <c r="R41" s="3"/>
    </row>
    <row r="42" spans="2:18" hidden="1" outlineLevel="1" x14ac:dyDescent="0.25">
      <c r="B42" s="14" t="s">
        <v>29</v>
      </c>
      <c r="C42" s="15" t="s">
        <v>30</v>
      </c>
      <c r="R42" s="3"/>
    </row>
    <row r="43" spans="2:18" hidden="1" outlineLevel="1" x14ac:dyDescent="0.25">
      <c r="B43" s="14" t="s">
        <v>31</v>
      </c>
      <c r="C43" s="15" t="s">
        <v>30</v>
      </c>
      <c r="R43" s="3"/>
    </row>
    <row r="44" spans="2:18" hidden="1" outlineLevel="1" x14ac:dyDescent="0.25">
      <c r="B44" s="14" t="s">
        <v>1</v>
      </c>
      <c r="C44" s="66" t="e" cm="1">
        <f t="array" aca="1" ref="C44" ca="1">_xll.SUBNM(db_name&amp;":status","",$O$86)</f>
        <v>#NAME?</v>
      </c>
      <c r="R44" s="3"/>
    </row>
    <row r="45" spans="2:18" hidden="1" outlineLevel="1" x14ac:dyDescent="0.25">
      <c r="B45" s="14" t="s">
        <v>2</v>
      </c>
      <c r="C45" s="66" t="e" cm="1">
        <f t="array" aca="1" ref="C45" ca="1">_xll.SUBNM(db_name&amp;":outcome","","Total outcomes")</f>
        <v>#NAME?</v>
      </c>
      <c r="R45" s="3"/>
    </row>
    <row r="46" spans="2:18" hidden="1" outlineLevel="1" x14ac:dyDescent="0.25">
      <c r="B46" s="14" t="s">
        <v>3</v>
      </c>
      <c r="C46" s="66" t="e" cm="1">
        <f t="array" aca="1" ref="C46" ca="1">_xll.SUBNM(db_name&amp;":related entity","","Total related entity")</f>
        <v>#NAME?</v>
      </c>
      <c r="R46" s="3"/>
    </row>
    <row r="47" spans="2:18" hidden="1" outlineLevel="1" x14ac:dyDescent="0.25">
      <c r="B47" s="14" t="s">
        <v>4</v>
      </c>
      <c r="C47" s="66" t="e" cm="1">
        <f t="array" aca="1" ref="C47" ca="1">_xll.SUBNM(db_name&amp;":function","","Total functions")</f>
        <v>#NAME?</v>
      </c>
      <c r="R47" s="3"/>
    </row>
    <row r="48" spans="2:18" hidden="1" outlineLevel="1" x14ac:dyDescent="0.25">
      <c r="B48" s="14" t="s">
        <v>5</v>
      </c>
      <c r="C48" s="66" t="e" cm="1">
        <f t="array" aca="1" ref="C48" ca="1">_xll.SUBNM(db_name&amp;":reason","","Total reason")</f>
        <v>#NAME?</v>
      </c>
      <c r="R48" s="3"/>
    </row>
    <row r="49" spans="2:18" hidden="1" outlineLevel="1" x14ac:dyDescent="0.25">
      <c r="B49" s="14" t="s">
        <v>6</v>
      </c>
      <c r="C49" s="66" t="e" cm="1">
        <f t="array" aca="1" ref="C49" ca="1">_xll.SUBNM(db_name&amp;":spp","","Total SPP")</f>
        <v>#NAME?</v>
      </c>
      <c r="R49" s="3"/>
    </row>
    <row r="50" spans="2:18" hidden="1" outlineLevel="1" x14ac:dyDescent="0.25">
      <c r="B50" s="14" t="s">
        <v>7</v>
      </c>
      <c r="C50" s="66" t="e" cm="1">
        <f t="array" aca="1" ref="C50" ca="1">_xll.SUBNM(db_name&amp;":measure code","","Total Measures","CBMS")</f>
        <v>#NAME?</v>
      </c>
      <c r="R50" s="3"/>
    </row>
    <row r="51" spans="2:18" hidden="1" outlineLevel="1" x14ac:dyDescent="0.25">
      <c r="B51" s="14" t="s">
        <v>8</v>
      </c>
      <c r="C51" s="66" t="e" cm="1">
        <f t="array" aca="1" ref="C51" ca="1">_xll.SUBNM(db_name&amp;":appropriation type","","Total approp types")</f>
        <v>#NAME?</v>
      </c>
      <c r="R51" s="3"/>
    </row>
    <row r="52" spans="2:18" hidden="1" outlineLevel="1" x14ac:dyDescent="0.25">
      <c r="B52" s="14" t="s">
        <v>9</v>
      </c>
      <c r="C52" s="66" t="e" cm="1">
        <f t="array" aca="1" ref="C52" ca="1">_xll.SUBNM(db_name&amp;":movement account","","Total movement","code and description")</f>
        <v>#NAME?</v>
      </c>
      <c r="R52" s="3"/>
    </row>
    <row r="53" spans="2:18" hidden="1" outlineLevel="1" x14ac:dyDescent="0.25">
      <c r="B53" s="14" t="s">
        <v>10</v>
      </c>
      <c r="C53" s="66" t="e" cm="1">
        <f t="array" aca="1" ref="C53" ca="1">_xll.SUBNM(db_name&amp;":appropriation item","","Total approp item")</f>
        <v>#NAME?</v>
      </c>
      <c r="R53" s="3"/>
    </row>
    <row r="54" spans="2:18" hidden="1" outlineLevel="1" x14ac:dyDescent="0.25">
      <c r="B54" s="14" t="s">
        <v>32</v>
      </c>
      <c r="C54" s="15" t="s">
        <v>30</v>
      </c>
      <c r="R54" s="3"/>
    </row>
    <row r="55" spans="2:18" hidden="1" outlineLevel="1" x14ac:dyDescent="0.25">
      <c r="B55" s="14" t="s">
        <v>33</v>
      </c>
      <c r="C55" s="15" t="s">
        <v>34</v>
      </c>
      <c r="R55" s="3"/>
    </row>
    <row r="56" spans="2:18" hidden="1" outlineLevel="1" x14ac:dyDescent="0.25">
      <c r="B56" s="14" t="s">
        <v>11</v>
      </c>
      <c r="C56" s="66" t="e" cm="1">
        <f t="array" aca="1" ref="C56" ca="1">_xll.SUBNM(db_name&amp;":id","","Total IDs")</f>
        <v>#NAME?</v>
      </c>
      <c r="R56" s="3"/>
    </row>
    <row r="57" spans="2:18" hidden="1" outlineLevel="1" x14ac:dyDescent="0.25">
      <c r="B57" s="14" t="s">
        <v>12</v>
      </c>
      <c r="C57" s="66" t="e" cm="1">
        <f t="array" aca="1" ref="C57" ca="1">_xll.SUBNM(db_name&amp;":jurisdiction","","Total jurisdictions")</f>
        <v>#NAME?</v>
      </c>
      <c r="R57" s="3"/>
    </row>
    <row r="58" spans="2:18" ht="15.75" hidden="1" outlineLevel="1" thickBot="1" x14ac:dyDescent="0.3">
      <c r="B58" s="16" t="s">
        <v>35</v>
      </c>
      <c r="C58" s="17" t="s">
        <v>36</v>
      </c>
      <c r="R58" s="3"/>
    </row>
    <row r="59" spans="2:18" ht="15.75" hidden="1" outlineLevel="1" thickBot="1" x14ac:dyDescent="0.3">
      <c r="B59" s="1"/>
      <c r="R59" s="3"/>
    </row>
    <row r="60" spans="2:18" ht="15.75" hidden="1" outlineLevel="1" thickBot="1" x14ac:dyDescent="0.3">
      <c r="B60" s="84" t="s">
        <v>37</v>
      </c>
      <c r="C60" s="85"/>
      <c r="R60" s="3"/>
    </row>
    <row r="61" spans="2:18" ht="15.75" hidden="1" outlineLevel="1" thickBot="1" x14ac:dyDescent="0.3">
      <c r="B61" s="11" t="s">
        <v>38</v>
      </c>
      <c r="C61" s="18">
        <v>9000140</v>
      </c>
      <c r="D61" s="19" t="str">
        <f>"{DESCENDANTS(ACCOUNT.["&amp;C61&amp;"]) }"</f>
        <v>{DESCENDANTS(ACCOUNT.[9000140]) }</v>
      </c>
      <c r="R61" s="3"/>
    </row>
    <row r="62" spans="2:18" ht="15.75" hidden="1" outlineLevel="1" thickBot="1" x14ac:dyDescent="0.3">
      <c r="B62" s="14" t="s">
        <v>39</v>
      </c>
      <c r="C62" s="20">
        <v>3800001</v>
      </c>
      <c r="D62" s="19" t="str">
        <f>"{DESCENDANTS(ACCOUNT.["&amp;C62&amp;"]) }"</f>
        <v>{DESCENDANTS(ACCOUNT.[3800001]) }</v>
      </c>
      <c r="R62" s="3"/>
    </row>
    <row r="63" spans="2:18" ht="15.75" hidden="1" outlineLevel="1" thickBot="1" x14ac:dyDescent="0.3">
      <c r="B63" s="16" t="s">
        <v>40</v>
      </c>
      <c r="C63" s="20">
        <v>9000003</v>
      </c>
      <c r="D63" s="19" t="str">
        <f>"{DESCENDANTS(ACCOUNT.["&amp;C63&amp;"]) }"</f>
        <v>{DESCENDANTS(ACCOUNT.[9000003]) }</v>
      </c>
      <c r="R63" s="3"/>
    </row>
    <row r="64" spans="2:18" ht="15.75" hidden="1" outlineLevel="1" thickBot="1" x14ac:dyDescent="0.3">
      <c r="B64" s="1"/>
      <c r="C64" s="21"/>
      <c r="D64" s="21"/>
      <c r="R64" s="3"/>
    </row>
    <row r="65" spans="2:22" ht="15.75" hidden="1" outlineLevel="1" thickBot="1" x14ac:dyDescent="0.3">
      <c r="B65" s="22"/>
      <c r="C65" s="23" t="s">
        <v>41</v>
      </c>
      <c r="D65" s="24" t="s">
        <v>42</v>
      </c>
      <c r="R65" s="3"/>
    </row>
    <row r="66" spans="2:22" hidden="1" outlineLevel="1" x14ac:dyDescent="0.25">
      <c r="B66" s="25" t="s">
        <v>79</v>
      </c>
      <c r="C66" s="26" t="e">
        <f ca="1">"{HIERARCHIZE ({[" &amp; psProgDimName &amp;"].["&amp;$O$87&amp;"]})}"</f>
        <v>#NAME?</v>
      </c>
      <c r="D66" s="27">
        <v>1</v>
      </c>
      <c r="R66" s="3"/>
    </row>
    <row r="67" spans="2:22" hidden="1" outlineLevel="1" x14ac:dyDescent="0.25">
      <c r="B67" s="40" t="s">
        <v>80</v>
      </c>
      <c r="C67" s="41" t="e">
        <f ca="1">"{TM1FILTERBYLEVEL( {TM1DRILLDOWNMEMBER( {[" &amp; psProgDimName &amp; "].[" &amp;$O$87 &amp; "]}, ALL, RECURSIVE )}, 0)}"</f>
        <v>#NAME?</v>
      </c>
      <c r="D67" s="42">
        <v>0</v>
      </c>
      <c r="O67" t="s">
        <v>43</v>
      </c>
      <c r="R67" s="3"/>
    </row>
    <row r="68" spans="2:22" hidden="1" outlineLevel="1" x14ac:dyDescent="0.25">
      <c r="B68" s="9"/>
      <c r="C68" s="9" t="s">
        <v>50</v>
      </c>
      <c r="D68" s="43" t="s">
        <v>42</v>
      </c>
      <c r="O68" s="28"/>
      <c r="P68" s="28"/>
      <c r="Q68" s="28"/>
      <c r="R68" s="3"/>
    </row>
    <row r="69" spans="2:22" hidden="1" outlineLevel="1" x14ac:dyDescent="0.25">
      <c r="B69" s="9" t="s">
        <v>45</v>
      </c>
      <c r="C69" s="43" t="e">
        <f ca="1">VLOOKUP($S$84,PL_progtype_lookup,2,FALSE)</f>
        <v>#NAME?</v>
      </c>
      <c r="D69" s="43" t="e">
        <f ca="1">VLOOKUP($S$84,PL_progtype_lookup,3,FALSE)</f>
        <v>#NAME?</v>
      </c>
      <c r="O69" s="28"/>
      <c r="P69" s="28"/>
      <c r="Q69" s="28"/>
      <c r="R69" s="3"/>
    </row>
    <row r="70" spans="2:22" hidden="1" outlineLevel="1" x14ac:dyDescent="0.25">
      <c r="B70" s="9" t="s">
        <v>46</v>
      </c>
      <c r="C70" s="43" t="e">
        <f ca="1">VLOOKUP($S$84,PL_progtype_lookup,2,FALSE)</f>
        <v>#NAME?</v>
      </c>
      <c r="D70" s="43" t="e">
        <f ca="1">VLOOKUP($S$84,PL_progtype_lookup,3,FALSE)</f>
        <v>#NAME?</v>
      </c>
      <c r="O70" s="28"/>
      <c r="P70" s="28"/>
      <c r="Q70" s="28"/>
      <c r="R70" s="3"/>
    </row>
    <row r="71" spans="2:22" hidden="1" outlineLevel="1" x14ac:dyDescent="0.25">
      <c r="B71" s="9" t="s">
        <v>51</v>
      </c>
      <c r="C71" s="43" t="e">
        <f ca="1">VLOOKUP($S$84,PL_progtype_lookup,2,FALSE)</f>
        <v>#NAME?</v>
      </c>
      <c r="D71" s="43" t="e">
        <f ca="1">VLOOKUP($S$84,PL_progtype_lookup,3,FALSE)</f>
        <v>#NAME?</v>
      </c>
      <c r="O71" s="28"/>
      <c r="P71" s="28"/>
      <c r="Q71" s="28"/>
      <c r="R71" s="3"/>
    </row>
    <row r="72" spans="2:22" hidden="1" outlineLevel="1" x14ac:dyDescent="0.25">
      <c r="B72" s="64"/>
      <c r="C72" s="67" t="e">
        <f ca="1">"{TM1SORTBYINDEX( {TM1FILTERBYLEVEL( {TM1DRILLDOWNMEMBER( {[" &amp; psProgDimName &amp; "].["&amp;$O$87&amp;"]}, ALL, RECURSIVE )}, 0,4)}, DESC)}"</f>
        <v>#NAME?</v>
      </c>
      <c r="D72" s="43"/>
      <c r="R72" s="3"/>
    </row>
    <row r="73" spans="2:22" hidden="1" outlineLevel="1" x14ac:dyDescent="0.25">
      <c r="B73" s="64"/>
      <c r="C73" s="43" t="e">
        <f ca="1">"{TM1FILTERBYLEVEL( {TM1DRILLDOWNMEMBER( {[" &amp; psProgDimName &amp; "].[" &amp;$O$87 &amp; "]}, ALL, RECURSIVE )}, 0)}"</f>
        <v>#NAME?</v>
      </c>
      <c r="D73" s="43"/>
      <c r="R73" s="3"/>
    </row>
    <row r="74" spans="2:22" hidden="1" outlineLevel="1" x14ac:dyDescent="0.25">
      <c r="B74" s="1"/>
      <c r="C74" s="21"/>
      <c r="D74" s="21"/>
      <c r="R74" s="3"/>
    </row>
    <row r="75" spans="2:22" hidden="1" outlineLevel="1" x14ac:dyDescent="0.25">
      <c r="B75" s="1"/>
      <c r="C75" s="21"/>
      <c r="D75" s="21"/>
      <c r="R75" s="3"/>
    </row>
    <row r="76" spans="2:22" hidden="1" outlineLevel="1" x14ac:dyDescent="0.25">
      <c r="B76" s="1"/>
      <c r="C76" s="21"/>
      <c r="D76" s="21"/>
      <c r="R76" s="3"/>
    </row>
    <row r="77" spans="2:22" hidden="1" outlineLevel="1" x14ac:dyDescent="0.25">
      <c r="B77" s="1"/>
      <c r="C77" s="21"/>
      <c r="D77" s="21"/>
      <c r="R77" s="3"/>
    </row>
    <row r="78" spans="2:22" ht="39.950000000000003" customHeight="1" collapsed="1" x14ac:dyDescent="0.25">
      <c r="M78" s="69"/>
      <c r="N78" s="68"/>
      <c r="O78" s="68"/>
      <c r="P78" s="68"/>
      <c r="Q78" s="68"/>
      <c r="R78" s="68"/>
      <c r="S78" s="68"/>
      <c r="T78" s="68"/>
      <c r="U78" s="68"/>
      <c r="V78" s="69" t="s">
        <v>77</v>
      </c>
    </row>
    <row r="79" spans="2:22" ht="4.5" customHeight="1" x14ac:dyDescent="0.25">
      <c r="N79" s="29"/>
      <c r="O79" s="29"/>
      <c r="P79" s="29"/>
      <c r="Q79" s="29"/>
      <c r="R79" s="29"/>
      <c r="S79" s="29"/>
      <c r="T79" s="29"/>
      <c r="V79" s="29"/>
    </row>
    <row r="80" spans="2:22" ht="24" customHeight="1" x14ac:dyDescent="0.25">
      <c r="N80" s="1"/>
      <c r="O80" s="29"/>
      <c r="P80" s="29"/>
      <c r="Q80" s="29"/>
      <c r="R80" s="29"/>
      <c r="S80" s="29"/>
      <c r="T80" s="29"/>
      <c r="U80" s="29"/>
      <c r="V80" s="29"/>
    </row>
    <row r="81" spans="1:22" ht="1.5" customHeight="1" x14ac:dyDescent="0.25"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 spans="1:22" ht="4.5" customHeight="1" x14ac:dyDescent="0.25">
      <c r="N82" s="1"/>
      <c r="O82" s="29"/>
      <c r="P82" s="29"/>
      <c r="Q82" s="29"/>
      <c r="R82" s="29"/>
      <c r="S82" s="29"/>
      <c r="T82" s="29"/>
      <c r="U82" s="29"/>
      <c r="V82" s="29"/>
    </row>
    <row r="83" spans="1:22" s="2" customFormat="1" x14ac:dyDescent="0.25">
      <c r="N83" s="46" t="s">
        <v>44</v>
      </c>
      <c r="O83" s="48" t="s">
        <v>52</v>
      </c>
      <c r="P83" s="46"/>
      <c r="Q83" s="46"/>
      <c r="R83" s="87" t="s">
        <v>78</v>
      </c>
      <c r="S83" s="88"/>
      <c r="T83" s="46"/>
      <c r="U83" s="46"/>
      <c r="V83" s="46"/>
    </row>
    <row r="84" spans="1:22" s="2" customFormat="1" x14ac:dyDescent="0.25">
      <c r="N84" s="47" t="s">
        <v>88</v>
      </c>
      <c r="O84" s="75" t="e" cm="1">
        <f t="array" aca="1" ref="O84" ca="1">_xll.SUBNM(db_name&amp;":headline year","",$C$21)</f>
        <v>#NAME?</v>
      </c>
      <c r="P84" s="44"/>
      <c r="Q84" s="44"/>
      <c r="R84" s="47" t="s">
        <v>45</v>
      </c>
      <c r="S84" s="70" t="e" cm="1">
        <f t="array" aca="1" ref="S84" ca="1">_xll.SUBNM(db_name&amp;":sys_ReportDisplay","","Collapse")</f>
        <v>#NAME?</v>
      </c>
      <c r="U84" s="44"/>
      <c r="V84" s="45"/>
    </row>
    <row r="85" spans="1:22" s="2" customFormat="1" x14ac:dyDescent="0.25">
      <c r="N85" s="47" t="s">
        <v>89</v>
      </c>
      <c r="O85" s="75" t="e" cm="1">
        <f t="array" aca="1" ref="O85" ca="1">_xll.SUBNM(db_name&amp;":scenario","",$C$22)</f>
        <v>#NAME?</v>
      </c>
      <c r="P85" s="44"/>
      <c r="Q85" s="44"/>
      <c r="R85" s="47" t="s">
        <v>46</v>
      </c>
      <c r="S85" s="70" t="e" cm="1">
        <f t="array" aca="1" ref="S85" ca="1">_xll.SUBNM(db_name&amp;":sys_ReportDisplay","","Collapse")</f>
        <v>#NAME?</v>
      </c>
      <c r="T85" s="45"/>
      <c r="U85" s="45"/>
      <c r="V85" s="45"/>
    </row>
    <row r="86" spans="1:22" s="2" customFormat="1" x14ac:dyDescent="0.25">
      <c r="N86" s="47" t="s">
        <v>90</v>
      </c>
      <c r="O86" s="75" t="e">
        <f ca="1">_xll.SUBNM(db_name&amp;":status","","Total approved")</f>
        <v>#NAME?</v>
      </c>
      <c r="P86" s="44"/>
      <c r="Q86" s="44"/>
      <c r="R86" s="47" t="s">
        <v>47</v>
      </c>
      <c r="S86" s="70" t="e" cm="1">
        <f t="array" aca="1" ref="S86" ca="1">_xll.SUBNM(db_name&amp;":sys_ReportDisplay","","Collapse")</f>
        <v>#NAME?</v>
      </c>
      <c r="T86" s="45"/>
      <c r="U86" s="45"/>
      <c r="V86" s="45"/>
    </row>
    <row r="87" spans="1:22" s="2" customFormat="1" x14ac:dyDescent="0.25">
      <c r="N87" s="47" t="s">
        <v>91</v>
      </c>
      <c r="O87" s="75" t="e" cm="1">
        <f t="array" aca="1" ref="O87" ca="1">_xll.SUBNM(db_name&amp;":" &amp; psProgDimName,"","Departmental Programmes","code and description")</f>
        <v>#NAME?</v>
      </c>
      <c r="P87" s="44"/>
      <c r="Q87" s="44"/>
      <c r="R87" s="44"/>
      <c r="S87" s="44"/>
      <c r="T87" s="71" t="s">
        <v>82</v>
      </c>
      <c r="U87" s="86">
        <f ca="1">NOW()</f>
        <v>45874.614948726849</v>
      </c>
      <c r="V87" s="86"/>
    </row>
    <row r="88" spans="1:22" ht="3" customHeight="1" x14ac:dyDescent="0.25">
      <c r="N88" s="30"/>
      <c r="O88" s="29"/>
      <c r="P88" s="29"/>
      <c r="Q88" s="29"/>
      <c r="R88" s="29"/>
      <c r="S88" s="29"/>
      <c r="T88" s="29"/>
      <c r="U88" s="29"/>
      <c r="V88" s="29"/>
    </row>
    <row r="89" spans="1:22" x14ac:dyDescent="0.25">
      <c r="N89" s="89" t="s">
        <v>58</v>
      </c>
      <c r="O89" s="89" t="s">
        <v>61</v>
      </c>
      <c r="P89" s="89" t="s">
        <v>59</v>
      </c>
      <c r="Q89" s="35" t="e">
        <f t="shared" ref="Q89:V89" ca="1" si="0">Q20</f>
        <v>#NAME?</v>
      </c>
      <c r="R89" s="35" t="e">
        <f t="shared" ca="1" si="0"/>
        <v>#NAME?</v>
      </c>
      <c r="S89" s="35" t="e">
        <f t="shared" ca="1" si="0"/>
        <v>#NAME?</v>
      </c>
      <c r="T89" s="35" t="e">
        <f t="shared" ca="1" si="0"/>
        <v>#NAME?</v>
      </c>
      <c r="U89" s="35" t="e">
        <f t="shared" ca="1" si="0"/>
        <v>#NAME?</v>
      </c>
      <c r="V89" s="35" t="e">
        <f t="shared" ca="1" si="0"/>
        <v>#NAME?</v>
      </c>
    </row>
    <row r="90" spans="1:22" x14ac:dyDescent="0.25">
      <c r="N90" s="89"/>
      <c r="O90" s="89"/>
      <c r="P90" s="89"/>
      <c r="Q90" s="63" t="s">
        <v>94</v>
      </c>
      <c r="R90" s="63" t="s">
        <v>53</v>
      </c>
      <c r="S90" s="63" t="s">
        <v>54</v>
      </c>
      <c r="T90" s="63" t="s">
        <v>55</v>
      </c>
      <c r="U90" s="63" t="s">
        <v>56</v>
      </c>
      <c r="V90" s="63" t="s">
        <v>57</v>
      </c>
    </row>
    <row r="91" spans="1:22" ht="14.25" customHeight="1" x14ac:dyDescent="0.25">
      <c r="K91" s="63" t="s">
        <v>59</v>
      </c>
      <c r="N91" s="89"/>
      <c r="O91" s="89"/>
      <c r="P91" s="89"/>
      <c r="Q91" s="63" t="s">
        <v>60</v>
      </c>
      <c r="R91" s="63" t="s">
        <v>60</v>
      </c>
      <c r="S91" s="63" t="s">
        <v>60</v>
      </c>
      <c r="T91" s="63" t="s">
        <v>60</v>
      </c>
      <c r="U91" s="63" t="s">
        <v>60</v>
      </c>
      <c r="V91" s="63" t="s">
        <v>60</v>
      </c>
    </row>
    <row r="92" spans="1:22" ht="4.5" customHeight="1" x14ac:dyDescent="0.25">
      <c r="Q92" s="36"/>
      <c r="R92" s="36"/>
      <c r="S92" s="36"/>
      <c r="T92" s="36"/>
      <c r="U92" s="36"/>
      <c r="V92" s="36"/>
    </row>
    <row r="93" spans="1:22" ht="18.75" x14ac:dyDescent="0.3">
      <c r="N93" s="58" t="s">
        <v>48</v>
      </c>
      <c r="O93" s="59"/>
      <c r="P93" s="60"/>
      <c r="Q93" s="61"/>
      <c r="R93" s="61"/>
      <c r="S93" s="61"/>
      <c r="T93" s="61"/>
      <c r="U93" s="61"/>
      <c r="V93" s="61"/>
    </row>
    <row r="94" spans="1:22" x14ac:dyDescent="0.25">
      <c r="A94" t="e" cm="1">
        <f t="array" aca="1" ref="A94" ca="1">IF(_xll.TM1RPTELISCONSOLIDATED($N$94,$N94),IF(_xll.TM1RPTELLEV($N$94,$N94)&lt;=3,_xll.TM1RPTELLEV($N$94,$N94),"D"),"N")</f>
        <v>#NAME?</v>
      </c>
      <c r="B94" s="50"/>
      <c r="D94" s="2"/>
      <c r="E94" s="2"/>
      <c r="F94" s="2"/>
      <c r="G94" s="2"/>
      <c r="H94" s="2"/>
      <c r="I94" s="2"/>
      <c r="J94" s="2"/>
      <c r="K94" s="20" t="e" cm="1">
        <f t="array" aca="1" ref="K94" ca="1">_xll.DBRW($C$41,$N94,K$91)</f>
        <v>#NAME?</v>
      </c>
      <c r="L94" s="2"/>
      <c r="M94" s="2"/>
      <c r="N94" s="62" t="e" cm="1">
        <f t="array" aca="1" ref="N94" ca="1">_xll.TM1RPTROW($C$37,db_name&amp;":account","",,"code and description",1,D61)</f>
        <v>#NAME?</v>
      </c>
      <c r="O94" s="57" t="e" cm="1">
        <f t="array" aca="1" ref="O94" ca="1">_xll.TM1RPTROW($C$37,db_name&amp;":" &amp; psProgDimName,"",,"code and description",1,$C$69,,$D$69)</f>
        <v>#NAME?</v>
      </c>
      <c r="P94" s="55" t="e">
        <f ca="1">$K94</f>
        <v>#NAME?</v>
      </c>
      <c r="Q94" s="56" t="e" cm="1">
        <f t="array" aca="1" ref="Q94" ca="1">_xll.DBRW($C$37,$O$84,$O$85,$C$44,$C$45,$C$46,$C$47,$C$48,$C$49,$C$50,$C$51,$C$52,$C$53,$O94,$N94,$C$56,$C$57,Q$20)</f>
        <v>#NAME?</v>
      </c>
      <c r="R94" s="56" t="e" cm="1">
        <f t="array" aca="1" ref="R94" ca="1">_xll.DBRW($C$37,$O$84,$O$85,$C$44,$C$45,$C$46,$C$47,$C$48,$C$49,$C$50,$C$51,$C$52,$C$53,$O94,$N94,$C$56,$C$57,R$20)</f>
        <v>#NAME?</v>
      </c>
      <c r="S94" s="33" t="e" cm="1">
        <f t="array" aca="1" ref="S94" ca="1">_xll.DBRW($C$37,$O$84,$O$85,$C$44,$C$45,$C$46,$C$47,$C$48,$C$49,$C$50,$C$51,$C$52,$C$53,$O94,$N94,$C$56,$C$57,S$20)</f>
        <v>#NAME?</v>
      </c>
      <c r="T94" s="33" t="e" cm="1">
        <f t="array" aca="1" ref="T94" ca="1">_xll.DBRW($C$37,$O$84,$O$85,$C$44,$C$45,$C$46,$C$47,$C$48,$C$49,$C$50,$C$51,$C$52,$C$53,$O94,$N94,$C$56,$C$57,T$20)</f>
        <v>#NAME?</v>
      </c>
      <c r="U94" s="33" t="e" cm="1">
        <f t="array" aca="1" ref="U94" ca="1">_xll.DBRW($C$37,$O$84,$O$85,$C$44,$C$45,$C$46,$C$47,$C$48,$C$49,$C$50,$C$51,$C$52,$C$53,$O94,$N94,$C$56,$C$57,U$20)</f>
        <v>#NAME?</v>
      </c>
      <c r="V94" s="34" t="e" cm="1">
        <f t="array" aca="1" ref="V94" ca="1">_xll.DBRW($C$37,$O$84,$O$85,$C$44,$C$45,$C$46,$C$47,$C$48,$C$49,$C$50,$C$51,$C$52,$C$53,$O94,$N94,$C$56,$C$57,V$20)</f>
        <v>#NAME?</v>
      </c>
    </row>
    <row r="95" spans="1:22" ht="3" customHeight="1" x14ac:dyDescent="0.25">
      <c r="N95" s="37"/>
      <c r="O95" s="37"/>
      <c r="P95" s="37"/>
      <c r="Q95" s="37"/>
      <c r="R95" s="37"/>
      <c r="S95" s="37"/>
      <c r="T95" s="37"/>
      <c r="U95" s="37"/>
      <c r="V95" s="37"/>
    </row>
    <row r="96" spans="1:22" ht="18.75" x14ac:dyDescent="0.3">
      <c r="N96" s="58" t="s">
        <v>46</v>
      </c>
      <c r="O96" s="59"/>
      <c r="P96" s="60"/>
      <c r="Q96" s="61"/>
      <c r="R96" s="61"/>
      <c r="S96" s="61"/>
      <c r="T96" s="61"/>
      <c r="U96" s="61"/>
      <c r="V96" s="61"/>
    </row>
    <row r="97" spans="1:22" x14ac:dyDescent="0.25">
      <c r="A97" t="e" cm="1">
        <f t="array" aca="1" ref="A97" ca="1">IF(_xll.TM1RPTELISCONSOLIDATED($N$97,$N97),IF(_xll.TM1RPTELLEV($N$97,$N97)&lt;=3,_xll.TM1RPTELLEV($N$97,$N97),"D"),"N")</f>
        <v>#NAME?</v>
      </c>
      <c r="B97" s="50"/>
      <c r="D97" s="2"/>
      <c r="E97" s="2"/>
      <c r="F97" s="2"/>
      <c r="G97" s="2"/>
      <c r="H97" s="2"/>
      <c r="I97" s="2"/>
      <c r="J97" s="2"/>
      <c r="K97" s="20" t="e" cm="1">
        <f t="array" aca="1" ref="K97" ca="1">_xll.DBRW($C$41,$N97,K$91)</f>
        <v>#NAME?</v>
      </c>
      <c r="L97" s="2"/>
      <c r="M97" s="2"/>
      <c r="N97" s="74" t="e">
        <f ca="1">_xll.TM1RPTROW($C$38,db_name&amp;":account",,,"code and description",1,D62)</f>
        <v>#NAME?</v>
      </c>
      <c r="O97" s="57" t="e" cm="1">
        <f t="array" aca="1" ref="O97" ca="1">_xll.TM1RPTROW($C$38,db_name&amp;":" &amp; psProgDimName,"",,"code and description",1,$C$70,,$D$70)</f>
        <v>#NAME?</v>
      </c>
      <c r="P97" s="55" t="e">
        <f ca="1">$K97</f>
        <v>#NAME?</v>
      </c>
      <c r="Q97" s="56" t="e" cm="1">
        <f t="array" aca="1" ref="Q97" ca="1">_xll.DBRW($C$38,$O$84,$O$85,$C$44,$C$45,$C$46,$C$47,$C$48,$C$49,$C$50,$C$51,$C$52,$C$53,$O97,$N97,$C$56,$C$57,Q$20)</f>
        <v>#NAME?</v>
      </c>
      <c r="R97" s="56" t="e" cm="1">
        <f t="array" aca="1" ref="R97" ca="1">_xll.DBRW($C$38,$O$84,$O$85,$C$44,$C$45,$C$46,$C$47,$C$48,$C$49,$C$50,$C$51,$C$52,$C$53,$O97,$N97,$C$56,$C$57,R$20)</f>
        <v>#NAME?</v>
      </c>
      <c r="S97" s="33" t="e" cm="1">
        <f t="array" aca="1" ref="S97" ca="1">_xll.DBRW($C$38,$O$84,$O$85,$C$44,$C$45,$C$46,$C$47,$C$48,$C$49,$C$50,$C$51,$C$52,$C$53,$O97,$N97,$C$56,$C$57,S$20)</f>
        <v>#NAME?</v>
      </c>
      <c r="T97" s="33" t="e" cm="1">
        <f t="array" aca="1" ref="T97" ca="1">_xll.DBRW($C$38,$O$84,$O$85,$C$44,$C$45,$C$46,$C$47,$C$48,$C$49,$C$50,$C$51,$C$52,$C$53,$O97,$N97,$C$56,$C$57,T$20)</f>
        <v>#NAME?</v>
      </c>
      <c r="U97" s="33" t="e" cm="1">
        <f t="array" aca="1" ref="U97" ca="1">_xll.DBRW($C$38,$O$84,$O$85,$C$44,$C$45,$C$46,$C$47,$C$48,$C$49,$C$50,$C$51,$C$52,$C$53,$O97,$N97,$C$56,$C$57,U$20)</f>
        <v>#NAME?</v>
      </c>
      <c r="V97" s="34" t="e" cm="1">
        <f t="array" aca="1" ref="V97" ca="1">_xll.DBRW($C$38,$O$84,$O$85,$C$44,$C$45,$C$46,$C$47,$C$48,$C$49,$C$50,$C$51,$C$52,$C$53,$O97,$N97,$C$56,$C$57,V$20)</f>
        <v>#NAME?</v>
      </c>
    </row>
    <row r="98" spans="1:22" ht="3" customHeight="1" x14ac:dyDescent="0.25">
      <c r="N98" s="37"/>
      <c r="O98" s="37"/>
      <c r="P98" s="37"/>
      <c r="Q98" s="37"/>
      <c r="R98" s="37"/>
      <c r="S98" s="37"/>
      <c r="T98" s="37"/>
      <c r="U98" s="37"/>
      <c r="V98" s="37"/>
    </row>
    <row r="99" spans="1:22" ht="18.75" x14ac:dyDescent="0.3">
      <c r="N99" s="58" t="s">
        <v>49</v>
      </c>
      <c r="O99" s="59"/>
      <c r="P99" s="60"/>
      <c r="Q99" s="61"/>
      <c r="R99" s="61"/>
      <c r="S99" s="61"/>
      <c r="T99" s="61"/>
      <c r="U99" s="61"/>
      <c r="V99" s="61"/>
    </row>
    <row r="100" spans="1:22" x14ac:dyDescent="0.25">
      <c r="A100" t="e" cm="1">
        <f t="array" aca="1" ref="A100" ca="1">IF(_xll.TM1RPTELISCONSOLIDATED($N$100,$N100),IF(_xll.TM1RPTELLEV($N$100,$N100)&lt;=3,_xll.TM1RPTELLEV($N$100,$N100),"D"),"N")</f>
        <v>#NAME?</v>
      </c>
      <c r="B100" s="50"/>
      <c r="D100" s="2"/>
      <c r="E100" s="2"/>
      <c r="F100" s="2"/>
      <c r="G100" s="2"/>
      <c r="H100" s="2"/>
      <c r="I100" s="2"/>
      <c r="J100" s="2"/>
      <c r="K100" s="20" t="e" cm="1">
        <f t="array" aca="1" ref="K100" ca="1">_xll.DBRW($C$41,$N100,K$91)</f>
        <v>#NAME?</v>
      </c>
      <c r="L100" s="2"/>
      <c r="M100" s="2"/>
      <c r="N100" s="73" t="e">
        <f ca="1">_xll.TM1RPTROW($C$39,db_name&amp;":account",,,"code and description",1,D63)</f>
        <v>#NAME?</v>
      </c>
      <c r="O100" s="57" t="e" cm="1">
        <f t="array" aca="1" ref="O100" ca="1">_xll.TM1RPTROW($C$39,db_name&amp;":" &amp; psProgDimName,"",,"code and description",1,$C$71,,$D$71)</f>
        <v>#NAME?</v>
      </c>
      <c r="P100" s="55" t="e">
        <f ca="1">$K100</f>
        <v>#NAME?</v>
      </c>
      <c r="Q100" s="56" t="e" cm="1">
        <f t="array" aca="1" ref="Q100" ca="1">_xll.DBRW($C$39,$O$84,$O$85,$C$44,$C$45,$C$46,$C$47,$C$48,$C$49,$C$50,$C$51,$C$52,$C$53,$O100,$N100,$C$56,$C$57,Q$20)</f>
        <v>#NAME?</v>
      </c>
      <c r="R100" s="56" t="e" cm="1">
        <f t="array" aca="1" ref="R100" ca="1">_xll.DBRW($C$39,$O$84,$O$85,$C$44,$C$45,$C$46,$C$47,$C$48,$C$49,$C$50,$C$51,$C$52,$C$53,$O100,$N100,$C$56,$C$57,R$20)</f>
        <v>#NAME?</v>
      </c>
      <c r="S100" s="33" t="e" cm="1">
        <f t="array" aca="1" ref="S100" ca="1">_xll.DBRW($C$39,$O$84,$O$85,$C$44,$C$45,$C$46,$C$47,$C$48,$C$49,$C$50,$C$51,$C$52,$C$53,$O100,$N100,$C$56,$C$57,S$20)</f>
        <v>#NAME?</v>
      </c>
      <c r="T100" s="33" t="e" cm="1">
        <f t="array" aca="1" ref="T100" ca="1">_xll.DBRW($C$39,$O$84,$O$85,$C$44,$C$45,$C$46,$C$47,$C$48,$C$49,$C$50,$C$51,$C$52,$C$53,$O100,$N100,$C$56,$C$57,T$20)</f>
        <v>#NAME?</v>
      </c>
      <c r="U100" s="33" t="e" cm="1">
        <f t="array" aca="1" ref="U100" ca="1">_xll.DBRW($C$39,$O$84,$O$85,$C$44,$C$45,$C$46,$C$47,$C$48,$C$49,$C$50,$C$51,$C$52,$C$53,$O100,$N100,$C$56,$C$57,U$20)</f>
        <v>#NAME?</v>
      </c>
      <c r="V100" s="34" t="e" cm="1">
        <f t="array" aca="1" ref="V100" ca="1">_xll.DBRW($C$39,$O$84,$O$85,$C$44,$C$45,$C$46,$C$47,$C$48,$C$49,$C$50,$C$51,$C$52,$C$53,$O100,$N100,$C$56,$C$57,V$20)</f>
        <v>#NAME?</v>
      </c>
    </row>
    <row r="101" spans="1:22" x14ac:dyDescent="0.25">
      <c r="N101" s="37"/>
      <c r="O101" s="37"/>
      <c r="P101" s="37"/>
      <c r="Q101" s="37"/>
      <c r="R101" s="37"/>
      <c r="S101" s="37"/>
      <c r="T101" s="37"/>
      <c r="U101" s="37"/>
      <c r="V101" s="37"/>
    </row>
  </sheetData>
  <sheetProtection sheet="1" objects="1" scenarios="1"/>
  <mergeCells count="10">
    <mergeCell ref="U87:V87"/>
    <mergeCell ref="R83:S83"/>
    <mergeCell ref="N89:N91"/>
    <mergeCell ref="O89:O91"/>
    <mergeCell ref="P89:P91"/>
    <mergeCell ref="B25:D25"/>
    <mergeCell ref="B11:C11"/>
    <mergeCell ref="B19:C19"/>
    <mergeCell ref="B36:C36"/>
    <mergeCell ref="B60:C60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34" r:id="rId4" name="TIButton2">
          <controlPr defaultSize="0" print="0" autoLine="0" autoPict="0" r:id="rId5">
            <anchor moveWithCells="1" sizeWithCells="1">
              <from>
                <xdr:col>13</xdr:col>
                <xdr:colOff>28575</xdr:colOff>
                <xdr:row>79</xdr:row>
                <xdr:rowOff>0</xdr:rowOff>
              </from>
              <to>
                <xdr:col>13</xdr:col>
                <xdr:colOff>666750</xdr:colOff>
                <xdr:row>79</xdr:row>
                <xdr:rowOff>247650</xdr:rowOff>
              </to>
            </anchor>
          </controlPr>
        </control>
      </mc:Choice>
      <mc:Fallback>
        <control shapeId="1034" r:id="rId4" name="TIButton2"/>
      </mc:Fallback>
    </mc:AlternateContent>
    <mc:AlternateContent xmlns:mc="http://schemas.openxmlformats.org/markup-compatibility/2006">
      <mc:Choice Requires="x14">
        <control shapeId="1035" r:id="rId6" name="TIButton3">
          <controlPr defaultSize="0" print="0" autoLine="0" autoPict="0" r:id="rId7">
            <anchor moveWithCells="1" sizeWithCells="1">
              <from>
                <xdr:col>14</xdr:col>
                <xdr:colOff>2686050</xdr:colOff>
                <xdr:row>79</xdr:row>
                <xdr:rowOff>0</xdr:rowOff>
              </from>
              <to>
                <xdr:col>15</xdr:col>
                <xdr:colOff>85725</xdr:colOff>
                <xdr:row>79</xdr:row>
                <xdr:rowOff>247650</xdr:rowOff>
              </to>
            </anchor>
          </controlPr>
        </control>
      </mc:Choice>
      <mc:Fallback>
        <control shapeId="1035" r:id="rId6" name="TIButton3"/>
      </mc:Fallback>
    </mc:AlternateContent>
    <mc:AlternateContent xmlns:mc="http://schemas.openxmlformats.org/markup-compatibility/2006">
      <mc:Choice Requires="x14">
        <control shapeId="1036" r:id="rId8" name="TIButton1">
          <controlPr defaultSize="0" print="0" autoLine="0" autoPict="0" r:id="rId9">
            <anchor moveWithCells="1" sizeWithCells="1">
              <from>
                <xdr:col>13</xdr:col>
                <xdr:colOff>704850</xdr:colOff>
                <xdr:row>79</xdr:row>
                <xdr:rowOff>0</xdr:rowOff>
              </from>
              <to>
                <xdr:col>13</xdr:col>
                <xdr:colOff>1828800</xdr:colOff>
                <xdr:row>79</xdr:row>
                <xdr:rowOff>247650</xdr:rowOff>
              </to>
            </anchor>
          </controlPr>
        </control>
      </mc:Choice>
      <mc:Fallback>
        <control shapeId="1036" r:id="rId8" name="TIButton1"/>
      </mc:Fallback>
    </mc:AlternateContent>
    <mc:AlternateContent xmlns:mc="http://schemas.openxmlformats.org/markup-compatibility/2006">
      <mc:Choice Requires="x14">
        <control shapeId="1037" r:id="rId10" name="TIButton4">
          <controlPr defaultSize="0" print="0" autoLine="0" r:id="rId11">
            <anchor moveWithCells="1" sizeWithCells="1">
              <from>
                <xdr:col>21</xdr:col>
                <xdr:colOff>723900</xdr:colOff>
                <xdr:row>78</xdr:row>
                <xdr:rowOff>38100</xdr:rowOff>
              </from>
              <to>
                <xdr:col>21</xdr:col>
                <xdr:colOff>1047750</xdr:colOff>
                <xdr:row>79</xdr:row>
                <xdr:rowOff>285750</xdr:rowOff>
              </to>
            </anchor>
          </controlPr>
        </control>
      </mc:Choice>
      <mc:Fallback>
        <control shapeId="1037" r:id="rId10" name="TIButton4"/>
      </mc:Fallback>
    </mc:AlternateContent>
    <mc:AlternateContent xmlns:mc="http://schemas.openxmlformats.org/markup-compatibility/2006">
      <mc:Choice Requires="x14">
        <control shapeId="1038" r:id="rId12" name="TIButton5">
          <controlPr defaultSize="0" print="0" autoLine="0" autoPict="0" r:id="rId13">
            <anchor moveWithCells="1" sizeWithCells="1">
              <from>
                <xdr:col>13</xdr:col>
                <xdr:colOff>1857375</xdr:colOff>
                <xdr:row>79</xdr:row>
                <xdr:rowOff>0</xdr:rowOff>
              </from>
              <to>
                <xdr:col>13</xdr:col>
                <xdr:colOff>3209925</xdr:colOff>
                <xdr:row>79</xdr:row>
                <xdr:rowOff>247650</xdr:rowOff>
              </to>
            </anchor>
          </controlPr>
        </control>
      </mc:Choice>
      <mc:Fallback>
        <control shapeId="1038" r:id="rId12" name="TIButton5"/>
      </mc:Fallback>
    </mc:AlternateContent>
    <mc:AlternateContent xmlns:mc="http://schemas.openxmlformats.org/markup-compatibility/2006">
      <mc:Choice Requires="x14">
        <control shapeId="1039" r:id="rId14" name="TIButton6">
          <controlPr defaultSize="0" print="0" autoLine="0" autoPict="0" r:id="rId15">
            <anchor moveWithCells="1" sizeWithCells="1">
              <from>
                <xdr:col>13</xdr:col>
                <xdr:colOff>3228975</xdr:colOff>
                <xdr:row>79</xdr:row>
                <xdr:rowOff>0</xdr:rowOff>
              </from>
              <to>
                <xdr:col>14</xdr:col>
                <xdr:colOff>1400175</xdr:colOff>
                <xdr:row>79</xdr:row>
                <xdr:rowOff>247650</xdr:rowOff>
              </to>
            </anchor>
          </controlPr>
        </control>
      </mc:Choice>
      <mc:Fallback>
        <control shapeId="1039" r:id="rId14" name="TIButton6"/>
      </mc:Fallback>
    </mc:AlternateContent>
    <mc:AlternateContent xmlns:mc="http://schemas.openxmlformats.org/markup-compatibility/2006">
      <mc:Choice Requires="x14">
        <control shapeId="1040" r:id="rId16" name="TIButton7">
          <controlPr defaultSize="0" print="0" autoLine="0" autoPict="0" r:id="rId17">
            <anchor moveWithCells="1" sizeWithCells="1">
              <from>
                <xdr:col>14</xdr:col>
                <xdr:colOff>1428750</xdr:colOff>
                <xdr:row>79</xdr:row>
                <xdr:rowOff>0</xdr:rowOff>
              </from>
              <to>
                <xdr:col>14</xdr:col>
                <xdr:colOff>2638425</xdr:colOff>
                <xdr:row>79</xdr:row>
                <xdr:rowOff>247650</xdr:rowOff>
              </to>
            </anchor>
          </controlPr>
        </control>
      </mc:Choice>
      <mc:Fallback>
        <control shapeId="1040" r:id="rId16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report</vt:lpstr>
      <vt:lpstr>db_name</vt:lpstr>
      <vt:lpstr>PL_progtype_list</vt:lpstr>
      <vt:lpstr>PL_progtype_lookup</vt:lpstr>
      <vt:lpstr>psApp</vt:lpstr>
      <vt:lpstr>psProgDimName</vt:lpstr>
      <vt:lpstr>psUser</vt:lpstr>
      <vt:lpstr>TargetCells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TM1OthRprTBalDrillCAP</vt:lpstr>
      <vt:lpstr>TM1OthRprTBalDrillWB</vt:lpstr>
      <vt:lpstr>TM1OthRprTBalDrillWS</vt:lpstr>
      <vt:lpstr>report!TM1RPTDATARNG1</vt:lpstr>
      <vt:lpstr>report!TM1RPTDATARNGARPT1</vt:lpstr>
      <vt:lpstr>TM1RPTDATARNGARPT1</vt:lpstr>
      <vt:lpstr>report!TM1RPTDATARNGARPT2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2019-06-27T05:48:38Z</dcterms:created>
  <dcterms:modified xsi:type="dcterms:W3CDTF">2025-08-05T04:45:31Z</dcterms:modified>
</cp:coreProperties>
</file>