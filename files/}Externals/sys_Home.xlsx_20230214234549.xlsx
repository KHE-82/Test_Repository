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4.xml" ContentType="application/vnd.ms-office.activeX+xml"/>
  <Override PartName="/xl/activeX/activeX3.bin" ContentType="application/vnd.ms-office.activeX"/>
  <Override PartName="/xl/activeX/activeX5.xml" ContentType="application/vnd.ms-office.activeX+xml"/>
  <Override PartName="/xl/activeX/activeX4.bin" ContentType="application/vnd.ms-office.activeX"/>
  <Override PartName="/xl/activeX/activeX6.xml" ContentType="application/vnd.ms-office.activeX+xml"/>
  <Override PartName="/xl/activeX/activeX5.bin" ContentType="application/vnd.ms-office.activeX"/>
  <Override PartName="/xl/activeX/activeX7.xml" ContentType="application/vnd.ms-office.activeX+xml"/>
  <Override PartName="/xl/activeX/activeX6.bin" ContentType="application/vnd.ms-office.activeX"/>
  <Override PartName="/xl/activeX/activeX8.xml" ContentType="application/vnd.ms-office.activeX+xml"/>
  <Override PartName="/xl/activeX/activeX7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6AA3E254-8FA0-486B-A36C-D407B3DA1412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home" sheetId="1" r:id="rId1"/>
    <sheet name="{PL}PickLst" sheetId="3" state="hidden" r:id="rId2"/>
  </sheets>
  <definedNames>
    <definedName name="db_name">home!$C$12</definedName>
    <definedName name="ID" localSheetId="1" hidden="1">"b62b1965-df53-407f-97ba-18d41eaa019c"</definedName>
    <definedName name="ID" localSheetId="0" hidden="1">"235c6104-980d-40a8-8051-14ab7af9516e"</definedName>
    <definedName name="psFilter">home!$M$96</definedName>
    <definedName name="psHLYear">home!$C$21</definedName>
    <definedName name="psScenario">home!$C$22</definedName>
    <definedName name="psUser">home!$C$17</definedName>
    <definedName name="rng_Start">home!$F$99</definedName>
    <definedName name="TM1HomeAdminCAP">home!$D$70</definedName>
    <definedName name="TM1HomeAdminWB">home!$F$70</definedName>
    <definedName name="TM1HomeAdminWS">home!$H$70</definedName>
    <definedName name="TM1HomeAECAP">home!$D$68</definedName>
    <definedName name="TM1HomeAEWB">home!$F$68</definedName>
    <definedName name="TM1HomeAEWS">home!$H$68</definedName>
    <definedName name="TM1HomeCAP">home!$D$67</definedName>
    <definedName name="TM1HomeRepCAP">home!$D$69</definedName>
    <definedName name="TM1HomeRepWB">home!$F$69</definedName>
    <definedName name="TM1HomeRepWS">home!$H$69</definedName>
    <definedName name="TM1HomeUnderCAP">home!$D$72</definedName>
    <definedName name="TM1HomeUnderWB">home!$F$72</definedName>
    <definedName name="TM1HomeUnderWS">home!$H$72</definedName>
    <definedName name="TM1HomeWB">home!$F$67</definedName>
    <definedName name="TM1HomeWS">home!$H$67</definedName>
    <definedName name="TM1MEHomeCAP">home!$D$71</definedName>
    <definedName name="TM1MEHomeWB">home!$F$71</definedName>
    <definedName name="TM1MEHomeWS">home!$H$71</definedName>
    <definedName name="TM1NotesAllCAP">home!$D$74</definedName>
    <definedName name="TM1NotesAllWB">home!$F$74</definedName>
    <definedName name="TM1NotesAllWS">home!$H$74</definedName>
    <definedName name="TM1NotesClientCAP">home!$D$73</definedName>
    <definedName name="TM1NotesClientWB">home!$F$73</definedName>
    <definedName name="TM1NotesClientWS">home!$H$73</definedName>
    <definedName name="TM1OffsetWB">home!$C$55</definedName>
    <definedName name="TM1OffsetWS">home!$C$56</definedName>
    <definedName name="TM1REBUILDOPTION">1</definedName>
    <definedName name="TM1RPTDATARNG1" localSheetId="0">home!$101:$101</definedName>
    <definedName name="TM1RPTFMTIDCOL" localSheetId="0">home!$A$1:$A$8</definedName>
    <definedName name="TM1RPTFMTRNG" localSheetId="0">home!$F$1:$R$8</definedName>
    <definedName name="TM1WB">home!$C$52</definedName>
    <definedName name="TM1WS">home!$C$53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8" i="1" l="1"/>
  <c r="C45" i="1"/>
  <c r="C14" i="1"/>
  <c r="C46" i="1"/>
  <c r="C54" i="1"/>
  <c r="C55" i="1"/>
  <c r="C37" i="1"/>
  <c r="C13" i="1"/>
  <c r="C16" i="1"/>
  <c r="C17" i="1"/>
  <c r="C51" i="1"/>
  <c r="C52" i="1"/>
  <c r="C56" i="1"/>
  <c r="C53" i="1"/>
  <c r="C62" i="1"/>
  <c r="F101" i="1"/>
  <c r="C47" i="1"/>
  <c r="H71" i="1"/>
  <c r="G71" i="1"/>
  <c r="F71" i="1"/>
  <c r="E71" i="1"/>
  <c r="D71" i="1"/>
  <c r="C71" i="1"/>
  <c r="C50" i="1"/>
  <c r="C63" i="1"/>
  <c r="K103" i="1"/>
  <c r="K99" i="1"/>
  <c r="F69" i="1"/>
  <c r="F70" i="1"/>
  <c r="A5" i="1"/>
  <c r="A4" i="1"/>
  <c r="A3" i="1"/>
  <c r="A2" i="1"/>
  <c r="G74" i="1"/>
  <c r="D73" i="1"/>
  <c r="C20" i="1"/>
  <c r="C31" i="1"/>
  <c r="C28" i="1"/>
  <c r="F74" i="1"/>
  <c r="C73" i="1"/>
  <c r="H72" i="1"/>
  <c r="D69" i="1"/>
  <c r="H67" i="1"/>
  <c r="C21" i="1"/>
  <c r="C30" i="1"/>
  <c r="C26" i="1"/>
  <c r="E70" i="1"/>
  <c r="C69" i="1"/>
  <c r="G67" i="1"/>
  <c r="C23" i="1"/>
  <c r="C49" i="1"/>
  <c r="C22" i="1"/>
  <c r="H73" i="1"/>
  <c r="D31" i="1"/>
  <c r="C29" i="1"/>
  <c r="E72" i="1"/>
  <c r="C70" i="1"/>
  <c r="G68" i="1"/>
  <c r="E67" i="1"/>
  <c r="G73" i="1"/>
  <c r="D30" i="1"/>
  <c r="E101" i="1"/>
  <c r="D72" i="1"/>
  <c r="H69" i="1"/>
  <c r="F68" i="1"/>
  <c r="D67" i="1"/>
  <c r="C15" i="1"/>
  <c r="D74" i="1"/>
  <c r="F73" i="1"/>
  <c r="C32" i="1"/>
  <c r="C27" i="1"/>
  <c r="H101" i="1"/>
  <c r="C72" i="1"/>
  <c r="G69" i="1"/>
  <c r="E68" i="1"/>
  <c r="C67" i="1"/>
  <c r="A101" i="1"/>
  <c r="H74" i="1"/>
  <c r="E73" i="1"/>
  <c r="G101" i="1"/>
  <c r="D68" i="1"/>
  <c r="C68" i="1"/>
  <c r="C39" i="1"/>
  <c r="E74" i="1"/>
  <c r="G72" i="1"/>
  <c r="H70" i="1"/>
  <c r="G70" i="1"/>
  <c r="C74" i="1"/>
  <c r="D32" i="1"/>
  <c r="F72" i="1"/>
  <c r="D70" i="1"/>
  <c r="H68" i="1"/>
  <c r="F67" i="1"/>
  <c r="C24" i="1"/>
  <c r="C40" i="1"/>
  <c r="C38" i="1"/>
  <c r="C41" i="1"/>
  <c r="E69" i="1"/>
  <c r="E38" i="1"/>
  <c r="E39" i="1"/>
  <c r="K101" i="1"/>
  <c r="M101" i="1"/>
  <c r="U90" i="1"/>
  <c r="S86" i="1"/>
  <c r="V90" i="1"/>
  <c r="C25" i="1"/>
  <c r="K78" i="1"/>
  <c r="S90" i="1"/>
  <c r="S82" i="1"/>
  <c r="T90" i="1"/>
  <c r="S84" i="1"/>
  <c r="W76" i="1"/>
  <c r="C60" i="1"/>
  <c r="C59" i="1"/>
</calcChain>
</file>

<file path=xl/sharedStrings.xml><?xml version="1.0" encoding="utf-8"?>
<sst xmlns="http://schemas.openxmlformats.org/spreadsheetml/2006/main" count="90" uniqueCount="85">
  <si>
    <t>Workbook</t>
  </si>
  <si>
    <t>Worksheet</t>
  </si>
  <si>
    <t>D</t>
  </si>
  <si>
    <t>N</t>
  </si>
  <si>
    <t>[Begin Format Range]</t>
  </si>
  <si>
    <t>[End Format Range]</t>
  </si>
  <si>
    <t>Application</t>
  </si>
  <si>
    <t>{TM1FILTERBYLEVEL( {TM1SUBSETALL( [sys_application] )}, 0)}</t>
  </si>
  <si>
    <t>"</t>
  </si>
  <si>
    <t>Active Form View</t>
  </si>
  <si>
    <t>Slice View</t>
  </si>
  <si>
    <t>Offset Workbook</t>
  </si>
  <si>
    <t>Offset Worksheet</t>
  </si>
  <si>
    <t>Offset Value</t>
  </si>
  <si>
    <t>Active Form Filter Count</t>
  </si>
  <si>
    <t>TM1RPTFILTER</t>
  </si>
  <si>
    <t>MDX "</t>
  </si>
  <si>
    <t>MDX To Use</t>
  </si>
  <si>
    <t>All</t>
  </si>
  <si>
    <t>MDX Filter</t>
  </si>
  <si>
    <t>Caption</t>
  </si>
  <si>
    <t>Worksheet description</t>
  </si>
  <si>
    <t>Search Key Words :</t>
  </si>
  <si>
    <t>Favourite Application :</t>
  </si>
  <si>
    <t>Database Variables</t>
  </si>
  <si>
    <t>Database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</si>
  <si>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</si>
  <si>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</si>
  <si>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</si>
  <si>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</si>
  <si>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</si>
  <si>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</si>
  <si>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</si>
  <si>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</si>
  <si>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</si>
  <si>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</si>
  <si>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</si>
  <si>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</si>
  <si>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</si>
  <si>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sys_application MDX</t>
  </si>
  <si>
    <t>MAIN MENU</t>
  </si>
  <si>
    <t>LATEST NEWS</t>
  </si>
  <si>
    <t>GEUS ADMINISTRATORS</t>
  </si>
  <si>
    <t>DESCRIPTION</t>
  </si>
  <si>
    <t>QUICK NAVIGATIONS</t>
  </si>
  <si>
    <t>favapp_application</t>
  </si>
  <si>
    <t>Client Preference Measure</t>
  </si>
  <si>
    <t>SubSet To Use</t>
  </si>
  <si>
    <t>Subset</t>
  </si>
  <si>
    <t>TM1 User</t>
  </si>
  <si>
    <t>}Clients</t>
  </si>
  <si>
    <t>}TM1_DefaultDisplayValue</t>
  </si>
  <si>
    <t>GEUS User Name</t>
  </si>
  <si>
    <t>Homepage - Home</t>
  </si>
  <si>
    <t>Homepage - Annual Estimates</t>
  </si>
  <si>
    <t>Homepage - Reports</t>
  </si>
  <si>
    <t>Homepage - Administration</t>
  </si>
  <si>
    <t>Homepage - Under Construction</t>
  </si>
  <si>
    <t>Caption Name</t>
  </si>
  <si>
    <t>Workbook Name</t>
  </si>
  <si>
    <t>Worksheet Name</t>
  </si>
  <si>
    <t>Excelerated Website :</t>
  </si>
  <si>
    <t>www.excelerated.com.au</t>
  </si>
  <si>
    <t>Zero Suppression</t>
  </si>
  <si>
    <t xml:space="preserve">No Longer Using Subsets. </t>
  </si>
  <si>
    <t>Slice View (sys_application)</t>
  </si>
  <si>
    <t>sys_clilent favourite application</t>
  </si>
  <si>
    <t>SYS CLIENT FAVOURITE (ACTIVE FORM)</t>
  </si>
  <si>
    <t>sys_GEUSAdmin01 Name</t>
  </si>
  <si>
    <t>sys_GEUSAdmin02 Name</t>
  </si>
  <si>
    <t>sys_GEUSAdmin01 Contact</t>
  </si>
  <si>
    <t>sys_GEUSAdmin02 Contact</t>
  </si>
  <si>
    <t>sys_NewsLine01</t>
  </si>
  <si>
    <t>sys_NewsLine02</t>
  </si>
  <si>
    <t>sys_NewsLine03</t>
  </si>
  <si>
    <t>normal</t>
  </si>
  <si>
    <t>news</t>
  </si>
  <si>
    <t>critical</t>
  </si>
  <si>
    <t>Notes - Client Specific</t>
  </si>
  <si>
    <t>Notes - All</t>
  </si>
  <si>
    <t>Note : Select a favourite and click NAVIGATE, OR enter keywords and click Refresh to display relevant applications. Clear keywords and click refresh to display your current favourites list (MAX 50).</t>
  </si>
  <si>
    <t>IBM Solution ID :</t>
  </si>
  <si>
    <t>TO SEND</t>
  </si>
  <si>
    <t>ME - Homepage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</si>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</sst>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color indexed="62"/>
      <name val="Verdana"/>
      <family val="2"/>
    </font>
    <font>
      <sz val="11"/>
      <color theme="8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70C0"/>
      <name val="Arial"/>
      <family val="2"/>
    </font>
    <font>
      <b/>
      <sz val="11"/>
      <color rgb="FF00426A"/>
      <name val="Arial"/>
      <family val="2"/>
    </font>
    <font>
      <b/>
      <u/>
      <sz val="11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E0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623A87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0" fillId="0" borderId="0">
      <protection locked="0"/>
    </xf>
    <xf numFmtId="0" fontId="12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3" borderId="1" xfId="0" applyFont="1" applyFill="1" applyBorder="1" applyAlignment="1">
      <alignment horizontal="center"/>
    </xf>
    <xf numFmtId="0" fontId="3" fillId="0" borderId="0" xfId="0" applyFont="1" applyAlignment="1">
      <alignment horizontal="right" indent="1"/>
    </xf>
    <xf numFmtId="0" fontId="2" fillId="0" borderId="0" xfId="0" applyFont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6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right" vertical="center"/>
    </xf>
    <xf numFmtId="0" fontId="9" fillId="5" borderId="0" xfId="1" applyFont="1" applyFill="1" applyAlignment="1" applyProtection="1">
      <alignment vertical="center"/>
    </xf>
    <xf numFmtId="0" fontId="0" fillId="6" borderId="0" xfId="0" applyFill="1"/>
    <xf numFmtId="0" fontId="0" fillId="0" borderId="1" xfId="0" applyBorder="1" applyAlignment="1">
      <alignment horizontal="left"/>
    </xf>
    <xf numFmtId="0" fontId="7" fillId="4" borderId="0" xfId="0" applyFont="1" applyFill="1" applyAlignment="1">
      <alignment horizontal="right" vertical="center" indent="1"/>
    </xf>
    <xf numFmtId="0" fontId="3" fillId="2" borderId="9" xfId="0" applyFont="1" applyFill="1" applyBorder="1"/>
    <xf numFmtId="0" fontId="3" fillId="2" borderId="10" xfId="0" applyFont="1" applyFill="1" applyBorder="1"/>
    <xf numFmtId="0" fontId="11" fillId="0" borderId="0" xfId="0" applyFont="1"/>
    <xf numFmtId="0" fontId="12" fillId="6" borderId="0" xfId="2" applyFill="1"/>
    <xf numFmtId="0" fontId="3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1" fillId="3" borderId="0" xfId="0" applyFont="1" applyFill="1" applyAlignment="1">
      <alignment horizontal="center"/>
    </xf>
    <xf numFmtId="0" fontId="3" fillId="6" borderId="0" xfId="0" applyFont="1" applyFill="1"/>
    <xf numFmtId="0" fontId="16" fillId="6" borderId="0" xfId="2" applyFont="1" applyFill="1" applyAlignment="1">
      <alignment horizontal="left" vertical="top"/>
    </xf>
    <xf numFmtId="0" fontId="3" fillId="6" borderId="0" xfId="0" applyFont="1" applyFill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0" fillId="8" borderId="1" xfId="0" applyFill="1" applyBorder="1"/>
    <xf numFmtId="49" fontId="0" fillId="0" borderId="1" xfId="0" applyNumberFormat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 indent="1"/>
    </xf>
    <xf numFmtId="0" fontId="14" fillId="0" borderId="0" xfId="0" applyFont="1" applyAlignment="1">
      <alignment vertical="center"/>
    </xf>
    <xf numFmtId="0" fontId="2" fillId="0" borderId="1" xfId="0" applyFont="1" applyBorder="1" applyAlignment="1">
      <alignment horizontal="left" indent="1"/>
    </xf>
    <xf numFmtId="0" fontId="9" fillId="4" borderId="0" xfId="0" applyFont="1" applyFill="1" applyAlignment="1">
      <alignment horizontal="left" vertical="center"/>
    </xf>
    <xf numFmtId="0" fontId="9" fillId="5" borderId="0" xfId="1" applyFont="1" applyFill="1" applyAlignment="1" applyProtection="1">
      <alignment horizontal="left" vertical="center"/>
    </xf>
    <xf numFmtId="0" fontId="0" fillId="0" borderId="0" xfId="0" applyAlignment="1">
      <alignment horizontal="left"/>
    </xf>
    <xf numFmtId="0" fontId="15" fillId="7" borderId="5" xfId="0" applyFont="1" applyFill="1" applyBorder="1" applyAlignment="1">
      <alignment horizontal="left" indent="1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0" borderId="1" xfId="0" applyBorder="1" applyAlignment="1" applyProtection="1">
      <alignment horizontal="left" indent="1"/>
      <protection locked="0"/>
    </xf>
    <xf numFmtId="0" fontId="4" fillId="0" borderId="0" xfId="0" applyFont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9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color theme="0"/>
      </font>
      <fill>
        <patternFill>
          <bgColor theme="9" tint="-0.499984740745262"/>
        </patternFill>
      </fill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953"/>
  <ax:ocxPr ax:name="_ExtentY" ax:value="953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4734771"/>
  <ax:ocxPr ax:name="ForeColor" ax:value="0"/>
  <ax:ocxPr ax:name="Font">
    <ax:font ax:persistence="persistPropertyBag">
      <ax:ocxPr ax:name="Name" ax:value="Arial"/>
      <ax:ocxPr ax:name="Size" ax:value="9.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"/>
  <ax:ocxPr ax:name="UseFormula" ax:value="-1"/>
  <ax:ocxPr ax:name="ProcessNameFormula" ax:value=""/>
  <ax:ocxPr ax:name="ProcessParamFormula" ax:value=""/>
  <ax:ocxPr ax:name="UseImage" ax:value="-1"/>
  <ax:ocxPr ax:name="ProcessImage">
    <ax:picture r:id="rId1"/>
  </ax:ocxPr>
  <ax:ocxPr ax:name="ImageName" ax:value="notepad.jpg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NotesClientWB"/>
  <ax:ocxPr ax:name="TargetWorksheetName" ax:value="=TM1NotesClientWS"/>
  <ax:ocxPr ax:name="AutoTitles" ax:value="0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852"/>
  <ax:ocxPr ax:name="_ExtentY" ax:value="609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5991424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Refresh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-1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jpeg"/><Relationship Id="rId4" Type="http://schemas.openxmlformats.org/officeDocument/2006/relationships/image" Target="../media/image12.jp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image" Target="../media/image4.emf"/><Relationship Id="rId7" Type="http://schemas.openxmlformats.org/officeDocument/2006/relationships/image" Target="../media/image2.emf"/><Relationship Id="rId2" Type="http://schemas.openxmlformats.org/officeDocument/2006/relationships/image" Target="../media/image3.emf"/><Relationship Id="rId1" Type="http://schemas.openxmlformats.org/officeDocument/2006/relationships/image" Target="../media/image5.emf"/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47625</xdr:colOff>
          <xdr:row>82</xdr:row>
          <xdr:rowOff>28575</xdr:rowOff>
        </xdr:from>
        <xdr:to>
          <xdr:col>11</xdr:col>
          <xdr:colOff>904875</xdr:colOff>
          <xdr:row>88</xdr:row>
          <xdr:rowOff>66675</xdr:rowOff>
        </xdr:to>
        <xdr:sp macro="" textlink="">
          <xdr:nvSpPr>
            <xdr:cNvPr id="1039" name="TIButton3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15</xdr:col>
      <xdr:colOff>66675</xdr:colOff>
      <xdr:row>79</xdr:row>
      <xdr:rowOff>57150</xdr:rowOff>
    </xdr:from>
    <xdr:to>
      <xdr:col>15</xdr:col>
      <xdr:colOff>307716</xdr:colOff>
      <xdr:row>79</xdr:row>
      <xdr:rowOff>243840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49550" y="10391775"/>
          <a:ext cx="241041" cy="190500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79</xdr:row>
      <xdr:rowOff>66675</xdr:rowOff>
    </xdr:from>
    <xdr:to>
      <xdr:col>22</xdr:col>
      <xdr:colOff>285236</xdr:colOff>
      <xdr:row>79</xdr:row>
      <xdr:rowOff>249855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64600" y="10401300"/>
          <a:ext cx="241421" cy="190800"/>
        </a:xfrm>
        <a:prstGeom prst="rect">
          <a:avLst/>
        </a:prstGeom>
      </xdr:spPr>
    </xdr:pic>
    <xdr:clientData/>
  </xdr:twoCellAnchor>
  <xdr:twoCellAnchor editAs="oneCell">
    <xdr:from>
      <xdr:col>21</xdr:col>
      <xdr:colOff>1021374</xdr:colOff>
      <xdr:row>87</xdr:row>
      <xdr:rowOff>7572</xdr:rowOff>
    </xdr:from>
    <xdr:to>
      <xdr:col>21</xdr:col>
      <xdr:colOff>1310934</xdr:colOff>
      <xdr:row>88</xdr:row>
      <xdr:rowOff>15827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19599" y="12237672"/>
          <a:ext cx="285750" cy="311150"/>
        </a:xfrm>
        <a:prstGeom prst="rect">
          <a:avLst/>
        </a:prstGeom>
      </xdr:spPr>
    </xdr:pic>
    <xdr:clientData/>
  </xdr:twoCellAnchor>
  <xdr:oneCellAnchor>
    <xdr:from>
      <xdr:col>15</xdr:col>
      <xdr:colOff>66675</xdr:colOff>
      <xdr:row>93</xdr:row>
      <xdr:rowOff>57150</xdr:rowOff>
    </xdr:from>
    <xdr:ext cx="241041" cy="19050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2625" y="1057275"/>
          <a:ext cx="241041" cy="19050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57150</xdr:colOff>
          <xdr:row>95</xdr:row>
          <xdr:rowOff>28575</xdr:rowOff>
        </xdr:from>
        <xdr:to>
          <xdr:col>18</xdr:col>
          <xdr:colOff>438150</xdr:colOff>
          <xdr:row>95</xdr:row>
          <xdr:rowOff>276225</xdr:rowOff>
        </xdr:to>
        <xdr:sp macro="" textlink="">
          <xdr:nvSpPr>
            <xdr:cNvPr id="1037" name="TIButton1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476250</xdr:colOff>
          <xdr:row>95</xdr:row>
          <xdr:rowOff>28575</xdr:rowOff>
        </xdr:from>
        <xdr:to>
          <xdr:col>18</xdr:col>
          <xdr:colOff>1238250</xdr:colOff>
          <xdr:row>95</xdr:row>
          <xdr:rowOff>276225</xdr:rowOff>
        </xdr:to>
        <xdr:sp macro="" textlink="">
          <xdr:nvSpPr>
            <xdr:cNvPr id="1038" name="TIButton2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923925</xdr:colOff>
          <xdr:row>82</xdr:row>
          <xdr:rowOff>28575</xdr:rowOff>
        </xdr:from>
        <xdr:to>
          <xdr:col>12</xdr:col>
          <xdr:colOff>504825</xdr:colOff>
          <xdr:row>88</xdr:row>
          <xdr:rowOff>66675</xdr:rowOff>
        </xdr:to>
        <xdr:sp macro="" textlink="">
          <xdr:nvSpPr>
            <xdr:cNvPr id="1040" name="TIButton4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533400</xdr:colOff>
          <xdr:row>82</xdr:row>
          <xdr:rowOff>28575</xdr:rowOff>
        </xdr:from>
        <xdr:to>
          <xdr:col>13</xdr:col>
          <xdr:colOff>447675</xdr:colOff>
          <xdr:row>88</xdr:row>
          <xdr:rowOff>66675</xdr:rowOff>
        </xdr:to>
        <xdr:sp macro="" textlink="">
          <xdr:nvSpPr>
            <xdr:cNvPr id="1041" name="TIButton5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476250</xdr:colOff>
          <xdr:row>82</xdr:row>
          <xdr:rowOff>28575</xdr:rowOff>
        </xdr:from>
        <xdr:to>
          <xdr:col>14</xdr:col>
          <xdr:colOff>390525</xdr:colOff>
          <xdr:row>88</xdr:row>
          <xdr:rowOff>66675</xdr:rowOff>
        </xdr:to>
        <xdr:sp macro="" textlink="">
          <xdr:nvSpPr>
            <xdr:cNvPr id="1042" name="TIButton6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0</xdr:colOff>
          <xdr:row>76</xdr:row>
          <xdr:rowOff>28575</xdr:rowOff>
        </xdr:from>
        <xdr:to>
          <xdr:col>23</xdr:col>
          <xdr:colOff>9525</xdr:colOff>
          <xdr:row>77</xdr:row>
          <xdr:rowOff>371475</xdr:rowOff>
        </xdr:to>
        <xdr:sp macro="" textlink="">
          <xdr:nvSpPr>
            <xdr:cNvPr id="1044" name="TIButton7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absolute">
    <xdr:from>
      <xdr:col>17</xdr:col>
      <xdr:colOff>55244</xdr:colOff>
      <xdr:row>100</xdr:row>
      <xdr:rowOff>169544</xdr:rowOff>
    </xdr:from>
    <xdr:to>
      <xdr:col>21</xdr:col>
      <xdr:colOff>937221</xdr:colOff>
      <xdr:row>115</xdr:row>
      <xdr:rowOff>99059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8474" y="4600574"/>
          <a:ext cx="5589232" cy="2733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815340</xdr:colOff>
      <xdr:row>76</xdr:row>
      <xdr:rowOff>16771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300" cy="614941"/>
        </a:xfrm>
        <a:prstGeom prst="rect">
          <a:avLst/>
        </a:prstGeom>
      </xdr:spPr>
    </xdr:pic>
    <xdr:clientData/>
  </xdr:twoCellAnchor>
  <xdr:twoCellAnchor editAs="oneCell">
    <xdr:from>
      <xdr:col>21</xdr:col>
      <xdr:colOff>352424</xdr:colOff>
      <xdr:row>95</xdr:row>
      <xdr:rowOff>9524</xdr:rowOff>
    </xdr:from>
    <xdr:to>
      <xdr:col>23</xdr:col>
      <xdr:colOff>114299</xdr:colOff>
      <xdr:row>100</xdr:row>
      <xdr:rowOff>19712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68124" y="3714749"/>
          <a:ext cx="1457325" cy="73027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419100</xdr:colOff>
          <xdr:row>82</xdr:row>
          <xdr:rowOff>28575</xdr:rowOff>
        </xdr:from>
        <xdr:to>
          <xdr:col>15</xdr:col>
          <xdr:colOff>333375</xdr:colOff>
          <xdr:row>88</xdr:row>
          <xdr:rowOff>66675</xdr:rowOff>
        </xdr:to>
        <xdr:sp macro="" textlink="">
          <xdr:nvSpPr>
            <xdr:cNvPr id="1045" name="TIButton8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.xml"/><Relationship Id="rId13" Type="http://schemas.openxmlformats.org/officeDocument/2006/relationships/image" Target="../media/image4.emf"/><Relationship Id="rId18" Type="http://schemas.openxmlformats.org/officeDocument/2006/relationships/control" Target="../activeX/activeX7.xml"/><Relationship Id="rId3" Type="http://schemas.openxmlformats.org/officeDocument/2006/relationships/printerSettings" Target="../printerSettings/printerSettings1.bin"/><Relationship Id="rId21" Type="http://schemas.openxmlformats.org/officeDocument/2006/relationships/image" Target="../media/image8.emf"/><Relationship Id="rId7" Type="http://schemas.openxmlformats.org/officeDocument/2006/relationships/image" Target="../media/image1.emf"/><Relationship Id="rId12" Type="http://schemas.openxmlformats.org/officeDocument/2006/relationships/control" Target="../activeX/activeX4.xml"/><Relationship Id="rId17" Type="http://schemas.openxmlformats.org/officeDocument/2006/relationships/image" Target="../media/image6.emf"/><Relationship Id="rId2" Type="http://schemas.openxmlformats.org/officeDocument/2006/relationships/hyperlink" Target="https://www-356.ibm.com/partnerworld/gsd/solutiondetails.do?amp%3Blc=en&amp;solution=50138&amp;mhsrc=ibmsearch_a&amp;mhq=GEUS" TargetMode="External"/><Relationship Id="rId16" Type="http://schemas.openxmlformats.org/officeDocument/2006/relationships/control" Target="../activeX/activeX6.xml"/><Relationship Id="rId20" Type="http://schemas.openxmlformats.org/officeDocument/2006/relationships/control" Target="../activeX/activeX8.xml"/><Relationship Id="rId1" Type="http://schemas.openxmlformats.org/officeDocument/2006/relationships/hyperlink" Target="http://www.excelerated.com.au/" TargetMode="External"/><Relationship Id="rId6" Type="http://schemas.openxmlformats.org/officeDocument/2006/relationships/control" Target="../activeX/activeX1.xml"/><Relationship Id="rId11" Type="http://schemas.openxmlformats.org/officeDocument/2006/relationships/image" Target="../media/image3.emf"/><Relationship Id="rId5" Type="http://schemas.openxmlformats.org/officeDocument/2006/relationships/vmlDrawing" Target="../drawings/vmlDrawing1.vml"/><Relationship Id="rId15" Type="http://schemas.openxmlformats.org/officeDocument/2006/relationships/image" Target="../media/image5.emf"/><Relationship Id="rId10" Type="http://schemas.openxmlformats.org/officeDocument/2006/relationships/control" Target="../activeX/activeX3.xml"/><Relationship Id="rId19" Type="http://schemas.openxmlformats.org/officeDocument/2006/relationships/image" Target="../media/image7.emf"/><Relationship Id="rId4" Type="http://schemas.openxmlformats.org/officeDocument/2006/relationships/drawing" Target="../drawings/drawing1.xml"/><Relationship Id="rId9" Type="http://schemas.openxmlformats.org/officeDocument/2006/relationships/image" Target="../media/image2.emf"/><Relationship Id="rId14" Type="http://schemas.openxmlformats.org/officeDocument/2006/relationships/control" Target="../activeX/activeX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</sheetPr>
  <dimension ref="A1:W103"/>
  <sheetViews>
    <sheetView showGridLines="0" showRowColHeaders="0" tabSelected="1" showOutlineSymbols="0" topLeftCell="J76" workbookViewId="0"/>
  </sheetViews>
  <sheetFormatPr defaultRowHeight="15" outlineLevelRow="1" outlineLevelCol="1" x14ac:dyDescent="0.25"/>
  <cols>
    <col min="1" max="1" width="5.7109375" hidden="1" customWidth="1" outlineLevel="1"/>
    <col min="2" max="2" width="36.28515625" hidden="1" customWidth="1" outlineLevel="1"/>
    <col min="3" max="4" width="20.28515625" hidden="1" customWidth="1" outlineLevel="1"/>
    <col min="5" max="5" width="22.85546875" hidden="1" customWidth="1" outlineLevel="1"/>
    <col min="6" max="6" width="21.7109375" hidden="1" customWidth="1" outlineLevel="1"/>
    <col min="7" max="7" width="20.140625" hidden="1" customWidth="1" outlineLevel="1"/>
    <col min="8" max="8" width="13.42578125" hidden="1" customWidth="1" outlineLevel="1"/>
    <col min="9" max="9" width="12.42578125" hidden="1" customWidth="1" outlineLevel="1"/>
    <col min="10" max="10" width="0.85546875" customWidth="1" collapsed="1"/>
    <col min="11" max="11" width="5.7109375" customWidth="1"/>
    <col min="12" max="12" width="25.7109375" customWidth="1"/>
    <col min="13" max="15" width="20.7109375" customWidth="1"/>
    <col min="16" max="16" width="5.7109375" customWidth="1"/>
    <col min="17" max="17" width="1.7109375" customWidth="1"/>
    <col min="18" max="18" width="5.7109375" customWidth="1"/>
    <col min="19" max="19" width="25.7109375" customWidth="1"/>
    <col min="20" max="22" width="19.7109375" customWidth="1"/>
    <col min="23" max="23" width="5.7109375" customWidth="1"/>
  </cols>
  <sheetData>
    <row r="1" spans="1:16" hidden="1" outlineLevel="1" x14ac:dyDescent="0.25">
      <c r="A1" t="s">
        <v>4</v>
      </c>
    </row>
    <row r="2" spans="1:16" hidden="1" outlineLevel="1" x14ac:dyDescent="0.25">
      <c r="A2">
        <f>0</f>
        <v>0</v>
      </c>
      <c r="F2" s="1"/>
      <c r="G2" s="2"/>
      <c r="H2" s="2"/>
      <c r="I2" s="5"/>
      <c r="K2" s="32"/>
      <c r="L2" s="32"/>
      <c r="M2" s="34"/>
      <c r="N2" s="34"/>
      <c r="O2" s="34"/>
      <c r="P2" s="34"/>
    </row>
    <row r="3" spans="1:16" hidden="1" outlineLevel="1" x14ac:dyDescent="0.25">
      <c r="A3">
        <f>1</f>
        <v>1</v>
      </c>
      <c r="F3" s="1"/>
      <c r="G3" s="2"/>
      <c r="H3" s="2"/>
      <c r="I3" s="5"/>
      <c r="K3" s="32"/>
      <c r="L3" s="32"/>
      <c r="M3" s="34"/>
      <c r="N3" s="34"/>
      <c r="O3" s="34"/>
      <c r="P3" s="34"/>
    </row>
    <row r="4" spans="1:16" hidden="1" outlineLevel="1" x14ac:dyDescent="0.25">
      <c r="A4">
        <f>2</f>
        <v>2</v>
      </c>
      <c r="F4" s="1"/>
      <c r="G4" s="2"/>
      <c r="H4" s="2"/>
      <c r="I4" s="5"/>
      <c r="K4" s="32"/>
      <c r="L4" s="32"/>
      <c r="M4" s="34"/>
      <c r="N4" s="34"/>
      <c r="O4" s="34"/>
      <c r="P4" s="34"/>
    </row>
    <row r="5" spans="1:16" hidden="1" outlineLevel="1" x14ac:dyDescent="0.25">
      <c r="A5">
        <f>3</f>
        <v>3</v>
      </c>
      <c r="F5" s="1"/>
      <c r="G5" s="2"/>
      <c r="H5" s="2"/>
      <c r="I5" s="5"/>
      <c r="K5" s="32"/>
      <c r="L5" s="32"/>
      <c r="M5" s="34"/>
      <c r="N5" s="34"/>
      <c r="O5" s="34"/>
      <c r="P5" s="34"/>
    </row>
    <row r="6" spans="1:16" hidden="1" outlineLevel="1" x14ac:dyDescent="0.25">
      <c r="A6" t="s">
        <v>2</v>
      </c>
      <c r="F6" s="1"/>
      <c r="G6" s="2"/>
      <c r="H6" s="2"/>
      <c r="I6" s="5"/>
      <c r="K6" s="32"/>
      <c r="L6" s="32"/>
      <c r="M6" s="34"/>
      <c r="N6" s="34"/>
      <c r="O6" s="34"/>
      <c r="P6" s="34"/>
    </row>
    <row r="7" spans="1:16" hidden="1" outlineLevel="1" x14ac:dyDescent="0.25">
      <c r="A7" t="s">
        <v>3</v>
      </c>
      <c r="F7" s="1"/>
      <c r="G7" s="2"/>
      <c r="H7" s="2"/>
      <c r="I7" s="5"/>
      <c r="K7" s="32"/>
      <c r="L7" s="32"/>
      <c r="M7" s="34"/>
      <c r="N7" s="34"/>
      <c r="O7" s="34"/>
      <c r="P7" s="34"/>
    </row>
    <row r="8" spans="1:16" hidden="1" outlineLevel="1" x14ac:dyDescent="0.25">
      <c r="A8" t="s">
        <v>5</v>
      </c>
    </row>
    <row r="9" spans="1:16" hidden="1" outlineLevel="1" x14ac:dyDescent="0.25"/>
    <row r="10" spans="1:16" hidden="1" outlineLevel="1" x14ac:dyDescent="0.25"/>
    <row r="11" spans="1:16" hidden="1" outlineLevel="1" x14ac:dyDescent="0.25">
      <c r="B11" s="29" t="s">
        <v>24</v>
      </c>
      <c r="C11" s="30"/>
      <c r="D11" s="31"/>
    </row>
    <row r="12" spans="1:16" hidden="1" outlineLevel="1" x14ac:dyDescent="0.25">
      <c r="B12" s="6" t="s">
        <v>25</v>
      </c>
      <c r="C12" s="7" t="s">
        <v>84</v>
      </c>
      <c r="D12" s="8"/>
    </row>
    <row r="13" spans="1:16" hidden="1" outlineLevel="1" x14ac:dyDescent="0.25">
      <c r="B13" s="6" t="s">
        <v>50</v>
      </c>
      <c r="C13" s="13" t="str">
        <f ca="1">_xll.VIEW(db_name&amp;":}ElementAttributes_}Clients","!","!")</f>
        <v>dcceew_geus:}ElementAttributes_}Clients</v>
      </c>
      <c r="D13" s="8"/>
    </row>
    <row r="14" spans="1:16" hidden="1" outlineLevel="1" x14ac:dyDescent="0.25">
      <c r="B14" s="6" t="s">
        <v>49</v>
      </c>
      <c r="C14" s="7" t="str">
        <f ca="1">_xll.TM1USER(db_name)</f>
        <v/>
      </c>
      <c r="D14" s="8"/>
    </row>
    <row r="15" spans="1:16" hidden="1" outlineLevel="1" x14ac:dyDescent="0.25">
      <c r="B15" s="6" t="s">
        <v>51</v>
      </c>
      <c r="C15" s="7" t="str">
        <f ca="1">_xll.DBR($C$13,$C$14,$B15)</f>
        <v>*KEY_ERR</v>
      </c>
      <c r="D15" s="8"/>
    </row>
    <row r="16" spans="1:16" hidden="1" outlineLevel="1" x14ac:dyDescent="0.25">
      <c r="B16" s="6" t="s">
        <v>52</v>
      </c>
      <c r="C16" s="7" t="str">
        <f ca="1">_xll.DBR($C$13,$C$14,$B16)</f>
        <v>*KEY_ERR</v>
      </c>
      <c r="D16" s="8"/>
    </row>
    <row r="17" spans="2:4" hidden="1" outlineLevel="1" x14ac:dyDescent="0.25">
      <c r="B17" s="6" t="s">
        <v>26</v>
      </c>
      <c r="C17" s="7" t="str">
        <f ca="1">C16</f>
        <v>*KEY_ERR</v>
      </c>
      <c r="D17" s="1"/>
    </row>
    <row r="18" spans="2:4" hidden="1" outlineLevel="1" x14ac:dyDescent="0.25"/>
    <row r="19" spans="2:4" hidden="1" outlineLevel="1" x14ac:dyDescent="0.25">
      <c r="B19" s="29" t="s">
        <v>27</v>
      </c>
      <c r="C19" s="30"/>
      <c r="D19" s="31"/>
    </row>
    <row r="20" spans="2:4" hidden="1" outlineLevel="1" x14ac:dyDescent="0.25">
      <c r="B20" s="6" t="s">
        <v>28</v>
      </c>
      <c r="C20" s="1" t="str">
        <f ca="1">_xll.VIEW(db_name&amp;":}ElementAttributes_variables","!","!")</f>
        <v>dcceew_geus:}ElementAttributes_variables</v>
      </c>
      <c r="D20" s="1"/>
    </row>
    <row r="21" spans="2:4" hidden="1" outlineLevel="1" x14ac:dyDescent="0.25">
      <c r="B21" s="6" t="s">
        <v>29</v>
      </c>
      <c r="C21" s="1" t="str">
        <f ca="1">_xll.DBR($C$20,$B21,"value")</f>
        <v>*KEY_ERR</v>
      </c>
      <c r="D21" s="1"/>
    </row>
    <row r="22" spans="2:4" hidden="1" outlineLevel="1" x14ac:dyDescent="0.25">
      <c r="B22" s="6" t="s">
        <v>30</v>
      </c>
      <c r="C22" s="1" t="str">
        <f ca="1">_xll.DBR($C$20,$B22,"value")</f>
        <v>*KEY_ERR</v>
      </c>
      <c r="D22" s="1"/>
    </row>
    <row r="23" spans="2:4" hidden="1" outlineLevel="1" x14ac:dyDescent="0.25">
      <c r="B23" s="6" t="s">
        <v>31</v>
      </c>
      <c r="C23" s="1" t="str">
        <f ca="1">_xll.DBR($C$20,$B23,"value")</f>
        <v>*KEY_ERR</v>
      </c>
      <c r="D23" s="1"/>
    </row>
    <row r="24" spans="2:4" hidden="1" outlineLevel="1" x14ac:dyDescent="0.25">
      <c r="B24" s="6" t="s">
        <v>32</v>
      </c>
      <c r="C24" s="1" t="str">
        <f ca="1">_xll.DBR($C$20,$B24,"value")</f>
        <v>*KEY_ERR</v>
      </c>
      <c r="D24" s="1"/>
    </row>
    <row r="25" spans="2:4" hidden="1" outlineLevel="1" x14ac:dyDescent="0.25">
      <c r="B25" s="6" t="s">
        <v>33</v>
      </c>
      <c r="C25" s="1" t="str">
        <f ca="1">"The current scenario is """ &amp; $C$22 &amp; """ for the """ &amp; $C$21 &amp; """ Headline Year. Archive was done for """ &amp; $C$23 &amp; """ on scenario """ &amp; $C$24 &amp; """."</f>
        <v>The current scenario is "*KEY_ERR" for the "*KEY_ERR" Headline Year. Archive was done for "*KEY_ERR" on scenario "*KEY_ERR".</v>
      </c>
      <c r="D25" s="1"/>
    </row>
    <row r="26" spans="2:4" hidden="1" outlineLevel="1" x14ac:dyDescent="0.25">
      <c r="B26" s="1" t="s">
        <v>68</v>
      </c>
      <c r="C26" s="1" t="str">
        <f ca="1">_xll.DBR($C$20,$B26,"value")</f>
        <v>*KEY_ERR</v>
      </c>
    </row>
    <row r="27" spans="2:4" hidden="1" outlineLevel="1" x14ac:dyDescent="0.25">
      <c r="B27" s="1" t="s">
        <v>69</v>
      </c>
      <c r="C27" s="1" t="str">
        <f ca="1">_xll.DBR($C$20,$B27,"value")</f>
        <v>*KEY_ERR</v>
      </c>
    </row>
    <row r="28" spans="2:4" hidden="1" outlineLevel="1" x14ac:dyDescent="0.25">
      <c r="B28" s="1" t="s">
        <v>70</v>
      </c>
      <c r="C28" s="1" t="str">
        <f ca="1">_xll.DBR($C$20,$B28,"value")</f>
        <v>*KEY_ERR</v>
      </c>
    </row>
    <row r="29" spans="2:4" hidden="1" outlineLevel="1" x14ac:dyDescent="0.25">
      <c r="B29" s="1" t="s">
        <v>71</v>
      </c>
      <c r="C29" s="1" t="str">
        <f ca="1">_xll.DBR($C$20,$B29,"value")</f>
        <v>*KEY_ERR</v>
      </c>
    </row>
    <row r="30" spans="2:4" hidden="1" outlineLevel="1" x14ac:dyDescent="0.25">
      <c r="B30" t="s">
        <v>72</v>
      </c>
      <c r="C30" s="1" t="str">
        <f ca="1">_xll.DBR($C$20,$B30,"value")</f>
        <v>*KEY_ERR</v>
      </c>
      <c r="D30" s="7" t="str">
        <f ca="1">_xll.DBR($C$20,$B30,"importance")</f>
        <v>*KEY_ERR</v>
      </c>
    </row>
    <row r="31" spans="2:4" hidden="1" outlineLevel="1" x14ac:dyDescent="0.25">
      <c r="B31" t="s">
        <v>73</v>
      </c>
      <c r="C31" s="1" t="str">
        <f ca="1">_xll.DBR($C$20,$B31,"value")</f>
        <v>*KEY_ERR</v>
      </c>
      <c r="D31" s="7" t="str">
        <f ca="1">_xll.DBR($C$20,$B31,"importance")</f>
        <v>*KEY_ERR</v>
      </c>
    </row>
    <row r="32" spans="2:4" hidden="1" outlineLevel="1" x14ac:dyDescent="0.25">
      <c r="B32" t="s">
        <v>74</v>
      </c>
      <c r="C32" s="1" t="str">
        <f ca="1">_xll.DBR($C$20,$B32,"value")</f>
        <v>*KEY_ERR</v>
      </c>
      <c r="D32" s="7" t="str">
        <f ca="1">_xll.DBR($C$20,$B32,"importance")</f>
        <v>*KEY_ERR</v>
      </c>
    </row>
    <row r="33" spans="2:5" hidden="1" outlineLevel="1" x14ac:dyDescent="0.25">
      <c r="B33" s="19"/>
    </row>
    <row r="34" spans="2:5" hidden="1" outlineLevel="1" x14ac:dyDescent="0.25">
      <c r="B34" s="19"/>
    </row>
    <row r="35" spans="2:5" hidden="1" outlineLevel="1" x14ac:dyDescent="0.25"/>
    <row r="36" spans="2:5" hidden="1" outlineLevel="1" x14ac:dyDescent="0.25">
      <c r="B36" s="29" t="s">
        <v>34</v>
      </c>
      <c r="C36" s="30"/>
      <c r="D36" s="31"/>
    </row>
    <row r="37" spans="2:5" hidden="1" outlineLevel="1" x14ac:dyDescent="0.25">
      <c r="B37" s="6" t="s">
        <v>28</v>
      </c>
      <c r="C37" s="1" t="str">
        <f ca="1">_xll.VIEW(db_name&amp;":sys_client preference","!","!","!")</f>
        <v>dcceew_geus:sys_client preference</v>
      </c>
      <c r="D37" s="1"/>
      <c r="E37" s="26" t="s">
        <v>82</v>
      </c>
    </row>
    <row r="38" spans="2:5" hidden="1" outlineLevel="1" x14ac:dyDescent="0.25">
      <c r="B38" s="6" t="s">
        <v>35</v>
      </c>
      <c r="C38" s="1" t="str">
        <f ca="1">_xll.DBR($C$37,psUser,$B38,"value")</f>
        <v>*KEY_ERR</v>
      </c>
      <c r="D38" s="1"/>
      <c r="E38" s="27" t="str">
        <f ca="1">IF($C$38="",_xll.DBSS(psHLYear,$C$37,psUser,$B38,"value"),"")</f>
        <v/>
      </c>
    </row>
    <row r="39" spans="2:5" hidden="1" outlineLevel="1" x14ac:dyDescent="0.25">
      <c r="B39" s="6" t="s">
        <v>36</v>
      </c>
      <c r="C39" s="1" t="str">
        <f ca="1">_xll.DBR($C$37,psUser,$B39,"value")</f>
        <v>*KEY_ERR</v>
      </c>
      <c r="D39" s="1"/>
      <c r="E39" s="27" t="str">
        <f ca="1">IF($C$39="",_xll.DBSS(psScenario,$C$37,psUser,$B39,"value"),"")</f>
        <v/>
      </c>
    </row>
    <row r="40" spans="2:5" hidden="1" outlineLevel="1" x14ac:dyDescent="0.25">
      <c r="B40" s="6" t="s">
        <v>37</v>
      </c>
      <c r="C40" s="1" t="str">
        <f ca="1">_xll.DBR($C$37,psUser,$B40,"value")</f>
        <v>*KEY_ERR</v>
      </c>
      <c r="D40" s="1"/>
    </row>
    <row r="41" spans="2:5" hidden="1" outlineLevel="1" x14ac:dyDescent="0.25">
      <c r="B41" s="6" t="s">
        <v>38</v>
      </c>
      <c r="C41" s="1" t="str">
        <f ca="1">_xll.DBR($C$37,psUser,$B41,"value")</f>
        <v>*KEY_ERR</v>
      </c>
      <c r="D41" s="1"/>
    </row>
    <row r="42" spans="2:5" hidden="1" outlineLevel="1" x14ac:dyDescent="0.25">
      <c r="B42" s="6" t="s">
        <v>46</v>
      </c>
      <c r="C42" s="1" t="s">
        <v>45</v>
      </c>
      <c r="D42" s="1"/>
    </row>
    <row r="43" spans="2:5" hidden="1" outlineLevel="1" x14ac:dyDescent="0.25"/>
    <row r="44" spans="2:5" hidden="1" outlineLevel="1" x14ac:dyDescent="0.25">
      <c r="B44" s="29" t="s">
        <v>66</v>
      </c>
      <c r="C44" s="30"/>
      <c r="D44" s="31"/>
    </row>
    <row r="45" spans="2:5" hidden="1" outlineLevel="1" x14ac:dyDescent="0.25">
      <c r="B45" s="1" t="s">
        <v>9</v>
      </c>
      <c r="C45" s="1" t="str">
        <f ca="1">_xll.TM1RPTVIEW(db_name&amp;":sys_client favourite application:1", $C$48,_xll.TM1RPTTITLE(db_name&amp;":}Clients",$C$14),TM1RPTFMTRNG,TM1RPTFMTIDCOL)</f>
        <v>dcceew_geus:sys_client favourite application:1</v>
      </c>
      <c r="D45" s="1"/>
    </row>
    <row r="46" spans="2:5" hidden="1" outlineLevel="1" x14ac:dyDescent="0.25">
      <c r="B46" s="1" t="s">
        <v>65</v>
      </c>
      <c r="C46" s="1" t="str">
        <f ca="1">_xll.VIEW(db_name&amp;":sys_application","!","!")</f>
        <v>dcceew_geus:sys_application</v>
      </c>
      <c r="D46" s="1"/>
    </row>
    <row r="47" spans="2:5" hidden="1" outlineLevel="1" x14ac:dyDescent="0.25">
      <c r="B47" s="1" t="s">
        <v>10</v>
      </c>
      <c r="C47" s="1" t="str">
        <f ca="1">_xll.VIEW(db_name&amp;":sys_client favourite application",$C$14,"!","!")</f>
        <v>dcceew_geus:sys_client favourite application</v>
      </c>
      <c r="D47" s="1"/>
    </row>
    <row r="48" spans="2:5" hidden="1" outlineLevel="1" x14ac:dyDescent="0.25">
      <c r="B48" s="1" t="s">
        <v>63</v>
      </c>
      <c r="C48" s="1">
        <f ca="1">IF(psFilter="",1,0)</f>
        <v>1</v>
      </c>
      <c r="D48" s="1"/>
    </row>
    <row r="49" spans="2:4" hidden="1" outlineLevel="1" x14ac:dyDescent="0.25">
      <c r="B49" s="1" t="s">
        <v>15</v>
      </c>
      <c r="C49" s="1" t="str">
        <f ca="1">_xll.TM1RPTFILTER($C$45,"[sys_application measure].[Worksheet]","TOPCOUNT",$C$50)</f>
        <v>0</v>
      </c>
      <c r="D49" s="1"/>
    </row>
    <row r="50" spans="2:4" hidden="1" outlineLevel="1" x14ac:dyDescent="0.25">
      <c r="B50" s="1" t="s">
        <v>14</v>
      </c>
      <c r="C50" s="1">
        <f ca="1">IF(psFilter="",50,15)</f>
        <v>50</v>
      </c>
      <c r="D50" s="1"/>
    </row>
    <row r="51" spans="2:4" hidden="1" outlineLevel="1" x14ac:dyDescent="0.25">
      <c r="B51" s="1" t="s">
        <v>23</v>
      </c>
      <c r="C51" s="1" t="str">
        <f ca="1">_xll.DBR($C$37,psUser,$C42,"value")</f>
        <v>*KEY_ERR</v>
      </c>
      <c r="D51" s="1"/>
    </row>
    <row r="52" spans="2:4" hidden="1" outlineLevel="1" x14ac:dyDescent="0.25">
      <c r="B52" s="1" t="s">
        <v>0</v>
      </c>
      <c r="C52" s="1" t="str">
        <f ca="1">_xll.DBR($C$46,$C$51,$B52)</f>
        <v>*KEY_ERR</v>
      </c>
      <c r="D52" s="1"/>
    </row>
    <row r="53" spans="2:4" hidden="1" outlineLevel="1" x14ac:dyDescent="0.25">
      <c r="B53" s="1" t="s">
        <v>1</v>
      </c>
      <c r="C53" s="1" t="str">
        <f ca="1">_xll.DBR($C$46,$C$51,$B53)</f>
        <v>*KEY_ERR</v>
      </c>
      <c r="D53" s="1"/>
    </row>
    <row r="54" spans="2:4" hidden="1" outlineLevel="1" x14ac:dyDescent="0.25">
      <c r="B54" s="1" t="s">
        <v>13</v>
      </c>
      <c r="C54" s="1">
        <f ca="1">OFFSET(rng_Start,CELL("Row")-ROW(rng_Start),0)</f>
        <v>0</v>
      </c>
      <c r="D54" s="1"/>
    </row>
    <row r="55" spans="2:4" hidden="1" outlineLevel="1" x14ac:dyDescent="0.25">
      <c r="B55" s="1" t="s">
        <v>11</v>
      </c>
      <c r="C55" s="1" t="str">
        <f ca="1">_xll.DBR($C$46,$C$54,$B52)</f>
        <v>*KEY_ERR</v>
      </c>
      <c r="D55" s="1"/>
    </row>
    <row r="56" spans="2:4" hidden="1" outlineLevel="1" x14ac:dyDescent="0.25">
      <c r="B56" s="1" t="s">
        <v>12</v>
      </c>
      <c r="C56" s="1" t="str">
        <f ca="1">_xll.DBR($C$46,$C$54,$B53)</f>
        <v>*KEY_ERR</v>
      </c>
      <c r="D56" s="1"/>
    </row>
    <row r="57" spans="2:4" hidden="1" outlineLevel="1" x14ac:dyDescent="0.25"/>
    <row r="58" spans="2:4" hidden="1" outlineLevel="1" x14ac:dyDescent="0.25">
      <c r="B58" s="29" t="s">
        <v>39</v>
      </c>
      <c r="C58" s="30"/>
      <c r="D58" s="31"/>
    </row>
    <row r="59" spans="2:4" hidden="1" outlineLevel="1" x14ac:dyDescent="0.25">
      <c r="B59" s="1" t="s">
        <v>47</v>
      </c>
      <c r="C59" s="1" t="str">
        <f ca="1">IF($M$96="",$C$60,"")</f>
        <v>sys_favourite application_*KEY_ERR</v>
      </c>
      <c r="D59" s="1" t="s">
        <v>64</v>
      </c>
    </row>
    <row r="60" spans="2:4" hidden="1" outlineLevel="1" x14ac:dyDescent="0.25">
      <c r="B60" s="1" t="s">
        <v>48</v>
      </c>
      <c r="C60" s="1" t="str">
        <f ca="1">"sys_favourite application_"&amp;psUser</f>
        <v>sys_favourite application_*KEY_ERR</v>
      </c>
      <c r="D60" s="1"/>
    </row>
    <row r="61" spans="2:4" hidden="1" outlineLevel="1" x14ac:dyDescent="0.25">
      <c r="B61" s="1" t="s">
        <v>16</v>
      </c>
      <c r="C61" s="1" t="s">
        <v>8</v>
      </c>
      <c r="D61" s="1"/>
    </row>
    <row r="62" spans="2:4" hidden="1" outlineLevel="1" x14ac:dyDescent="0.25">
      <c r="B62" s="1" t="s">
        <v>17</v>
      </c>
      <c r="C62" s="1" t="str">
        <f ca="1">IF($M$96="",$D$64,$C$63)</f>
        <v>{TM1FILTERBYLEVEL( {TM1SUBSETALL( [sys_application] )}, 0)}</v>
      </c>
      <c r="D62" s="1"/>
    </row>
    <row r="63" spans="2:4" hidden="1" outlineLevel="1" x14ac:dyDescent="0.25">
      <c r="B63" s="1" t="s">
        <v>19</v>
      </c>
      <c r="C63" s="1" t="str">
        <f ca="1">"{TM1SORT({FILTER( {TM1FILTERBYLEVEL( {TM1SUBSETALL( [sys_application] )}, 0)}, INSTR(1, [sys_application].([sys_application measure].[Key Words]), "  &amp; $C$61 &amp;  $M$96 &amp; $C$61 &amp;  ",1 ) &lt;&gt; 0) }, DESC)}"</f>
        <v>{TM1SORT({FILTER( {TM1FILTERBYLEVEL( {TM1SUBSETALL( [sys_application] )}, 0)}, INSTR(1, [sys_application].([sys_application measure].[Key Words]), "",1 ) &lt;&gt; 0) }, DESC)}</v>
      </c>
      <c r="D63" s="1"/>
    </row>
    <row r="64" spans="2:4" hidden="1" outlineLevel="1" x14ac:dyDescent="0.25">
      <c r="B64" s="1" t="s">
        <v>18</v>
      </c>
      <c r="C64" s="1"/>
      <c r="D64" s="1" t="s">
        <v>7</v>
      </c>
    </row>
    <row r="65" spans="1:23" hidden="1" outlineLevel="1" x14ac:dyDescent="0.25"/>
    <row r="66" spans="1:23" hidden="1" outlineLevel="1" x14ac:dyDescent="0.25">
      <c r="B66" s="16" t="s">
        <v>6</v>
      </c>
      <c r="C66" s="15" t="s">
        <v>58</v>
      </c>
      <c r="D66" s="15" t="s">
        <v>20</v>
      </c>
      <c r="E66" s="15" t="s">
        <v>59</v>
      </c>
      <c r="F66" s="15" t="s">
        <v>0</v>
      </c>
      <c r="G66" s="15" t="s">
        <v>60</v>
      </c>
      <c r="H66" s="15" t="s">
        <v>1</v>
      </c>
    </row>
    <row r="67" spans="1:23" hidden="1" outlineLevel="1" x14ac:dyDescent="0.25">
      <c r="B67" s="1" t="s">
        <v>53</v>
      </c>
      <c r="C67" s="1" t="str">
        <f ca="1">_xll.DBR($C$46,$B67,C$66)</f>
        <v>*KEY_ERR</v>
      </c>
      <c r="D67" s="1" t="str">
        <f ca="1">_xll.DBR($C$46,$B67,D$66)</f>
        <v>*KEY_ERR</v>
      </c>
      <c r="E67" s="1" t="str">
        <f ca="1">_xll.DBR($C$46,$B67,E$66)</f>
        <v>*KEY_ERR</v>
      </c>
      <c r="F67" s="1" t="str">
        <f ca="1">_xll.DBR($C$46,$B67,F$66)</f>
        <v>*KEY_ERR</v>
      </c>
      <c r="G67" s="1" t="str">
        <f ca="1">_xll.DBR($C$46,$B67,G$66)</f>
        <v>*KEY_ERR</v>
      </c>
      <c r="H67" s="1" t="str">
        <f ca="1">_xll.DBR($C$46,$B67,H$66)</f>
        <v>*KEY_ERR</v>
      </c>
    </row>
    <row r="68" spans="1:23" hidden="1" outlineLevel="1" x14ac:dyDescent="0.25">
      <c r="B68" s="1" t="s">
        <v>54</v>
      </c>
      <c r="C68" s="1" t="str">
        <f ca="1">_xll.DBR($C$46,$B68,C$66)</f>
        <v>*KEY_ERR</v>
      </c>
      <c r="D68" s="1" t="str">
        <f ca="1">_xll.DBR($C$46,$B68,D$66)</f>
        <v>*KEY_ERR</v>
      </c>
      <c r="E68" s="1" t="str">
        <f ca="1">_xll.DBR($C$46,$B68,E$66)</f>
        <v>*KEY_ERR</v>
      </c>
      <c r="F68" s="1" t="str">
        <f ca="1">_xll.DBR($C$46,$B68,F$66)</f>
        <v>*KEY_ERR</v>
      </c>
      <c r="G68" s="1" t="str">
        <f ca="1">_xll.DBR($C$46,$B68,G$66)</f>
        <v>*KEY_ERR</v>
      </c>
      <c r="H68" s="1" t="str">
        <f ca="1">_xll.DBR($C$46,$B68,H$66)</f>
        <v>*KEY_ERR</v>
      </c>
    </row>
    <row r="69" spans="1:23" hidden="1" outlineLevel="1" x14ac:dyDescent="0.25">
      <c r="B69" s="1" t="s">
        <v>55</v>
      </c>
      <c r="C69" s="1" t="str">
        <f ca="1">_xll.DBR($C$46,$B69,C$66)</f>
        <v>*KEY_ERR</v>
      </c>
      <c r="D69" s="1" t="str">
        <f ca="1">_xll.DBR($C$46,$B69,D$66)</f>
        <v>*KEY_ERR</v>
      </c>
      <c r="E69" s="1" t="str">
        <f ca="1">_xll.DBR($C$46,$B69,E$66)</f>
        <v>*KEY_ERR</v>
      </c>
      <c r="F69" s="1" t="str">
        <f ca="1">_xll.DBR($C$46,$B69,F$66)</f>
        <v>*KEY_ERR</v>
      </c>
      <c r="G69" s="1" t="str">
        <f ca="1">_xll.DBR($C$46,$B69,G$66)</f>
        <v>*KEY_ERR</v>
      </c>
      <c r="H69" s="1" t="str">
        <f ca="1">_xll.DBR($C$46,$B69,H$66)</f>
        <v>*KEY_ERR</v>
      </c>
    </row>
    <row r="70" spans="1:23" hidden="1" outlineLevel="1" x14ac:dyDescent="0.25">
      <c r="B70" s="1" t="s">
        <v>56</v>
      </c>
      <c r="C70" s="1" t="str">
        <f ca="1">_xll.DBR($C$46,$B70,C$66)</f>
        <v>*KEY_ERR</v>
      </c>
      <c r="D70" s="1" t="str">
        <f ca="1">_xll.DBR($C$46,$B70,D$66)</f>
        <v>*KEY_ERR</v>
      </c>
      <c r="E70" s="1" t="str">
        <f ca="1">_xll.DBR($C$46,$B70,E$66)</f>
        <v>*KEY_ERR</v>
      </c>
      <c r="F70" s="1" t="str">
        <f ca="1">_xll.DBR($C$46,$B70,F$66)</f>
        <v>*KEY_ERR</v>
      </c>
      <c r="G70" s="1" t="str">
        <f ca="1">_xll.DBR($C$46,$B70,G$66)</f>
        <v>*KEY_ERR</v>
      </c>
      <c r="H70" s="1" t="str">
        <f ca="1">_xll.DBR($C$46,$B70,H$66)</f>
        <v>*KEY_ERR</v>
      </c>
    </row>
    <row r="71" spans="1:23" hidden="1" outlineLevel="1" x14ac:dyDescent="0.25">
      <c r="B71" s="1" t="s">
        <v>83</v>
      </c>
      <c r="C71" s="1" t="str">
        <f ca="1">_xll.DBR($C$46,$B71,C$66)</f>
        <v>*KEY_ERR</v>
      </c>
      <c r="D71" s="1" t="str">
        <f ca="1">_xll.DBR($C$46,$B71,D$66)</f>
        <v>*KEY_ERR</v>
      </c>
      <c r="E71" s="1" t="str">
        <f ca="1">_xll.DBR($C$46,$B71,E$66)</f>
        <v>*KEY_ERR</v>
      </c>
      <c r="F71" s="1" t="str">
        <f ca="1">_xll.DBR($C$46,$B71,F$66)</f>
        <v>*KEY_ERR</v>
      </c>
      <c r="G71" s="1" t="str">
        <f ca="1">_xll.DBR($C$46,$B71,G$66)</f>
        <v>*KEY_ERR</v>
      </c>
      <c r="H71" s="1" t="str">
        <f ca="1">_xll.DBR($C$46,$B71,H$66)</f>
        <v>*KEY_ERR</v>
      </c>
    </row>
    <row r="72" spans="1:23" hidden="1" outlineLevel="1" x14ac:dyDescent="0.25">
      <c r="B72" s="1" t="s">
        <v>57</v>
      </c>
      <c r="C72" s="1" t="str">
        <f ca="1">_xll.DBR($C$46,$B72,C$66)</f>
        <v>*KEY_ERR</v>
      </c>
      <c r="D72" s="1" t="str">
        <f ca="1">_xll.DBR($C$46,$B72,D$66)</f>
        <v>*KEY_ERR</v>
      </c>
      <c r="E72" s="1" t="str">
        <f ca="1">_xll.DBR($C$46,$B72,E$66)</f>
        <v>*KEY_ERR</v>
      </c>
      <c r="F72" s="1" t="str">
        <f ca="1">_xll.DBR($C$46,$B72,F$66)</f>
        <v>*KEY_ERR</v>
      </c>
      <c r="G72" s="1" t="str">
        <f ca="1">_xll.DBR($C$46,$B72,G$66)</f>
        <v>*KEY_ERR</v>
      </c>
      <c r="H72" s="1" t="str">
        <f ca="1">_xll.DBR($C$46,$B72,H$66)</f>
        <v>*KEY_ERR</v>
      </c>
    </row>
    <row r="73" spans="1:23" hidden="1" outlineLevel="1" x14ac:dyDescent="0.25">
      <c r="B73" s="1" t="s">
        <v>78</v>
      </c>
      <c r="C73" s="1" t="str">
        <f ca="1">_xll.DBR($C$46,$B73,C$66)</f>
        <v>*KEY_ERR</v>
      </c>
      <c r="D73" s="1" t="str">
        <f ca="1">_xll.DBR($C$46,$B73,D$66)</f>
        <v>*KEY_ERR</v>
      </c>
      <c r="E73" s="1" t="str">
        <f ca="1">_xll.DBR($C$46,$B73,E$66)</f>
        <v>*KEY_ERR</v>
      </c>
      <c r="F73" s="1" t="str">
        <f ca="1">_xll.DBR($C$46,$B73,F$66)</f>
        <v>*KEY_ERR</v>
      </c>
      <c r="G73" s="1" t="str">
        <f ca="1">_xll.DBR($C$46,$B73,G$66)</f>
        <v>*KEY_ERR</v>
      </c>
      <c r="H73" s="1" t="str">
        <f ca="1">_xll.DBR($C$46,$B73,H$66)</f>
        <v>*KEY_ERR</v>
      </c>
    </row>
    <row r="74" spans="1:23" hidden="1" outlineLevel="1" x14ac:dyDescent="0.25">
      <c r="B74" s="1" t="s">
        <v>79</v>
      </c>
      <c r="C74" s="1" t="str">
        <f ca="1">_xll.DBR($C$46,$B74,C$66)</f>
        <v>*KEY_ERR</v>
      </c>
      <c r="D74" s="1" t="str">
        <f ca="1">_xll.DBR($C$46,$B74,D$66)</f>
        <v>*KEY_ERR</v>
      </c>
      <c r="E74" s="1" t="str">
        <f ca="1">_xll.DBR($C$46,$B74,E$66)</f>
        <v>*KEY_ERR</v>
      </c>
      <c r="F74" s="1" t="str">
        <f ca="1">_xll.DBR($C$46,$B74,F$66)</f>
        <v>*KEY_ERR</v>
      </c>
      <c r="G74" s="1" t="str">
        <f ca="1">_xll.DBR($C$46,$B74,G$66)</f>
        <v>*KEY_ERR</v>
      </c>
      <c r="H74" s="1" t="str">
        <f ca="1">_xll.DBR($C$46,$B74,H$66)</f>
        <v>*KEY_ERR</v>
      </c>
    </row>
    <row r="75" spans="1:23" hidden="1" outlineLevel="1" x14ac:dyDescent="0.25"/>
    <row r="76" spans="1:23" ht="50.1" customHeight="1" collapsed="1" x14ac:dyDescent="0.25"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14" t="str">
        <f ca="1">"Welcome "&amp; psUser</f>
        <v>Welcome *KEY_ERR</v>
      </c>
    </row>
    <row r="77" spans="1:23" ht="4.5" customHeight="1" x14ac:dyDescent="0.25"/>
    <row r="78" spans="1:23" ht="30" customHeight="1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1"/>
      <c r="K78" s="33" t="str">
        <f ca="1">$C$25</f>
        <v>The current scenario is "*KEY_ERR" for the "*KEY_ERR" Headline Year. Archive was done for "*KEY_ERR" on scenario "*KEY_ERR".</v>
      </c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21"/>
    </row>
    <row r="79" spans="1:23" ht="1.5" customHeight="1" x14ac:dyDescent="0.25"/>
    <row r="80" spans="1:23" ht="24.75" customHeight="1" x14ac:dyDescent="0.25">
      <c r="J80" s="10"/>
      <c r="K80" s="10"/>
      <c r="L80" s="35" t="s">
        <v>40</v>
      </c>
      <c r="M80" s="35"/>
      <c r="N80" s="35"/>
      <c r="O80" s="35"/>
      <c r="P80" s="9"/>
      <c r="R80" s="11"/>
      <c r="S80" s="36" t="s">
        <v>41</v>
      </c>
      <c r="T80" s="36"/>
      <c r="U80" s="36"/>
      <c r="V80" s="36"/>
      <c r="W80" s="11"/>
    </row>
    <row r="81" spans="10:23" ht="4.5" customHeight="1" x14ac:dyDescent="0.25">
      <c r="J81" s="12"/>
      <c r="K81" s="12"/>
      <c r="L81" s="12"/>
      <c r="M81" s="12"/>
      <c r="N81" s="12"/>
      <c r="O81" s="12"/>
      <c r="P81" s="12"/>
      <c r="R81" s="12"/>
      <c r="S81" s="12"/>
      <c r="T81" s="12"/>
      <c r="U81" s="12"/>
      <c r="V81" s="12"/>
      <c r="W81" s="12"/>
    </row>
    <row r="82" spans="10:23" ht="19.5" customHeight="1" x14ac:dyDescent="0.25">
      <c r="J82" s="12"/>
      <c r="K82" s="12"/>
      <c r="L82" s="12"/>
      <c r="M82" s="12"/>
      <c r="N82" s="12"/>
      <c r="O82" s="12"/>
      <c r="P82" s="12"/>
      <c r="R82" s="12"/>
      <c r="S82" s="37" t="str">
        <f ca="1">$C$30</f>
        <v>*KEY_ERR</v>
      </c>
      <c r="T82" s="37"/>
      <c r="U82" s="37"/>
      <c r="V82" s="37"/>
      <c r="W82" s="12"/>
    </row>
    <row r="83" spans="10:23" ht="4.5" customHeight="1" x14ac:dyDescent="0.25">
      <c r="J83" s="12"/>
      <c r="K83" s="12"/>
      <c r="L83" s="12"/>
      <c r="M83" s="12"/>
      <c r="N83" s="12"/>
      <c r="O83" s="12"/>
      <c r="P83" s="12"/>
      <c r="R83" s="12"/>
      <c r="W83" s="12"/>
    </row>
    <row r="84" spans="10:23" ht="19.5" customHeight="1" x14ac:dyDescent="0.25">
      <c r="J84" s="12"/>
      <c r="K84" s="12"/>
      <c r="L84" s="12"/>
      <c r="M84" s="12"/>
      <c r="N84" s="12"/>
      <c r="O84" s="12"/>
      <c r="P84" s="12"/>
      <c r="R84" s="12"/>
      <c r="S84" s="37" t="str">
        <f ca="1">$C$31</f>
        <v>*KEY_ERR</v>
      </c>
      <c r="T84" s="37"/>
      <c r="U84" s="37"/>
      <c r="V84" s="37"/>
      <c r="W84" s="12"/>
    </row>
    <row r="85" spans="10:23" ht="4.5" customHeight="1" x14ac:dyDescent="0.25">
      <c r="J85" s="12"/>
      <c r="K85" s="12"/>
      <c r="L85" s="12"/>
      <c r="M85" s="12"/>
      <c r="N85" s="12"/>
      <c r="O85" s="12"/>
      <c r="P85" s="12"/>
      <c r="R85" s="12"/>
      <c r="W85" s="12"/>
    </row>
    <row r="86" spans="10:23" ht="19.5" customHeight="1" x14ac:dyDescent="0.25">
      <c r="J86" s="12"/>
      <c r="K86" s="12"/>
      <c r="L86" s="12"/>
      <c r="M86" s="12"/>
      <c r="N86" s="12"/>
      <c r="O86" s="12"/>
      <c r="P86" s="12"/>
      <c r="R86" s="12"/>
      <c r="S86" s="37" t="str">
        <f ca="1">$C$32</f>
        <v>*KEY_ERR</v>
      </c>
      <c r="T86" s="37"/>
      <c r="U86" s="37"/>
      <c r="V86" s="37"/>
      <c r="W86" s="12"/>
    </row>
    <row r="87" spans="10:23" ht="4.5" customHeight="1" x14ac:dyDescent="0.25">
      <c r="J87" s="12"/>
      <c r="K87" s="12"/>
      <c r="L87" s="12"/>
      <c r="M87" s="12"/>
      <c r="N87" s="12"/>
      <c r="O87" s="12"/>
      <c r="P87" s="12"/>
      <c r="R87" s="12"/>
      <c r="S87" s="12"/>
      <c r="T87" s="12"/>
      <c r="U87" s="12"/>
      <c r="V87" s="12"/>
      <c r="W87" s="12"/>
    </row>
    <row r="88" spans="10:23" ht="24.95" customHeight="1" x14ac:dyDescent="0.25">
      <c r="J88" s="12"/>
      <c r="K88" s="12"/>
      <c r="L88" s="12"/>
      <c r="M88" s="12"/>
      <c r="N88" s="12"/>
      <c r="O88" s="12"/>
      <c r="P88" s="12"/>
      <c r="R88" s="12"/>
      <c r="S88" s="38" t="s">
        <v>42</v>
      </c>
      <c r="T88" s="38"/>
      <c r="U88" s="38"/>
      <c r="V88" s="38"/>
      <c r="W88" s="12"/>
    </row>
    <row r="89" spans="10:23" x14ac:dyDescent="0.25">
      <c r="J89" s="12"/>
      <c r="K89" s="12"/>
      <c r="L89" s="12"/>
      <c r="M89" s="12"/>
      <c r="N89" s="12"/>
      <c r="O89" s="12"/>
      <c r="P89" s="12"/>
      <c r="R89" s="12"/>
      <c r="S89" s="12"/>
      <c r="T89" s="12"/>
      <c r="U89" s="12"/>
      <c r="V89" s="12"/>
      <c r="W89" s="12"/>
    </row>
    <row r="90" spans="10:23" x14ac:dyDescent="0.25">
      <c r="J90" s="12"/>
      <c r="K90" s="12"/>
      <c r="L90" s="12"/>
      <c r="M90" s="12"/>
      <c r="N90" s="12"/>
      <c r="O90" s="12"/>
      <c r="P90" s="12"/>
      <c r="R90" s="12"/>
      <c r="S90" s="12" t="str">
        <f ca="1">$C$26</f>
        <v>*KEY_ERR</v>
      </c>
      <c r="T90" s="12" t="str">
        <f ca="1">$C$28</f>
        <v>*KEY_ERR</v>
      </c>
      <c r="U90" s="12" t="str">
        <f ca="1">$C$27</f>
        <v>*KEY_ERR</v>
      </c>
      <c r="V90" s="12" t="str">
        <f ca="1">$C$29</f>
        <v>*KEY_ERR</v>
      </c>
      <c r="W90" s="12"/>
    </row>
    <row r="91" spans="10:23" ht="4.5" customHeight="1" x14ac:dyDescent="0.25">
      <c r="J91" s="12"/>
      <c r="K91" s="12"/>
      <c r="L91" s="12"/>
      <c r="M91" s="12"/>
      <c r="N91" s="12"/>
      <c r="O91" s="12"/>
      <c r="P91" s="12"/>
      <c r="R91" s="12"/>
      <c r="S91" s="12"/>
      <c r="T91" s="12"/>
      <c r="U91" s="12"/>
      <c r="V91" s="12"/>
      <c r="W91" s="12"/>
    </row>
    <row r="92" spans="10:23" x14ac:dyDescent="0.25">
      <c r="J92" s="12"/>
      <c r="K92" s="12"/>
      <c r="L92" s="12"/>
      <c r="M92" s="12"/>
      <c r="N92" s="12"/>
      <c r="O92" s="12"/>
      <c r="P92" s="12"/>
      <c r="R92" s="12"/>
      <c r="S92" s="23" t="s">
        <v>61</v>
      </c>
      <c r="T92" s="18" t="s">
        <v>62</v>
      </c>
      <c r="U92" s="12"/>
      <c r="V92" s="12"/>
      <c r="W92" s="12"/>
    </row>
    <row r="93" spans="10:23" ht="4.5" customHeight="1" x14ac:dyDescent="0.25">
      <c r="J93" s="12"/>
      <c r="K93" s="12"/>
      <c r="L93" s="12"/>
      <c r="M93" s="12"/>
      <c r="N93" s="12"/>
      <c r="O93" s="12"/>
      <c r="P93" s="12"/>
      <c r="R93" s="12"/>
      <c r="S93" s="12"/>
      <c r="T93" s="12"/>
      <c r="U93" s="12"/>
      <c r="V93" s="12"/>
      <c r="W93" s="12"/>
    </row>
    <row r="94" spans="10:23" ht="24.75" customHeight="1" x14ac:dyDescent="0.25">
      <c r="J94" s="10"/>
      <c r="K94" s="10"/>
      <c r="L94" s="35" t="s">
        <v>44</v>
      </c>
      <c r="M94" s="35"/>
      <c r="N94" s="35"/>
      <c r="O94" s="35"/>
      <c r="P94" s="9"/>
      <c r="R94" s="12"/>
      <c r="S94" s="25" t="s">
        <v>81</v>
      </c>
      <c r="T94" s="24">
        <v>50138</v>
      </c>
      <c r="U94" s="12"/>
      <c r="V94" s="12"/>
      <c r="W94" s="12"/>
    </row>
    <row r="95" spans="10:23" ht="1.5" customHeight="1" x14ac:dyDescent="0.25"/>
    <row r="96" spans="10:23" ht="24.95" customHeight="1" x14ac:dyDescent="0.25">
      <c r="L96" s="4" t="s">
        <v>22</v>
      </c>
      <c r="M96" s="42"/>
      <c r="N96" s="42"/>
      <c r="O96" s="42"/>
    </row>
    <row r="97" spans="1:23" ht="1.5" customHeight="1" x14ac:dyDescent="0.25"/>
    <row r="98" spans="1:23" x14ac:dyDescent="0.25">
      <c r="K98" s="43" t="s">
        <v>80</v>
      </c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</row>
    <row r="99" spans="1:23" x14ac:dyDescent="0.25">
      <c r="E99" s="3" t="s">
        <v>67</v>
      </c>
      <c r="F99" s="3" t="s">
        <v>6</v>
      </c>
      <c r="G99" s="3" t="s">
        <v>20</v>
      </c>
      <c r="H99" s="3" t="s">
        <v>21</v>
      </c>
      <c r="K99" s="39" t="str">
        <f ca="1">IF($M$96="","FAVOURITE APPLICATIONS","APPLICATIONS")</f>
        <v>FAVOURITE APPLICATIONS</v>
      </c>
      <c r="L99" s="40"/>
      <c r="M99" s="39" t="s">
        <v>43</v>
      </c>
      <c r="N99" s="41"/>
      <c r="O99" s="41"/>
      <c r="P99" s="40"/>
    </row>
    <row r="100" spans="1:23" ht="1.5" customHeight="1" x14ac:dyDescent="0.25">
      <c r="E100" s="22"/>
      <c r="F100" s="3"/>
      <c r="G100" s="3"/>
      <c r="H100" s="3"/>
    </row>
    <row r="101" spans="1:23" x14ac:dyDescent="0.25">
      <c r="A101" t="str">
        <f ca="1">IF(_xll.TM1RPTELISCONSOLIDATED($F$101,$F101),IF(_xll.TM1RPTELLEV($F$101,$F101)&lt;=3,_xll.TM1RPTELLEV($F$101,$F101),"D"),"N")</f>
        <v>N</v>
      </c>
      <c r="E101" t="str">
        <f ca="1">_xll.DBRW($C$45,$C$14,$F101,"flag")</f>
        <v/>
      </c>
      <c r="F101" s="28" t="str">
        <f ca="1">_xll.TM1RPTROW($C$45,db_name&amp;":sys_application","","","",0,$C$62)</f>
        <v/>
      </c>
      <c r="G101" s="2" t="str">
        <f ca="1">_xll.DBRW($C$46,$F101,G$99)</f>
        <v/>
      </c>
      <c r="H101" s="2" t="str">
        <f ca="1">_xll.DBRW($C$46,$F101,H$99)</f>
        <v/>
      </c>
      <c r="I101" s="5"/>
      <c r="K101" s="32" t="str">
        <f ca="1">IF($G101="",$F101,$G101)</f>
        <v/>
      </c>
      <c r="L101" s="32"/>
      <c r="M101" s="34" t="str">
        <f ca="1">$H101</f>
        <v/>
      </c>
      <c r="N101" s="34"/>
      <c r="O101" s="34"/>
      <c r="P101" s="34"/>
    </row>
    <row r="102" spans="1:23" ht="9.9499999999999993" customHeight="1" x14ac:dyDescent="0.25"/>
    <row r="103" spans="1:23" x14ac:dyDescent="0.25">
      <c r="K103" s="17" t="str">
        <f ca="1">"© Excelerated Consulting Pty Ltd 2001-" &amp; YEAR(NOW())</f>
        <v>© Excelerated Consulting Pty Ltd 2001-2023</v>
      </c>
    </row>
  </sheetData>
  <sheetProtection sheet="1" objects="1" scenarios="1"/>
  <mergeCells count="31">
    <mergeCell ref="L80:O80"/>
    <mergeCell ref="S80:V80"/>
    <mergeCell ref="S82:V82"/>
    <mergeCell ref="S84:V84"/>
    <mergeCell ref="K101:L101"/>
    <mergeCell ref="M101:P101"/>
    <mergeCell ref="S86:V86"/>
    <mergeCell ref="S88:V88"/>
    <mergeCell ref="K99:L99"/>
    <mergeCell ref="M99:P99"/>
    <mergeCell ref="M96:O96"/>
    <mergeCell ref="L94:O94"/>
    <mergeCell ref="K98:W98"/>
    <mergeCell ref="K2:L2"/>
    <mergeCell ref="K3:L3"/>
    <mergeCell ref="K4:L4"/>
    <mergeCell ref="K5:L5"/>
    <mergeCell ref="K78:U78"/>
    <mergeCell ref="M2:P2"/>
    <mergeCell ref="M3:P3"/>
    <mergeCell ref="M4:P4"/>
    <mergeCell ref="M5:P5"/>
    <mergeCell ref="M6:P6"/>
    <mergeCell ref="K6:L6"/>
    <mergeCell ref="K7:L7"/>
    <mergeCell ref="M7:P7"/>
    <mergeCell ref="B11:D11"/>
    <mergeCell ref="B19:D19"/>
    <mergeCell ref="B36:D36"/>
    <mergeCell ref="B44:D44"/>
    <mergeCell ref="B58:D58"/>
  </mergeCells>
  <conditionalFormatting sqref="D30:D32">
    <cfRule type="cellIs" dxfId="8" priority="7" operator="equal">
      <formula>"critical"</formula>
    </cfRule>
    <cfRule type="cellIs" dxfId="7" priority="8" operator="equal">
      <formula>"news"</formula>
    </cfRule>
  </conditionalFormatting>
  <conditionalFormatting sqref="R80:W80">
    <cfRule type="expression" dxfId="6" priority="13">
      <formula>$C$25="gbms-reporting"</formula>
    </cfRule>
  </conditionalFormatting>
  <conditionalFormatting sqref="S82:V82">
    <cfRule type="expression" dxfId="5" priority="5">
      <formula>$D$30="critical"</formula>
    </cfRule>
    <cfRule type="expression" dxfId="4" priority="6">
      <formula>$D$30="news"</formula>
    </cfRule>
  </conditionalFormatting>
  <conditionalFormatting sqref="S84:V84">
    <cfRule type="expression" dxfId="3" priority="3">
      <formula>$D$31="critical"</formula>
    </cfRule>
    <cfRule type="expression" dxfId="2" priority="4">
      <formula>$D$31="news"</formula>
    </cfRule>
  </conditionalFormatting>
  <conditionalFormatting sqref="S86:V86">
    <cfRule type="expression" dxfId="1" priority="1">
      <formula>$D$32="critical"</formula>
    </cfRule>
    <cfRule type="expression" dxfId="0" priority="2">
      <formula>$D$32="news"</formula>
    </cfRule>
  </conditionalFormatting>
  <hyperlinks>
    <hyperlink ref="T92" r:id="rId1" xr:uid="{00000000-0004-0000-0000-000000000000}"/>
    <hyperlink ref="T94" r:id="rId2" display="https://www-356.ibm.com/partnerworld/gsd/solutiondetails.do?amp%3Blc=en&amp;solution=50138&amp;mhsrc=ibmsearch_a&amp;mhq=GEUS" xr:uid="{00000000-0004-0000-0000-000001000000}"/>
  </hyperlinks>
  <pageMargins left="0.7" right="0.7" top="0.75" bottom="0.75" header="0.3" footer="0.3"/>
  <pageSetup paperSize="9" orientation="portrait" r:id="rId3"/>
  <drawing r:id="rId4"/>
  <legacyDrawing r:id="rId5"/>
  <controls>
    <mc:AlternateContent xmlns:mc="http://schemas.openxmlformats.org/markup-compatibility/2006">
      <mc:Choice Requires="x14">
        <control shapeId="1045" r:id="rId6" name="TIButton8">
          <controlPr defaultSize="0" print="0" autoLine="0" r:id="rId7">
            <anchor moveWithCells="1" sizeWithCells="1">
              <from>
                <xdr:col>14</xdr:col>
                <xdr:colOff>419100</xdr:colOff>
                <xdr:row>82</xdr:row>
                <xdr:rowOff>28575</xdr:rowOff>
              </from>
              <to>
                <xdr:col>15</xdr:col>
                <xdr:colOff>333375</xdr:colOff>
                <xdr:row>88</xdr:row>
                <xdr:rowOff>66675</xdr:rowOff>
              </to>
            </anchor>
          </controlPr>
        </control>
      </mc:Choice>
      <mc:Fallback>
        <control shapeId="1045" r:id="rId6" name="TIButton8"/>
      </mc:Fallback>
    </mc:AlternateContent>
    <mc:AlternateContent xmlns:mc="http://schemas.openxmlformats.org/markup-compatibility/2006">
      <mc:Choice Requires="x14">
        <control shapeId="1044" r:id="rId8" name="TIButton7">
          <controlPr defaultSize="0" print="0" autoLine="0" r:id="rId9">
            <anchor moveWithCells="1" sizeWithCells="1">
              <from>
                <xdr:col>22</xdr:col>
                <xdr:colOff>0</xdr:colOff>
                <xdr:row>76</xdr:row>
                <xdr:rowOff>28575</xdr:rowOff>
              </from>
              <to>
                <xdr:col>23</xdr:col>
                <xdr:colOff>9525</xdr:colOff>
                <xdr:row>77</xdr:row>
                <xdr:rowOff>371475</xdr:rowOff>
              </to>
            </anchor>
          </controlPr>
        </control>
      </mc:Choice>
      <mc:Fallback>
        <control shapeId="1044" r:id="rId8" name="TIButton7"/>
      </mc:Fallback>
    </mc:AlternateContent>
    <mc:AlternateContent xmlns:mc="http://schemas.openxmlformats.org/markup-compatibility/2006">
      <mc:Choice Requires="x14">
        <control shapeId="1037" r:id="rId10" name="TIButton1">
          <controlPr defaultSize="0" print="0" autoLine="0" r:id="rId11">
            <anchor moveWithCells="1" sizeWithCells="1">
              <from>
                <xdr:col>17</xdr:col>
                <xdr:colOff>57150</xdr:colOff>
                <xdr:row>95</xdr:row>
                <xdr:rowOff>28575</xdr:rowOff>
              </from>
              <to>
                <xdr:col>18</xdr:col>
                <xdr:colOff>438150</xdr:colOff>
                <xdr:row>95</xdr:row>
                <xdr:rowOff>276225</xdr:rowOff>
              </to>
            </anchor>
          </controlPr>
        </control>
      </mc:Choice>
      <mc:Fallback>
        <control shapeId="1037" r:id="rId10" name="TIButton1"/>
      </mc:Fallback>
    </mc:AlternateContent>
    <mc:AlternateContent xmlns:mc="http://schemas.openxmlformats.org/markup-compatibility/2006">
      <mc:Choice Requires="x14">
        <control shapeId="1038" r:id="rId12" name="TIButton2">
          <controlPr defaultSize="0" print="0" autoLine="0" r:id="rId13">
            <anchor moveWithCells="1" sizeWithCells="1">
              <from>
                <xdr:col>18</xdr:col>
                <xdr:colOff>476250</xdr:colOff>
                <xdr:row>95</xdr:row>
                <xdr:rowOff>28575</xdr:rowOff>
              </from>
              <to>
                <xdr:col>18</xdr:col>
                <xdr:colOff>1238250</xdr:colOff>
                <xdr:row>95</xdr:row>
                <xdr:rowOff>276225</xdr:rowOff>
              </to>
            </anchor>
          </controlPr>
        </control>
      </mc:Choice>
      <mc:Fallback>
        <control shapeId="1038" r:id="rId12" name="TIButton2"/>
      </mc:Fallback>
    </mc:AlternateContent>
    <mc:AlternateContent xmlns:mc="http://schemas.openxmlformats.org/markup-compatibility/2006">
      <mc:Choice Requires="x14">
        <control shapeId="1039" r:id="rId14" name="TIButton3">
          <controlPr defaultSize="0" print="0" autoLine="0" r:id="rId15">
            <anchor moveWithCells="1" sizeWithCells="1">
              <from>
                <xdr:col>9</xdr:col>
                <xdr:colOff>47625</xdr:colOff>
                <xdr:row>82</xdr:row>
                <xdr:rowOff>28575</xdr:rowOff>
              </from>
              <to>
                <xdr:col>11</xdr:col>
                <xdr:colOff>904875</xdr:colOff>
                <xdr:row>88</xdr:row>
                <xdr:rowOff>66675</xdr:rowOff>
              </to>
            </anchor>
          </controlPr>
        </control>
      </mc:Choice>
      <mc:Fallback>
        <control shapeId="1039" r:id="rId14" name="TIButton3"/>
      </mc:Fallback>
    </mc:AlternateContent>
    <mc:AlternateContent xmlns:mc="http://schemas.openxmlformats.org/markup-compatibility/2006">
      <mc:Choice Requires="x14">
        <control shapeId="1040" r:id="rId16" name="TIButton4">
          <controlPr defaultSize="0" print="0" autoLine="0" r:id="rId17">
            <anchor moveWithCells="1" sizeWithCells="1">
              <from>
                <xdr:col>11</xdr:col>
                <xdr:colOff>923925</xdr:colOff>
                <xdr:row>82</xdr:row>
                <xdr:rowOff>28575</xdr:rowOff>
              </from>
              <to>
                <xdr:col>12</xdr:col>
                <xdr:colOff>504825</xdr:colOff>
                <xdr:row>88</xdr:row>
                <xdr:rowOff>66675</xdr:rowOff>
              </to>
            </anchor>
          </controlPr>
        </control>
      </mc:Choice>
      <mc:Fallback>
        <control shapeId="1040" r:id="rId16" name="TIButton4"/>
      </mc:Fallback>
    </mc:AlternateContent>
    <mc:AlternateContent xmlns:mc="http://schemas.openxmlformats.org/markup-compatibility/2006">
      <mc:Choice Requires="x14">
        <control shapeId="1041" r:id="rId18" name="TIButton5">
          <controlPr defaultSize="0" print="0" autoLine="0" r:id="rId19">
            <anchor moveWithCells="1" sizeWithCells="1">
              <from>
                <xdr:col>12</xdr:col>
                <xdr:colOff>533400</xdr:colOff>
                <xdr:row>82</xdr:row>
                <xdr:rowOff>28575</xdr:rowOff>
              </from>
              <to>
                <xdr:col>13</xdr:col>
                <xdr:colOff>447675</xdr:colOff>
                <xdr:row>88</xdr:row>
                <xdr:rowOff>66675</xdr:rowOff>
              </to>
            </anchor>
          </controlPr>
        </control>
      </mc:Choice>
      <mc:Fallback>
        <control shapeId="1041" r:id="rId18" name="TIButton5"/>
      </mc:Fallback>
    </mc:AlternateContent>
    <mc:AlternateContent xmlns:mc="http://schemas.openxmlformats.org/markup-compatibility/2006">
      <mc:Choice Requires="x14">
        <control shapeId="1042" r:id="rId20" name="TIButton6">
          <controlPr defaultSize="0" print="0" autoLine="0" r:id="rId21">
            <anchor moveWithCells="1" sizeWithCells="1">
              <from>
                <xdr:col>13</xdr:col>
                <xdr:colOff>476250</xdr:colOff>
                <xdr:row>82</xdr:row>
                <xdr:rowOff>28575</xdr:rowOff>
              </from>
              <to>
                <xdr:col>14</xdr:col>
                <xdr:colOff>390525</xdr:colOff>
                <xdr:row>88</xdr:row>
                <xdr:rowOff>66675</xdr:rowOff>
              </to>
            </anchor>
          </controlPr>
        </control>
      </mc:Choice>
      <mc:Fallback>
        <control shapeId="1042" r:id="rId20" name="TIButton6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3"/>
  <sheetViews>
    <sheetView workbookViewId="0"/>
  </sheetViews>
  <sheetFormatPr defaultRowHeight="15" x14ac:dyDescent="0.25"/>
  <sheetData>
    <row r="1" spans="1:1" x14ac:dyDescent="0.25">
      <c r="A1" t="s">
        <v>75</v>
      </c>
    </row>
    <row r="2" spans="1:1" x14ac:dyDescent="0.25">
      <c r="A2" t="s">
        <v>76</v>
      </c>
    </row>
    <row r="3" spans="1:1" x14ac:dyDescent="0.25">
      <c r="A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37</vt:i4>
      </vt:variant>
    </vt:vector>
  </HeadingPairs>
  <TitlesOfParts>
    <vt:vector size="39" baseType="lpstr">
      <vt:lpstr>home</vt:lpstr>
      <vt:lpstr>{PL}PickLst</vt:lpstr>
      <vt:lpstr>db_name</vt:lpstr>
      <vt:lpstr>psFilter</vt:lpstr>
      <vt:lpstr>psHLYear</vt:lpstr>
      <vt:lpstr>psScenario</vt:lpstr>
      <vt:lpstr>psUser</vt:lpstr>
      <vt:lpstr>rng_Start</vt:lpstr>
      <vt:lpstr>TM1HomeAdminCAP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  <vt:lpstr>TM1MEHomeCAP</vt:lpstr>
      <vt:lpstr>TM1MEHomeWB</vt:lpstr>
      <vt:lpstr>TM1MEHomeWS</vt:lpstr>
      <vt:lpstr>TM1NotesAllCAP</vt:lpstr>
      <vt:lpstr>TM1NotesAllWB</vt:lpstr>
      <vt:lpstr>TM1NotesAllWS</vt:lpstr>
      <vt:lpstr>TM1NotesClientCAP</vt:lpstr>
      <vt:lpstr>TM1NotesClientWB</vt:lpstr>
      <vt:lpstr>TM1NotesClientWS</vt:lpstr>
      <vt:lpstr>TM1OffsetWB</vt:lpstr>
      <vt:lpstr>TM1OffsetWS</vt:lpstr>
      <vt:lpstr>home!TM1RPTDATARNG1</vt:lpstr>
      <vt:lpstr>home!TM1RPTFMTIDCOL</vt:lpstr>
      <vt:lpstr>home!TM1RPTFMTRNG</vt:lpstr>
      <vt:lpstr>TM1WB</vt:lpstr>
      <vt:lpstr>TM1WS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2018-10-30T00:46:04Z</dcterms:created>
  <dcterms:modified xsi:type="dcterms:W3CDTF">2025-08-05T04:56:31Z</dcterms:modified>
</cp:coreProperties>
</file>