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90EC514A-B880-4E85-A45C-6A9B0CF593E9}" xr6:coauthVersionLast="47" xr6:coauthVersionMax="47" xr10:uidLastSave="{00000000-0000-0000-0000-000000000000}"/>
  <bookViews>
    <workbookView xWindow="57480" yWindow="-1965" windowWidth="29040" windowHeight="15840" xr2:uid="{6BA47A3A-8083-4887-8B32-0841550876EA}"/>
  </bookViews>
  <sheets>
    <sheet name="diagnostic" sheetId="1" r:id="rId1"/>
  </sheets>
  <definedNames>
    <definedName name="db_name">diagnostic!$C$2</definedName>
    <definedName name="psApp">diagnostic!$C$32</definedName>
    <definedName name="psUser">diagnostic!$C$4</definedName>
    <definedName name="TM1FFExtractCAP">diagnostic!$D$41</definedName>
    <definedName name="TM1FFExtractWB">diagnostic!$F$41</definedName>
    <definedName name="TM1FFExtractWS">diagnostic!$H$41</definedName>
    <definedName name="TM1FFSetSaveLocCAP">diagnostic!$D$40</definedName>
    <definedName name="TM1FFSetSaveLocWB">diagnostic!$F$40</definedName>
    <definedName name="TM1FFSetSaveLocWS">diagnostic!$H$40</definedName>
    <definedName name="TM1HomeAdminCAP">diagnostic!$D$38</definedName>
    <definedName name="TM1HomeAdminGEUSCAP">diagnostic!$D$42</definedName>
    <definedName name="TM1HomeAdminGEUSWB">diagnostic!$F$42</definedName>
    <definedName name="TM1HomeAdminGEUSWS">diagnostic!$H$42</definedName>
    <definedName name="TM1HomeAdminRDSCAP">diagnostic!$D$43</definedName>
    <definedName name="TM1HomeAdminRDSWB">diagnostic!$F$43</definedName>
    <definedName name="TM1HomeAdminRDSWS">diagnostic!$H$43</definedName>
    <definedName name="TM1HomeAdminWB">diagnostic!$F$38</definedName>
    <definedName name="TM1HomeAdminWS">diagnostic!$H$38</definedName>
    <definedName name="TM1HomeAECAP">diagnostic!$D$35</definedName>
    <definedName name="TM1HomeAEDataEntryCAP">diagnostic!$D$36</definedName>
    <definedName name="TM1HomeAEDataEntryWB">diagnostic!$F$36</definedName>
    <definedName name="TM1HomeAEDataEntryWS">diagnostic!$H$36</definedName>
    <definedName name="TM1HomeAEWB">diagnostic!$F$35</definedName>
    <definedName name="TM1HomeAEWS">diagnostic!$H$35</definedName>
    <definedName name="TM1HomeCAP">diagnostic!$D$34</definedName>
    <definedName name="TM1HomeRepCAP">diagnostic!$D$37</definedName>
    <definedName name="TM1HomeRepWB">diagnostic!$F$37</definedName>
    <definedName name="TM1HomeRepWS">diagnostic!$H$37</definedName>
    <definedName name="TM1HomeUnderCAP">diagnostic!$D$39</definedName>
    <definedName name="TM1HomeUnderWB">diagnostic!$F$39</definedName>
    <definedName name="TM1HomeUnderWS">diagnostic!$H$39</definedName>
    <definedName name="TM1HomeWB">diagnostic!$F$34</definedName>
    <definedName name="TM1HomeWS">diagnostic!$H$34</definedName>
    <definedName name="TM1REBUILDOPTION">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1" i="1" l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C23" i="1" a="1"/>
  <c r="C23" i="1"/>
  <c r="C4" i="1" a="1"/>
  <c r="C4" i="1"/>
  <c r="C27" i="1" a="1"/>
  <c r="C27" i="1"/>
  <c r="C26" i="1" a="1"/>
  <c r="C26" i="1"/>
  <c r="C25" i="1" a="1"/>
  <c r="C25" i="1"/>
  <c r="C24" i="1" a="1"/>
  <c r="C24" i="1"/>
  <c r="C10" i="1" a="1"/>
  <c r="C10" i="1"/>
  <c r="C17" i="1" a="1"/>
  <c r="C17" i="1"/>
  <c r="C16" i="1" a="1"/>
  <c r="C16" i="1"/>
  <c r="C15" i="1" a="1"/>
  <c r="C15" i="1"/>
  <c r="C14" i="1" a="1"/>
  <c r="C14" i="1"/>
  <c r="C13" i="1" a="1"/>
  <c r="C13" i="1"/>
  <c r="C12" i="1" a="1"/>
  <c r="C12" i="1"/>
  <c r="C3" i="1" a="1"/>
  <c r="C3" i="1"/>
  <c r="C6" i="1" a="1"/>
  <c r="C6" i="1"/>
  <c r="C5" i="1" a="1"/>
  <c r="C5" i="1"/>
  <c r="L60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<sst xmlns="http://schemas.openxmlformats.org/spreadsheetml/2006/main" count="52" uniqueCount="51">
  <si>
    <t>value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</si>
  <si>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</si>
  <si>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</si>
  <si>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</si>
  <si>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</si>
  <si>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</si>
  <si>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</si>
  <si>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</si>
  <si>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</si>
  <si>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</si>
  <si>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</si>
  <si>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</si>
  <si>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</si>
  <si>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</si>
  <si>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</si>
  <si>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</si>
  <si>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</si>
  <si>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</si>
  <si>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</si>
  <si>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</si>
  <si>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</si>
  <si>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</si>
  <si>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</si>
  <si>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</si>
  <si>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</si>
  <si>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</si>
  <si>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</si>
  <si>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</si>
  <si>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</si>
  <si>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</si>
  <si>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</si>
  <si>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</si>
  <si>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</si>
  <si>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Reports</t>
  </si>
  <si>
    <t>Homepage - Administration</t>
  </si>
  <si>
    <t>Homepage - Under Construction</t>
  </si>
  <si>
    <t>Current Workbook</t>
  </si>
  <si>
    <t>validate</t>
  </si>
  <si>
    <t>FlatFile - Set Save Location</t>
  </si>
  <si>
    <t>FlatFile - Prepare Extracts</t>
  </si>
  <si>
    <t>Homepage - Administration - GEUS Setup</t>
  </si>
  <si>
    <t>Homepage - Administration - RDS</t>
  </si>
  <si>
    <t>sys_Data Directory</t>
  </si>
  <si>
    <t>GEUS Diagnostic Report</t>
  </si>
  <si>
    <t xml:space="preserve">Note : This screen is used to generate the GEUS diagnostic report that exports the list of files within GEUS. </t>
  </si>
  <si>
    <t>GEUS DATABASE DIRECTORY</t>
  </si>
  <si>
    <t>Current Export File Location :</t>
  </si>
  <si>
    <t xml:space="preserve">Note : The diagnostic report will only be saved in the Database Directory. Directory below is only a guide. </t>
  </si>
  <si>
    <t>Note : This process is useful when Excelerated Consulting requires this diagnostic report to assist with issues in GEUS.</t>
  </si>
  <si>
    <t>Admin - GEUS Diagnostic Report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</si>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</sst>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1" fillId="4" borderId="6" xfId="0" applyFont="1" applyFill="1" applyBorder="1" applyAlignment="1">
      <alignment horizontal="center"/>
    </xf>
    <xf numFmtId="0" fontId="0" fillId="5" borderId="4" xfId="0" applyFill="1" applyBorder="1" applyAlignment="1" applyProtection="1">
      <alignment horizontal="left" vertical="top"/>
      <protection locked="0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81"/>
  <ax:ocxPr ax:name="_ExtentY" ax:value="476"/>
  <ax:ocxPr ax:name="_StockProps" ax:value="0"/>
  <ax:ocxPr ax:name="ServerName" ax:value="=db_name"/>
  <ax:ocxPr ax:name="ProcessName" ax:value="sys_Admin - Create Diagnosting Report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Generate Repor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generate the GEUS Diagnostic Report?"/>
  <ax:ocxPr ax:name="SuccessMessage" ax:value="Generation of Diagnostic Report has been saved in the GEUS Database Diretory."/>
  <ax:ocxPr ax:name="FailureMessage" ax:value="Generation of file has failed. Please see TM1 Log Files."/>
  <ax:ocxPr ax:name="ShowConfirmMessage" ax:value="-1"/>
  <ax:ocxPr ax:name="ShowSuccessMessage" ax:value="-1"/>
  <ax:ocxPr ax:name="ShowFailureMessage" ax:value="-1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49</xdr:row>
      <xdr:rowOff>38100</xdr:rowOff>
    </xdr:from>
    <xdr:to>
      <xdr:col>9</xdr:col>
      <xdr:colOff>1769745</xdr:colOff>
      <xdr:row>49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60960</xdr:colOff>
          <xdr:row>51</xdr:row>
          <xdr:rowOff>30480</xdr:rowOff>
        </xdr:from>
        <xdr:to>
          <xdr:col>9</xdr:col>
          <xdr:colOff>693420</xdr:colOff>
          <xdr:row>51</xdr:row>
          <xdr:rowOff>274320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1935480</xdr:colOff>
          <xdr:row>51</xdr:row>
          <xdr:rowOff>30480</xdr:rowOff>
        </xdr:from>
        <xdr:to>
          <xdr:col>11</xdr:col>
          <xdr:colOff>998220</xdr:colOff>
          <xdr:row>51</xdr:row>
          <xdr:rowOff>274320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2331720</xdr:colOff>
          <xdr:row>51</xdr:row>
          <xdr:rowOff>30480</xdr:rowOff>
        </xdr:from>
        <xdr:to>
          <xdr:col>11</xdr:col>
          <xdr:colOff>3116580</xdr:colOff>
          <xdr:row>51</xdr:row>
          <xdr:rowOff>274320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731520</xdr:colOff>
          <xdr:row>51</xdr:row>
          <xdr:rowOff>30480</xdr:rowOff>
        </xdr:from>
        <xdr:to>
          <xdr:col>9</xdr:col>
          <xdr:colOff>1912620</xdr:colOff>
          <xdr:row>51</xdr:row>
          <xdr:rowOff>274320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5074920</xdr:colOff>
          <xdr:row>50</xdr:row>
          <xdr:rowOff>38100</xdr:rowOff>
        </xdr:from>
        <xdr:to>
          <xdr:col>12</xdr:col>
          <xdr:colOff>7620</xdr:colOff>
          <xdr:row>51</xdr:row>
          <xdr:rowOff>297180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1028700</xdr:colOff>
          <xdr:row>51</xdr:row>
          <xdr:rowOff>30480</xdr:rowOff>
        </xdr:from>
        <xdr:to>
          <xdr:col>11</xdr:col>
          <xdr:colOff>2286000</xdr:colOff>
          <xdr:row>51</xdr:row>
          <xdr:rowOff>274320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A0CC-13F3-4AE9-A0C8-BF4CCDBFB8D5}">
  <sheetPr codeName="Sheet1">
    <outlinePr showOutlineSymbols="0"/>
    <pageSetUpPr fitToPage="1"/>
  </sheetPr>
  <dimension ref="A1:L60"/>
  <sheetViews>
    <sheetView showGridLines="0" showRowColHeaders="0" tabSelected="1" showOutlineSymbols="0" topLeftCell="I50" workbookViewId="0"/>
  </sheetViews>
  <sheetFormatPr defaultRowHeight="14.4" outlineLevelRow="1" outlineLevelCol="1" x14ac:dyDescent="0.3"/>
  <cols>
    <col min="1" max="1" width="9.109375" hidden="1" customWidth="1" outlineLevel="1"/>
    <col min="2" max="2" width="46.109375" hidden="1" customWidth="1" outlineLevel="1"/>
    <col min="3" max="3" width="16.109375" hidden="1" customWidth="1" outlineLevel="1"/>
    <col min="4" max="4" width="19.5546875" hidden="1" customWidth="1" outlineLevel="1"/>
    <col min="5" max="5" width="24.33203125" hidden="1" customWidth="1" outlineLevel="1"/>
    <col min="6" max="6" width="65.33203125" hidden="1" customWidth="1" outlineLevel="1"/>
    <col min="7" max="7" width="24.109375" hidden="1" customWidth="1" outlineLevel="1"/>
    <col min="8" max="8" width="18" hidden="1" customWidth="1" outlineLevel="1"/>
    <col min="9" max="9" width="0.88671875" customWidth="1" collapsed="1"/>
    <col min="10" max="10" width="35.6640625" customWidth="1"/>
    <col min="11" max="11" width="0.88671875" customWidth="1"/>
    <col min="12" max="12" width="80.6640625" customWidth="1"/>
  </cols>
  <sheetData>
    <row r="1" spans="2:4" hidden="1" outlineLevel="1" x14ac:dyDescent="0.3">
      <c r="B1" s="13" t="s">
        <v>1</v>
      </c>
      <c r="C1" s="14"/>
      <c r="D1" s="15"/>
    </row>
    <row r="2" spans="2:4" hidden="1" outlineLevel="1" x14ac:dyDescent="0.3">
      <c r="B2" s="1" t="s">
        <v>2</v>
      </c>
      <c r="C2" s="2" t="s">
        <v>50</v>
      </c>
      <c r="D2" s="3"/>
    </row>
    <row r="3" spans="2:4" hidden="1" outlineLevel="1" x14ac:dyDescent="0.3">
      <c r="B3" s="1" t="s">
        <v>3</v>
      </c>
      <c r="C3" s="4" t="str" cm="1">
        <f t="array" aca="1" ref="C3" ca="1">_xll.VIEW(db_name&amp;":}ElementAttributes_}Clients","!","!")</f>
        <v>dcceew_geus:}ElementAttributes_}Clients</v>
      </c>
      <c r="D3" s="3"/>
    </row>
    <row r="4" spans="2:4" hidden="1" outlineLevel="1" x14ac:dyDescent="0.3">
      <c r="B4" s="1" t="s">
        <v>4</v>
      </c>
      <c r="C4" s="2" t="str" cm="1">
        <f t="array" aca="1" ref="C4" ca="1">_xll.TM1USER(db_name)</f>
        <v/>
      </c>
      <c r="D4" s="3"/>
    </row>
    <row r="5" spans="2:4" hidden="1" outlineLevel="1" x14ac:dyDescent="0.3">
      <c r="B5" s="1" t="s">
        <v>5</v>
      </c>
      <c r="C5" s="2" t="str" cm="1">
        <f t="array" aca="1" ref="C5" ca="1">_xll.DBR($C$3,$C$4,$B5)</f>
        <v>*KEY_ERR</v>
      </c>
      <c r="D5" s="3"/>
    </row>
    <row r="6" spans="2:4" hidden="1" outlineLevel="1" x14ac:dyDescent="0.3">
      <c r="B6" s="1" t="s">
        <v>6</v>
      </c>
      <c r="C6" s="2" t="str" cm="1">
        <f t="array" aca="1" ref="C6" ca="1">_xll.DBR($C$3,$C$4,$B6)</f>
        <v>*KEY_ERR</v>
      </c>
      <c r="D6" s="3"/>
    </row>
    <row r="7" spans="2:4" hidden="1" outlineLevel="1" x14ac:dyDescent="0.3">
      <c r="B7" s="1" t="s">
        <v>7</v>
      </c>
      <c r="C7" s="2" t="str">
        <f ca="1">IF(LEFT($C$4,6)="CAM_AD",$C$5,$C$4)</f>
        <v/>
      </c>
      <c r="D7" s="5"/>
    </row>
    <row r="8" spans="2:4" hidden="1" outlineLevel="1" x14ac:dyDescent="0.3"/>
    <row r="9" spans="2:4" hidden="1" outlineLevel="1" x14ac:dyDescent="0.3">
      <c r="B9" s="13" t="s">
        <v>8</v>
      </c>
      <c r="C9" s="14"/>
      <c r="D9" s="15"/>
    </row>
    <row r="10" spans="2:4" hidden="1" outlineLevel="1" x14ac:dyDescent="0.3">
      <c r="B10" s="1" t="s">
        <v>9</v>
      </c>
      <c r="C10" s="5" t="str" cm="1">
        <f t="array" aca="1" ref="C10" ca="1">_xll.VIEW(db_name&amp;":}ElementAttributes_variables","!","!")</f>
        <v>dcceew_geus:}ElementAttributes_variables</v>
      </c>
      <c r="D10" s="5"/>
    </row>
    <row r="11" spans="2:4" hidden="1" outlineLevel="1" x14ac:dyDescent="0.3">
      <c r="B11" s="1"/>
      <c r="C11" s="5" t="s">
        <v>0</v>
      </c>
      <c r="D11" s="5" t="s">
        <v>37</v>
      </c>
    </row>
    <row r="12" spans="2:4" hidden="1" outlineLevel="1" x14ac:dyDescent="0.3">
      <c r="B12" s="1" t="s">
        <v>10</v>
      </c>
      <c r="C12" s="5" t="str" cm="1">
        <f t="array" aca="1" ref="C12" ca="1">_xll.DBR($C$10,$B12,C$11)</f>
        <v>*KEY_ERR</v>
      </c>
      <c r="D12" s="5"/>
    </row>
    <row r="13" spans="2:4" hidden="1" outlineLevel="1" x14ac:dyDescent="0.3">
      <c r="B13" s="1" t="s">
        <v>11</v>
      </c>
      <c r="C13" s="5" t="str" cm="1">
        <f t="array" aca="1" ref="C13" ca="1">_xll.DBR($C$10,$B13,C$11)</f>
        <v>*KEY_ERR</v>
      </c>
      <c r="D13" s="5"/>
    </row>
    <row r="14" spans="2:4" hidden="1" outlineLevel="1" x14ac:dyDescent="0.3">
      <c r="B14" s="1" t="s">
        <v>12</v>
      </c>
      <c r="C14" s="5" t="str" cm="1">
        <f t="array" aca="1" ref="C14" ca="1">_xll.DBR($C$10,$B14,C$11)</f>
        <v>*KEY_ERR</v>
      </c>
      <c r="D14" s="5"/>
    </row>
    <row r="15" spans="2:4" hidden="1" outlineLevel="1" x14ac:dyDescent="0.3">
      <c r="B15" s="1" t="s">
        <v>13</v>
      </c>
      <c r="C15" s="5" t="str" cm="1">
        <f t="array" aca="1" ref="C15" ca="1">_xll.DBR($C$10,$B15,C$11)</f>
        <v>*KEY_ERR</v>
      </c>
      <c r="D15" s="5"/>
    </row>
    <row r="16" spans="2:4" hidden="1" outlineLevel="1" x14ac:dyDescent="0.3">
      <c r="B16" s="1" t="s">
        <v>14</v>
      </c>
      <c r="C16" s="5" t="str" cm="1">
        <f t="array" aca="1" ref="C16" ca="1">_xll.DBR($C$10,$B16,C$11)</f>
        <v>*KEY_ERR</v>
      </c>
      <c r="D16" s="5"/>
    </row>
    <row r="17" spans="2:4" hidden="1" outlineLevel="1" x14ac:dyDescent="0.3">
      <c r="B17" s="5" t="s">
        <v>42</v>
      </c>
      <c r="C17" s="5" t="str" cm="1">
        <f t="array" aca="1" ref="C17" ca="1">_xll.DBR($C$10,$B17,C$11)</f>
        <v>*KEY_ERR</v>
      </c>
      <c r="D17" s="5"/>
    </row>
    <row r="18" spans="2:4" hidden="1" outlineLevel="1" x14ac:dyDescent="0.3"/>
    <row r="19" spans="2:4" hidden="1" outlineLevel="1" x14ac:dyDescent="0.3"/>
    <row r="20" spans="2:4" hidden="1" outlineLevel="1" x14ac:dyDescent="0.3"/>
    <row r="21" spans="2:4" hidden="1" outlineLevel="1" x14ac:dyDescent="0.3"/>
    <row r="22" spans="2:4" hidden="1" outlineLevel="1" x14ac:dyDescent="0.3">
      <c r="B22" s="13" t="s">
        <v>15</v>
      </c>
      <c r="C22" s="14"/>
      <c r="D22" s="15"/>
    </row>
    <row r="23" spans="2:4" hidden="1" outlineLevel="1" x14ac:dyDescent="0.3">
      <c r="B23" s="1" t="s">
        <v>9</v>
      </c>
      <c r="C23" s="5" t="str" cm="1">
        <f t="array" aca="1" ref="C23" ca="1">_xll.VIEW(db_name&amp;":sys_client preference","!","!","!")</f>
        <v>dcceew_geus:sys_client preference</v>
      </c>
      <c r="D23" s="5"/>
    </row>
    <row r="24" spans="2:4" hidden="1" outlineLevel="1" x14ac:dyDescent="0.3">
      <c r="B24" s="1" t="s">
        <v>16</v>
      </c>
      <c r="C24" s="5" t="str" cm="1">
        <f t="array" aca="1" ref="C24" ca="1">_xll.DBR($C$23,psUser,$B24,"value")</f>
        <v>*KEY_ERR</v>
      </c>
      <c r="D24" s="5"/>
    </row>
    <row r="25" spans="2:4" hidden="1" outlineLevel="1" x14ac:dyDescent="0.3">
      <c r="B25" s="1" t="s">
        <v>17</v>
      </c>
      <c r="C25" s="5" t="str" cm="1">
        <f t="array" aca="1" ref="C25" ca="1">_xll.DBR($C$23,psUser,$B25,"value")</f>
        <v>*KEY_ERR</v>
      </c>
      <c r="D25" s="5"/>
    </row>
    <row r="26" spans="2:4" hidden="1" outlineLevel="1" x14ac:dyDescent="0.3">
      <c r="B26" s="1" t="s">
        <v>18</v>
      </c>
      <c r="C26" s="5" t="str" cm="1">
        <f t="array" aca="1" ref="C26" ca="1">_xll.DBR($C$23,psUser,$B26,"value")</f>
        <v>*KEY_ERR</v>
      </c>
      <c r="D26" s="5"/>
    </row>
    <row r="27" spans="2:4" hidden="1" outlineLevel="1" x14ac:dyDescent="0.3">
      <c r="B27" s="1" t="s">
        <v>19</v>
      </c>
      <c r="C27" s="5" t="str" cm="1">
        <f t="array" aca="1" ref="C27" ca="1">_xll.DBR($C$23,psUser,$B27,"value")</f>
        <v>*KEY_ERR</v>
      </c>
      <c r="D27" s="5"/>
    </row>
    <row r="28" spans="2:4" hidden="1" outlineLevel="1" x14ac:dyDescent="0.3">
      <c r="B28" s="1" t="s">
        <v>20</v>
      </c>
      <c r="C28" s="5" t="s">
        <v>21</v>
      </c>
      <c r="D28" s="5"/>
    </row>
    <row r="29" spans="2:4" hidden="1" outlineLevel="1" x14ac:dyDescent="0.3"/>
    <row r="30" spans="2:4" hidden="1" outlineLevel="1" x14ac:dyDescent="0.3">
      <c r="B30" s="13" t="s">
        <v>22</v>
      </c>
      <c r="C30" s="14"/>
      <c r="D30" s="15"/>
    </row>
    <row r="31" spans="2:4" hidden="1" outlineLevel="1" x14ac:dyDescent="0.3">
      <c r="B31" s="5" t="s">
        <v>23</v>
      </c>
      <c r="C31" s="6" t="str">
        <f ca="1">_xll.VIEW(db_name&amp;":sys_application","!","!")</f>
        <v>dcceew_geus:sys_application</v>
      </c>
      <c r="D31" s="6"/>
    </row>
    <row r="32" spans="2:4" hidden="1" outlineLevel="1" x14ac:dyDescent="0.3">
      <c r="B32" s="1" t="s">
        <v>36</v>
      </c>
      <c r="C32" t="s">
        <v>49</v>
      </c>
      <c r="D32" s="6"/>
    </row>
    <row r="33" spans="2:8" hidden="1" outlineLevel="1" x14ac:dyDescent="0.3">
      <c r="C33" s="6" t="s">
        <v>24</v>
      </c>
      <c r="D33" s="6" t="s">
        <v>25</v>
      </c>
      <c r="E33" s="6" t="s">
        <v>26</v>
      </c>
      <c r="F33" s="6" t="s">
        <v>27</v>
      </c>
      <c r="G33" s="6" t="s">
        <v>28</v>
      </c>
      <c r="H33" s="6" t="s">
        <v>29</v>
      </c>
    </row>
    <row r="34" spans="2:8" hidden="1" outlineLevel="1" x14ac:dyDescent="0.3">
      <c r="B34" s="5" t="s">
        <v>30</v>
      </c>
      <c r="C34" s="5" t="str" cm="1">
        <f t="array" aca="1" ref="C34" ca="1">_xll.DBR($C$31,$B34,C$33)</f>
        <v>*KEY_ERR</v>
      </c>
      <c r="D34" s="5" t="str" cm="1">
        <f t="array" aca="1" ref="D34" ca="1">_xll.DBR($C$31,$B34,D$33)</f>
        <v>*KEY_ERR</v>
      </c>
      <c r="E34" s="5" t="str" cm="1">
        <f t="array" aca="1" ref="E34" ca="1">_xll.DBR($C$31,$B34,E$33)</f>
        <v>*KEY_ERR</v>
      </c>
      <c r="F34" s="5" t="str" cm="1">
        <f t="array" aca="1" ref="F34" ca="1">_xll.DBR($C$31,$B34,F$33)</f>
        <v>*KEY_ERR</v>
      </c>
      <c r="G34" s="5" t="str" cm="1">
        <f t="array" aca="1" ref="G34" ca="1">_xll.DBR($C$31,$B34,G$33)</f>
        <v>*KEY_ERR</v>
      </c>
      <c r="H34" s="5" t="str" cm="1">
        <f t="array" aca="1" ref="H34" ca="1">_xll.DBR($C$31,$B34,H$33)</f>
        <v>*KEY_ERR</v>
      </c>
    </row>
    <row r="35" spans="2:8" hidden="1" outlineLevel="1" x14ac:dyDescent="0.3">
      <c r="B35" s="5" t="s">
        <v>31</v>
      </c>
      <c r="C35" s="5" t="str" cm="1">
        <f t="array" aca="1" ref="C35" ca="1">_xll.DBR($C$31,$B35,C$33)</f>
        <v>*KEY_ERR</v>
      </c>
      <c r="D35" s="5" t="str" cm="1">
        <f t="array" aca="1" ref="D35" ca="1">_xll.DBR($C$31,$B35,D$33)</f>
        <v>*KEY_ERR</v>
      </c>
      <c r="E35" s="5" t="str" cm="1">
        <f t="array" aca="1" ref="E35" ca="1">_xll.DBR($C$31,$B35,E$33)</f>
        <v>*KEY_ERR</v>
      </c>
      <c r="F35" s="5" t="str" cm="1">
        <f t="array" aca="1" ref="F35" ca="1">_xll.DBR($C$31,$B35,F$33)</f>
        <v>*KEY_ERR</v>
      </c>
      <c r="G35" s="5" t="str" cm="1">
        <f t="array" aca="1" ref="G35" ca="1">_xll.DBR($C$31,$B35,G$33)</f>
        <v>*KEY_ERR</v>
      </c>
      <c r="H35" s="5" t="str" cm="1">
        <f t="array" aca="1" ref="H35" ca="1">_xll.DBR($C$31,$B35,H$33)</f>
        <v>*KEY_ERR</v>
      </c>
    </row>
    <row r="36" spans="2:8" hidden="1" outlineLevel="1" x14ac:dyDescent="0.3">
      <c r="B36" s="5" t="s">
        <v>32</v>
      </c>
      <c r="C36" s="5" t="str" cm="1">
        <f t="array" aca="1" ref="C36" ca="1">_xll.DBR($C$31,$B36,C$33)</f>
        <v>*KEY_ERR</v>
      </c>
      <c r="D36" s="5" t="str" cm="1">
        <f t="array" aca="1" ref="D36" ca="1">_xll.DBR($C$31,$B36,D$33)</f>
        <v>*KEY_ERR</v>
      </c>
      <c r="E36" s="5" t="str" cm="1">
        <f t="array" aca="1" ref="E36" ca="1">_xll.DBR($C$31,$B36,E$33)</f>
        <v>*KEY_ERR</v>
      </c>
      <c r="F36" s="5" t="str" cm="1">
        <f t="array" aca="1" ref="F36" ca="1">_xll.DBR($C$31,$B36,F$33)</f>
        <v>*KEY_ERR</v>
      </c>
      <c r="G36" s="5" t="str" cm="1">
        <f t="array" aca="1" ref="G36" ca="1">_xll.DBR($C$31,$B36,G$33)</f>
        <v>*KEY_ERR</v>
      </c>
      <c r="H36" s="5" t="str" cm="1">
        <f t="array" aca="1" ref="H36" ca="1">_xll.DBR($C$31,$B36,H$33)</f>
        <v>*KEY_ERR</v>
      </c>
    </row>
    <row r="37" spans="2:8" hidden="1" outlineLevel="1" x14ac:dyDescent="0.3">
      <c r="B37" s="5" t="s">
        <v>33</v>
      </c>
      <c r="C37" s="5" t="str" cm="1">
        <f t="array" aca="1" ref="C37" ca="1">_xll.DBR($C$31,$B37,C$33)</f>
        <v>*KEY_ERR</v>
      </c>
      <c r="D37" s="5" t="str" cm="1">
        <f t="array" aca="1" ref="D37" ca="1">_xll.DBR($C$31,$B37,D$33)</f>
        <v>*KEY_ERR</v>
      </c>
      <c r="E37" s="5" t="str" cm="1">
        <f t="array" aca="1" ref="E37" ca="1">_xll.DBR($C$31,$B37,E$33)</f>
        <v>*KEY_ERR</v>
      </c>
      <c r="F37" s="5" t="str" cm="1">
        <f t="array" aca="1" ref="F37" ca="1">_xll.DBR($C$31,$B37,F$33)</f>
        <v>*KEY_ERR</v>
      </c>
      <c r="G37" s="5" t="str" cm="1">
        <f t="array" aca="1" ref="G37" ca="1">_xll.DBR($C$31,$B37,G$33)</f>
        <v>*KEY_ERR</v>
      </c>
      <c r="H37" s="5" t="str" cm="1">
        <f t="array" aca="1" ref="H37" ca="1">_xll.DBR($C$31,$B37,H$33)</f>
        <v>*KEY_ERR</v>
      </c>
    </row>
    <row r="38" spans="2:8" hidden="1" outlineLevel="1" x14ac:dyDescent="0.3">
      <c r="B38" s="5" t="s">
        <v>34</v>
      </c>
      <c r="C38" s="5" t="str" cm="1">
        <f t="array" aca="1" ref="C38" ca="1">_xll.DBR($C$31,$B38,C$33)</f>
        <v>*KEY_ERR</v>
      </c>
      <c r="D38" s="5" t="str" cm="1">
        <f t="array" aca="1" ref="D38" ca="1">_xll.DBR($C$31,$B38,D$33)</f>
        <v>*KEY_ERR</v>
      </c>
      <c r="E38" s="5" t="str" cm="1">
        <f t="array" aca="1" ref="E38" ca="1">_xll.DBR($C$31,$B38,E$33)</f>
        <v>*KEY_ERR</v>
      </c>
      <c r="F38" s="5" t="str" cm="1">
        <f t="array" aca="1" ref="F38" ca="1">_xll.DBR($C$31,$B38,F$33)</f>
        <v>*KEY_ERR</v>
      </c>
      <c r="G38" s="5" t="str" cm="1">
        <f t="array" aca="1" ref="G38" ca="1">_xll.DBR($C$31,$B38,G$33)</f>
        <v>*KEY_ERR</v>
      </c>
      <c r="H38" s="5" t="str" cm="1">
        <f t="array" aca="1" ref="H38" ca="1">_xll.DBR($C$31,$B38,H$33)</f>
        <v>*KEY_ERR</v>
      </c>
    </row>
    <row r="39" spans="2:8" hidden="1" outlineLevel="1" x14ac:dyDescent="0.3">
      <c r="B39" s="5" t="s">
        <v>35</v>
      </c>
      <c r="C39" s="5" t="str" cm="1">
        <f t="array" aca="1" ref="C39" ca="1">_xll.DBR($C$31,$B39,C$33)</f>
        <v>*KEY_ERR</v>
      </c>
      <c r="D39" s="5" t="str" cm="1">
        <f t="array" aca="1" ref="D39" ca="1">_xll.DBR($C$31,$B39,D$33)</f>
        <v>*KEY_ERR</v>
      </c>
      <c r="E39" s="5" t="str" cm="1">
        <f t="array" aca="1" ref="E39" ca="1">_xll.DBR($C$31,$B39,E$33)</f>
        <v>*KEY_ERR</v>
      </c>
      <c r="F39" s="5" t="str" cm="1">
        <f t="array" aca="1" ref="F39" ca="1">_xll.DBR($C$31,$B39,F$33)</f>
        <v>*KEY_ERR</v>
      </c>
      <c r="G39" s="5" t="str" cm="1">
        <f t="array" aca="1" ref="G39" ca="1">_xll.DBR($C$31,$B39,G$33)</f>
        <v>*KEY_ERR</v>
      </c>
      <c r="H39" s="5" t="str" cm="1">
        <f t="array" aca="1" ref="H39" ca="1">_xll.DBR($C$31,$B39,H$33)</f>
        <v>*KEY_ERR</v>
      </c>
    </row>
    <row r="40" spans="2:8" hidden="1" outlineLevel="1" x14ac:dyDescent="0.3">
      <c r="B40" s="5" t="s">
        <v>38</v>
      </c>
      <c r="C40" s="5" t="str" cm="1">
        <f t="array" aca="1" ref="C40" ca="1">_xll.DBR($C$31,$B40,C$33)</f>
        <v>*KEY_ERR</v>
      </c>
      <c r="D40" s="5" t="str" cm="1">
        <f t="array" aca="1" ref="D40" ca="1">_xll.DBR($C$31,$B40,D$33)</f>
        <v>*KEY_ERR</v>
      </c>
      <c r="E40" s="5" t="str" cm="1">
        <f t="array" aca="1" ref="E40" ca="1">_xll.DBR($C$31,$B40,E$33)</f>
        <v>*KEY_ERR</v>
      </c>
      <c r="F40" s="5" t="str" cm="1">
        <f t="array" aca="1" ref="F40" ca="1">_xll.DBR($C$31,$B40,F$33)</f>
        <v>*KEY_ERR</v>
      </c>
      <c r="G40" s="5" t="str" cm="1">
        <f t="array" aca="1" ref="G40" ca="1">_xll.DBR($C$31,$B40,G$33)</f>
        <v>*KEY_ERR</v>
      </c>
      <c r="H40" s="5" t="str" cm="1">
        <f t="array" aca="1" ref="H40" ca="1">_xll.DBR($C$31,$B40,H$33)</f>
        <v>*KEY_ERR</v>
      </c>
    </row>
    <row r="41" spans="2:8" hidden="1" outlineLevel="1" x14ac:dyDescent="0.3">
      <c r="B41" s="5" t="s">
        <v>39</v>
      </c>
      <c r="C41" s="5" t="str" cm="1">
        <f t="array" aca="1" ref="C41" ca="1">_xll.DBR($C$31,$B41,C$33)</f>
        <v>*KEY_ERR</v>
      </c>
      <c r="D41" s="5" t="str" cm="1">
        <f t="array" aca="1" ref="D41" ca="1">_xll.DBR($C$31,$B41,D$33)</f>
        <v>*KEY_ERR</v>
      </c>
      <c r="E41" s="5" t="str" cm="1">
        <f t="array" aca="1" ref="E41" ca="1">_xll.DBR($C$31,$B41,E$33)</f>
        <v>*KEY_ERR</v>
      </c>
      <c r="F41" s="5" t="str" cm="1">
        <f t="array" aca="1" ref="F41" ca="1">_xll.DBR($C$31,$B41,F$33)</f>
        <v>*KEY_ERR</v>
      </c>
      <c r="G41" s="5" t="str" cm="1">
        <f t="array" aca="1" ref="G41" ca="1">_xll.DBR($C$31,$B41,G$33)</f>
        <v>*KEY_ERR</v>
      </c>
      <c r="H41" s="5" t="str" cm="1">
        <f t="array" aca="1" ref="H41" ca="1">_xll.DBR($C$31,$B41,H$33)</f>
        <v>*KEY_ERR</v>
      </c>
    </row>
    <row r="42" spans="2:8" hidden="1" outlineLevel="1" x14ac:dyDescent="0.3">
      <c r="B42" s="5" t="s">
        <v>40</v>
      </c>
      <c r="C42" s="5" t="str" cm="1">
        <f t="array" aca="1" ref="C42" ca="1">_xll.DBR($C$31,$B42,C$33)</f>
        <v>*KEY_ERR</v>
      </c>
      <c r="D42" s="5" t="str" cm="1">
        <f t="array" aca="1" ref="D42" ca="1">_xll.DBR($C$31,$B42,D$33)</f>
        <v>*KEY_ERR</v>
      </c>
      <c r="E42" s="5" t="str" cm="1">
        <f t="array" aca="1" ref="E42" ca="1">_xll.DBR($C$31,$B42,E$33)</f>
        <v>*KEY_ERR</v>
      </c>
      <c r="F42" s="5" t="str" cm="1">
        <f t="array" aca="1" ref="F42" ca="1">_xll.DBR($C$31,$B42,F$33)</f>
        <v>*KEY_ERR</v>
      </c>
      <c r="G42" s="5" t="str" cm="1">
        <f t="array" aca="1" ref="G42" ca="1">_xll.DBR($C$31,$B42,G$33)</f>
        <v>*KEY_ERR</v>
      </c>
      <c r="H42" s="5" t="str" cm="1">
        <f t="array" aca="1" ref="H42" ca="1">_xll.DBR($C$31,$B42,H$33)</f>
        <v>*KEY_ERR</v>
      </c>
    </row>
    <row r="43" spans="2:8" hidden="1" outlineLevel="1" x14ac:dyDescent="0.3">
      <c r="B43" s="5" t="s">
        <v>41</v>
      </c>
      <c r="C43" s="5" t="str" cm="1">
        <f t="array" aca="1" ref="C43" ca="1">_xll.DBR($C$31,$B43,C$33)</f>
        <v>*KEY_ERR</v>
      </c>
      <c r="D43" s="5" t="str" cm="1">
        <f t="array" aca="1" ref="D43" ca="1">_xll.DBR($C$31,$B43,D$33)</f>
        <v>*KEY_ERR</v>
      </c>
      <c r="E43" s="5" t="str" cm="1">
        <f t="array" aca="1" ref="E43" ca="1">_xll.DBR($C$31,$B43,E$33)</f>
        <v>*KEY_ERR</v>
      </c>
      <c r="F43" s="5" t="str" cm="1">
        <f t="array" aca="1" ref="F43" ca="1">_xll.DBR($C$31,$B43,F$33)</f>
        <v>*KEY_ERR</v>
      </c>
      <c r="G43" s="5" t="str" cm="1">
        <f t="array" aca="1" ref="G43" ca="1">_xll.DBR($C$31,$B43,G$33)</f>
        <v>*KEY_ERR</v>
      </c>
      <c r="H43" s="5" t="str" cm="1">
        <f t="array" aca="1" ref="H43" ca="1">_xll.DBR($C$31,$B43,H$33)</f>
        <v>*KEY_ERR</v>
      </c>
    </row>
    <row r="44" spans="2:8" hidden="1" outlineLevel="1" x14ac:dyDescent="0.3"/>
    <row r="45" spans="2:8" hidden="1" outlineLevel="1" x14ac:dyDescent="0.3"/>
    <row r="46" spans="2:8" hidden="1" outlineLevel="1" x14ac:dyDescent="0.3"/>
    <row r="47" spans="2:8" hidden="1" outlineLevel="1" x14ac:dyDescent="0.3"/>
    <row r="48" spans="2:8" hidden="1" outlineLevel="1" x14ac:dyDescent="0.3"/>
    <row r="49" spans="9:12" hidden="1" outlineLevel="1" x14ac:dyDescent="0.3"/>
    <row r="50" spans="9:12" ht="39.9" customHeight="1" collapsed="1" x14ac:dyDescent="0.3">
      <c r="I50" s="7"/>
      <c r="J50" s="7"/>
      <c r="K50" s="7"/>
      <c r="L50" s="7" t="s">
        <v>43</v>
      </c>
    </row>
    <row r="51" spans="9:12" ht="4.5" customHeight="1" x14ac:dyDescent="0.3"/>
    <row r="52" spans="9:12" ht="24" customHeight="1" x14ac:dyDescent="0.3"/>
    <row r="53" spans="9:12" ht="1.5" customHeight="1" x14ac:dyDescent="0.3">
      <c r="I53" s="7"/>
      <c r="J53" s="7"/>
      <c r="K53" s="7"/>
      <c r="L53" s="7"/>
    </row>
    <row r="54" spans="9:12" ht="4.5" customHeight="1" x14ac:dyDescent="0.3"/>
    <row r="55" spans="9:12" x14ac:dyDescent="0.3">
      <c r="J55" s="12" t="s">
        <v>44</v>
      </c>
      <c r="K55" s="12"/>
      <c r="L55" s="12"/>
    </row>
    <row r="56" spans="9:12" x14ac:dyDescent="0.3">
      <c r="J56" s="12" t="s">
        <v>48</v>
      </c>
      <c r="K56" s="12"/>
      <c r="L56" s="12"/>
    </row>
    <row r="57" spans="9:12" x14ac:dyDescent="0.3">
      <c r="J57" s="12" t="s">
        <v>47</v>
      </c>
      <c r="K57" s="12"/>
      <c r="L57" s="12"/>
    </row>
    <row r="58" spans="9:12" ht="4.5" customHeight="1" x14ac:dyDescent="0.3"/>
    <row r="59" spans="9:12" x14ac:dyDescent="0.3">
      <c r="L59" s="10" t="s">
        <v>45</v>
      </c>
    </row>
    <row r="60" spans="9:12" ht="57.75" customHeight="1" x14ac:dyDescent="0.3">
      <c r="J60" s="8" t="s">
        <v>46</v>
      </c>
      <c r="K60" s="9"/>
      <c r="L60" s="11" t="str">
        <f ca="1">$C$17</f>
        <v>*KEY_ERR</v>
      </c>
    </row>
  </sheetData>
  <sheetProtection sheet="1" objects="1" scenarios="1"/>
  <mergeCells count="7">
    <mergeCell ref="J56:L56"/>
    <mergeCell ref="J57:L57"/>
    <mergeCell ref="B1:D1"/>
    <mergeCell ref="B9:D9"/>
    <mergeCell ref="B22:D22"/>
    <mergeCell ref="B30:D30"/>
    <mergeCell ref="J55:L55"/>
  </mergeCells>
  <pageMargins left="0.70866141732283472" right="0.70866141732283472" top="0.74803149606299213" bottom="0.74803149606299213" header="0.31496062992125984" footer="0.31496062992125984"/>
  <pageSetup paperSize="9" scale="73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11</xdr:col>
                <xdr:colOff>5074920</xdr:colOff>
                <xdr:row>50</xdr:row>
                <xdr:rowOff>38100</xdr:rowOff>
              </from>
              <to>
                <xdr:col>12</xdr:col>
                <xdr:colOff>7620</xdr:colOff>
                <xdr:row>51</xdr:row>
                <xdr:rowOff>297180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r:id="rId7">
            <anchor moveWithCells="1" sizeWithCells="1">
              <from>
                <xdr:col>9</xdr:col>
                <xdr:colOff>60960</xdr:colOff>
                <xdr:row>51</xdr:row>
                <xdr:rowOff>30480</xdr:rowOff>
              </from>
              <to>
                <xdr:col>9</xdr:col>
                <xdr:colOff>693420</xdr:colOff>
                <xdr:row>51</xdr:row>
                <xdr:rowOff>274320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9</xdr:col>
                <xdr:colOff>1935480</xdr:colOff>
                <xdr:row>51</xdr:row>
                <xdr:rowOff>30480</xdr:rowOff>
              </from>
              <to>
                <xdr:col>11</xdr:col>
                <xdr:colOff>998220</xdr:colOff>
                <xdr:row>51</xdr:row>
                <xdr:rowOff>274320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4">
          <controlPr defaultSize="0" print="0" autoLine="0" r:id="rId11">
            <anchor moveWithCells="1" sizeWithCells="1">
              <from>
                <xdr:col>11</xdr:col>
                <xdr:colOff>2331720</xdr:colOff>
                <xdr:row>51</xdr:row>
                <xdr:rowOff>30480</xdr:rowOff>
              </from>
              <to>
                <xdr:col>11</xdr:col>
                <xdr:colOff>3116580</xdr:colOff>
                <xdr:row>51</xdr:row>
                <xdr:rowOff>274320</xdr:rowOff>
              </to>
            </anchor>
          </controlPr>
        </control>
      </mc:Choice>
      <mc:Fallback>
        <control shapeId="1027" r:id="rId10" name="TIButton4"/>
      </mc:Fallback>
    </mc:AlternateContent>
    <mc:AlternateContent xmlns:mc="http://schemas.openxmlformats.org/markup-compatibility/2006">
      <mc:Choice Requires="x14">
        <control shapeId="1028" r:id="rId12" name="TIButton3">
          <controlPr defaultSize="0" print="0" autoLine="0" r:id="rId13">
            <anchor moveWithCells="1" sizeWithCells="1">
              <from>
                <xdr:col>9</xdr:col>
                <xdr:colOff>731520</xdr:colOff>
                <xdr:row>51</xdr:row>
                <xdr:rowOff>30480</xdr:rowOff>
              </from>
              <to>
                <xdr:col>9</xdr:col>
                <xdr:colOff>1912620</xdr:colOff>
                <xdr:row>51</xdr:row>
                <xdr:rowOff>274320</xdr:rowOff>
              </to>
            </anchor>
          </controlPr>
        </control>
      </mc:Choice>
      <mc:Fallback>
        <control shapeId="1028" r:id="rId12" name="TIButton3"/>
      </mc:Fallback>
    </mc:AlternateContent>
    <mc:AlternateContent xmlns:mc="http://schemas.openxmlformats.org/markup-compatibility/2006">
      <mc:Choice Requires="x14">
        <control shapeId="1030" r:id="rId14" name="TIButton6">
          <controlPr defaultSize="0" print="0" autoLine="0" autoPict="0" r:id="rId15">
            <anchor moveWithCells="1" sizeWithCells="1">
              <from>
                <xdr:col>11</xdr:col>
                <xdr:colOff>1028700</xdr:colOff>
                <xdr:row>51</xdr:row>
                <xdr:rowOff>30480</xdr:rowOff>
              </from>
              <to>
                <xdr:col>11</xdr:col>
                <xdr:colOff>2286000</xdr:colOff>
                <xdr:row>51</xdr:row>
                <xdr:rowOff>274320</xdr:rowOff>
              </to>
            </anchor>
          </controlPr>
        </control>
      </mc:Choice>
      <mc:Fallback>
        <control shapeId="1030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diagnostic</vt:lpstr>
      <vt:lpstr>db_name</vt:lpstr>
      <vt:lpstr>psApp</vt:lpstr>
      <vt:lpstr>psUser</vt:lpstr>
      <vt:lpstr>TM1FFExtractCAP</vt:lpstr>
      <vt:lpstr>TM1FFExtractWB</vt:lpstr>
      <vt:lpstr>TM1FFExtractWS</vt:lpstr>
      <vt:lpstr>TM1FFSetSaveLocCAP</vt:lpstr>
      <vt:lpstr>TM1FFSetSaveLocWB</vt:lpstr>
      <vt:lpstr>TM1FFSetSaveLocWS</vt:lpstr>
      <vt:lpstr>TM1HomeAdminCAP</vt:lpstr>
      <vt:lpstr>TM1HomeAdminGEUSCAP</vt:lpstr>
      <vt:lpstr>TM1HomeAdminGEUSWB</vt:lpstr>
      <vt:lpstr>TM1HomeAdminGEUSWS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2019-08-29T08:51:24Z</dcterms:created>
  <dcterms:modified xsi:type="dcterms:W3CDTF">2023-02-14T22:33:39Z</dcterms:modified>
</cp:coreProperties>
</file>