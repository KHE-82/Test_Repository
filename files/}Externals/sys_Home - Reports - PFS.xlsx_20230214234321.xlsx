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TM1_Common\finance_geus\}Externals\"/>
    </mc:Choice>
  </mc:AlternateContent>
  <xr:revisionPtr revIDLastSave="0" documentId="13_ncr:1_{96A407A8-F7FC-428E-B7AC-B245573CE2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nu" sheetId="1" r:id="rId1"/>
  </sheets>
  <definedNames>
    <definedName name="db_name">Menu!$C$2</definedName>
    <definedName name="home">Menu!$G$28</definedName>
    <definedName name="Menu">Menu!$G$29</definedName>
    <definedName name="psUser">Menu!$C$7</definedName>
    <definedName name="rng_Start">Menu!#REF!</definedName>
    <definedName name="TM1HomeAdminCAP">Menu!$D$34</definedName>
    <definedName name="TM1HomeAdminWB">Menu!$F$34</definedName>
    <definedName name="TM1HomeAdminWS">Menu!$H$34</definedName>
    <definedName name="TM1HomeAECAP">Menu!$D$29</definedName>
    <definedName name="TM1HomeAEWB">Menu!$F$29</definedName>
    <definedName name="TM1HomeAEWS">Menu!$H$29</definedName>
    <definedName name="TM1HomeCAP">Menu!$D$28</definedName>
    <definedName name="TM1HomeRepAnalyticalCAP">Menu!$D$33</definedName>
    <definedName name="TM1HomeRepAnalyticalWB">Menu!$F$33</definedName>
    <definedName name="TM1HomeRepAnalyticalWS">Menu!$H$33</definedName>
    <definedName name="TM1HomeRepCAP">Menu!$D$30</definedName>
    <definedName name="TM1HomeRepOtherCAP">Menu!$D$32</definedName>
    <definedName name="TM1HomeRepOtherWB">Menu!$F$32</definedName>
    <definedName name="TM1HomeRepOtherWS">Menu!$H$32</definedName>
    <definedName name="TM1HomeRepPFSCAP">Menu!$D$31</definedName>
    <definedName name="TM1HomeRepPFSWB">Menu!$F$31</definedName>
    <definedName name="TM1HomeRepPFSWS">Menu!$H$31</definedName>
    <definedName name="TM1HomeRepWB">Menu!$F$30</definedName>
    <definedName name="TM1HomeRepWS">Menu!$H$30</definedName>
    <definedName name="TM1HomeUnderCAP">Menu!$D$35</definedName>
    <definedName name="TM1HomeUnderWB">Menu!$F$35</definedName>
    <definedName name="TM1HomeUnderWS">Menu!$H$35</definedName>
    <definedName name="TM1HomeWB">Menu!$F$28</definedName>
    <definedName name="TM1HomeWS">Menu!$H$28</definedName>
    <definedName name="TM1REBUILDOPTION">1</definedName>
    <definedName name="TM1RptAEAppropQACAP">Menu!$D$43</definedName>
    <definedName name="TM1RptAEAppropQAWB">Menu!$F$43</definedName>
    <definedName name="TM1RptAEAppropQAWS">Menu!$H$43</definedName>
    <definedName name="TM1RptAMTCAP">Menu!$D$38</definedName>
    <definedName name="TM1RptAMTWB">Menu!$F$38</definedName>
    <definedName name="TM1RptAMTWS">Menu!$H$38</definedName>
    <definedName name="TM1RptAppropOCProgCAP">Menu!$D$44</definedName>
    <definedName name="TM1RptAppropOCProgWB">Menu!$F$44</definedName>
    <definedName name="TM1RptAppropOCProgWS">Menu!$H$44</definedName>
    <definedName name="TM1RptBSMACAP">Menu!$D$37</definedName>
    <definedName name="TM1RptBSMAWB">Menu!$F$37</definedName>
    <definedName name="TM1RptBSMAWS">Menu!$H$37</definedName>
    <definedName name="TM1RptCBSCAP">Menu!$D$41</definedName>
    <definedName name="TM1RptCBSWB">Menu!$F$41</definedName>
    <definedName name="TM1RptCBSWS">Menu!$H$41</definedName>
    <definedName name="TM1RptDetProgMoveCAP">Menu!$D$48</definedName>
    <definedName name="TM1RptDetProgMoveWB">Menu!$F$48</definedName>
    <definedName name="TM1RptDetProgMoveWS">Menu!$H$48</definedName>
    <definedName name="TM1RptEMTCAP">Menu!$D$39</definedName>
    <definedName name="TM1RptEMTWB">Menu!$F$39</definedName>
    <definedName name="TM1RptEMTWS">Menu!$H$39</definedName>
    <definedName name="TM1RptPFSCAP">Menu!$D$36</definedName>
    <definedName name="TM1RptPFSWB">Menu!$F$36</definedName>
    <definedName name="TM1RptPFSWS">Menu!$H$36</definedName>
    <definedName name="TM1RptProgEstCAP">Menu!$D$45</definedName>
    <definedName name="TM1RptProgEstWB">Menu!$F$45</definedName>
    <definedName name="TM1RptProgEstWS">Menu!$H$45</definedName>
    <definedName name="TM1RptProgMoveCAP">Menu!$D$46</definedName>
    <definedName name="TM1RptProgMoveWB">Menu!$F$46</definedName>
    <definedName name="TM1RptProgMoveWS">Menu!$H$46</definedName>
    <definedName name="TM1RptReasonMoveCAP">Menu!$D$47</definedName>
    <definedName name="TM1RptReasonMoveWB">Menu!$F$47</definedName>
    <definedName name="TM1RptReasonMoveWS">Menu!$H$47</definedName>
    <definedName name="TM1RptRECAP">Menu!$D$40</definedName>
    <definedName name="TM1RptREWB">Menu!$F$40</definedName>
    <definedName name="TM1RptREWS">Menu!$H$40</definedName>
    <definedName name="TM1RptSpecAccCAP">Menu!$D$42</definedName>
    <definedName name="TM1RptSpecAccWB">Menu!$F$42</definedName>
    <definedName name="TM1RptSpecAccWS">Menu!$H$42</definedName>
  </definedNames>
  <calcPr calcId="162913" calcMode="manual" calcCompleted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1" l="1"/>
  <c r="C26" i="1"/>
  <c r="H48" i="1"/>
  <c r="G48" i="1"/>
  <c r="F48" i="1"/>
  <c r="E48" i="1"/>
  <c r="D48" i="1"/>
  <c r="C48" i="1"/>
  <c r="H47" i="1"/>
  <c r="G47" i="1"/>
  <c r="F47" i="1"/>
  <c r="E47" i="1"/>
  <c r="D47" i="1"/>
  <c r="C47" i="1"/>
  <c r="H46" i="1"/>
  <c r="G46" i="1"/>
  <c r="F46" i="1"/>
  <c r="E46" i="1"/>
  <c r="D46" i="1"/>
  <c r="C46" i="1"/>
  <c r="H45" i="1"/>
  <c r="G45" i="1"/>
  <c r="F45" i="1"/>
  <c r="E45" i="1"/>
  <c r="D45" i="1"/>
  <c r="C45" i="1"/>
  <c r="H44" i="1"/>
  <c r="G44" i="1"/>
  <c r="F44" i="1"/>
  <c r="E44" i="1"/>
  <c r="D44" i="1"/>
  <c r="C44" i="1"/>
  <c r="H43" i="1"/>
  <c r="G43" i="1"/>
  <c r="F43" i="1"/>
  <c r="E43" i="1"/>
  <c r="D43" i="1"/>
  <c r="C43" i="1"/>
  <c r="H42" i="1"/>
  <c r="G42" i="1"/>
  <c r="F42" i="1"/>
  <c r="E42" i="1"/>
  <c r="D42" i="1"/>
  <c r="C42" i="1"/>
  <c r="H41" i="1"/>
  <c r="G41" i="1"/>
  <c r="F41" i="1"/>
  <c r="E41" i="1"/>
  <c r="D41" i="1"/>
  <c r="C41" i="1"/>
  <c r="H40" i="1"/>
  <c r="G40" i="1"/>
  <c r="F40" i="1"/>
  <c r="E40" i="1"/>
  <c r="D40" i="1"/>
  <c r="C40" i="1"/>
  <c r="H39" i="1"/>
  <c r="G39" i="1"/>
  <c r="F39" i="1"/>
  <c r="E39" i="1"/>
  <c r="D39" i="1"/>
  <c r="C39" i="1"/>
  <c r="H38" i="1"/>
  <c r="G38" i="1"/>
  <c r="F38" i="1"/>
  <c r="E38" i="1"/>
  <c r="D38" i="1"/>
  <c r="C38" i="1"/>
  <c r="H37" i="1"/>
  <c r="G37" i="1"/>
  <c r="F37" i="1"/>
  <c r="E37" i="1"/>
  <c r="D37" i="1"/>
  <c r="C37" i="1"/>
  <c r="H36" i="1"/>
  <c r="G36" i="1"/>
  <c r="F36" i="1"/>
  <c r="E36" i="1"/>
  <c r="D36" i="1"/>
  <c r="C36" i="1"/>
  <c r="H33" i="1"/>
  <c r="G33" i="1"/>
  <c r="F33" i="1"/>
  <c r="E33" i="1"/>
  <c r="D33" i="1"/>
  <c r="C33" i="1"/>
  <c r="H32" i="1"/>
  <c r="G32" i="1"/>
  <c r="F32" i="1"/>
  <c r="E32" i="1"/>
  <c r="D32" i="1"/>
  <c r="C32" i="1"/>
  <c r="H31" i="1"/>
  <c r="G31" i="1"/>
  <c r="F31" i="1"/>
  <c r="E31" i="1"/>
  <c r="D31" i="1"/>
  <c r="C31" i="1"/>
  <c r="K90" i="1"/>
  <c r="H35" i="1"/>
  <c r="H34" i="1"/>
  <c r="H30" i="1"/>
  <c r="H29" i="1"/>
  <c r="H28" i="1"/>
  <c r="G35" i="1"/>
  <c r="F35" i="1"/>
  <c r="E35" i="1"/>
  <c r="D35" i="1"/>
  <c r="C35" i="1"/>
  <c r="G34" i="1"/>
  <c r="F34" i="1"/>
  <c r="E34" i="1"/>
  <c r="D34" i="1"/>
  <c r="C34" i="1"/>
  <c r="G30" i="1"/>
  <c r="F30" i="1"/>
  <c r="E30" i="1"/>
  <c r="D30" i="1"/>
  <c r="C30" i="1"/>
  <c r="G29" i="1"/>
  <c r="F29" i="1"/>
  <c r="E29" i="1"/>
  <c r="D29" i="1"/>
  <c r="C29" i="1"/>
  <c r="G28" i="1"/>
  <c r="F28" i="1"/>
  <c r="E28" i="1"/>
  <c r="D28" i="1"/>
  <c r="C28" i="1"/>
  <c r="C4" i="1"/>
  <c r="C3" i="1"/>
  <c r="C6" i="1"/>
  <c r="C5" i="1"/>
  <c r="C18" i="1"/>
  <c r="C10" i="1"/>
  <c r="C12" i="1"/>
  <c r="C11" i="1"/>
  <c r="C13" i="1"/>
  <c r="C14" i="1"/>
  <c r="C15" i="1"/>
  <c r="K54" i="1"/>
  <c r="W52" i="1"/>
  <c r="C22" i="1"/>
  <c r="C21" i="1"/>
  <c r="C20" i="1"/>
  <c r="C19" i="1"/>
</calcChain>
</file>

<file path=xl/sharedStrings.xml><?xml version="1.0" encoding="utf-8"?>
<sst xmlns="http://schemas.openxmlformats.org/spreadsheetml/2006/main" count="56" uniqueCount="53">
  <si>
    <t>Workbook</t>
  </si>
  <si>
    <t>Worksheet</t>
  </si>
  <si>
    <t>Slice View</t>
  </si>
  <si>
    <t>Database Variables</t>
  </si>
  <si>
    <t>Database Name</t>
  </si>
  <si>
    <t>Current User</t>
  </si>
  <si>
    <t>System Variables</t>
  </si>
  <si>
    <t>View</t>
  </si>
  <si>
    <t>headline year</t>
  </si>
  <si>
    <t>headline scenario</t>
  </si>
  <si>
    <t>archive year</t>
  </si>
  <si>
    <t>archive scenario</t>
  </si>
  <si>
    <t>Message</t>
  </si>
  <si>
    <t>Client Preference</t>
  </si>
  <si>
    <t>geus hl year</t>
  </si>
  <si>
    <t>geus scenario</t>
  </si>
  <si>
    <t>geus adj</t>
  </si>
  <si>
    <t>geus programme</t>
  </si>
  <si>
    <t>sys_application</t>
  </si>
  <si>
    <t>favapp_application</t>
  </si>
  <si>
    <t>Client Preference Measure</t>
  </si>
  <si>
    <t>TM1 User</t>
  </si>
  <si>
    <t>}Clients</t>
  </si>
  <si>
    <t>}TM1_DefaultDisplayValue</t>
  </si>
  <si>
    <t>GEUS User Name</t>
  </si>
  <si>
    <t>Homepage - Home</t>
  </si>
  <si>
    <t>Homepage - Annual Estimates</t>
  </si>
  <si>
    <t>Homepage - Reports</t>
  </si>
  <si>
    <t>Homepage - Administration</t>
  </si>
  <si>
    <t>Homepage - Under Construction</t>
  </si>
  <si>
    <t>Caption</t>
  </si>
  <si>
    <t>Workbook Name</t>
  </si>
  <si>
    <t>Worksheet Name</t>
  </si>
  <si>
    <t>Caption Name</t>
  </si>
  <si>
    <t>REPORTS</t>
  </si>
  <si>
    <t>Homepage - Reports - PFS</t>
  </si>
  <si>
    <t>Homepage - Reports - Other</t>
  </si>
  <si>
    <t>Homepage - Reports - Analytical</t>
  </si>
  <si>
    <t>PRIMARY FINANCIAL STATEMENTS MENU</t>
  </si>
  <si>
    <t>Reports - Primary Financial Statements</t>
  </si>
  <si>
    <t>Reports - Balance Sheet By Movement Account</t>
  </si>
  <si>
    <t>Reports - Asset Movement Table</t>
  </si>
  <si>
    <t>Reports - Equity Movement Table</t>
  </si>
  <si>
    <t>Reports - Related Entity Report</t>
  </si>
  <si>
    <t>Reports - Capital Budget Statements</t>
  </si>
  <si>
    <t>Reports - Special Accounts</t>
  </si>
  <si>
    <t>Reports - Annual Estimates Appropriation QA Report</t>
  </si>
  <si>
    <t>Reports - Appropriation By Outcome Program Report</t>
  </si>
  <si>
    <t>Reports - Program Estimates Report</t>
  </si>
  <si>
    <t>Reports - Summary Movement By Program</t>
  </si>
  <si>
    <t>Reports - Summary Movement By Reason Code</t>
  </si>
  <si>
    <t>Reports - Detailed Movement By Program</t>
  </si>
  <si>
    <t>finance_geus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</si>
</sst>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i/>
      <sz val="16"/>
      <color theme="0"/>
      <name val="Calibri"/>
      <family val="2"/>
      <scheme val="minor"/>
    </font>
    <font>
      <sz val="11"/>
      <color theme="0"/>
      <name val="Arial"/>
      <family val="2"/>
    </font>
    <font>
      <b/>
      <sz val="12"/>
      <color theme="0"/>
      <name val="Calibri"/>
      <family val="2"/>
      <scheme val="minor"/>
    </font>
    <font>
      <b/>
      <sz val="12"/>
      <color theme="0"/>
      <name val="Arial"/>
      <family val="2"/>
    </font>
    <font>
      <sz val="8"/>
      <color indexed="62"/>
      <name val="Verdana"/>
      <family val="2"/>
    </font>
    <font>
      <sz val="11"/>
      <color theme="8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rgb="FF1F7DBE"/>
        <bgColor indexed="64"/>
      </patternFill>
    </fill>
    <fill>
      <patternFill patternType="solid">
        <fgColor rgb="FF535354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7" fillId="0" borderId="0">
      <protection locked="0"/>
    </xf>
  </cellStyleXfs>
  <cellXfs count="20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4" xfId="0" applyBorder="1"/>
    <xf numFmtId="0" fontId="2" fillId="3" borderId="0" xfId="0" applyFont="1" applyFill="1" applyAlignment="1">
      <alignment horizontal="right" vertical="center"/>
    </xf>
    <xf numFmtId="0" fontId="4" fillId="4" borderId="0" xfId="0" applyFont="1" applyFill="1" applyAlignment="1">
      <alignment vertical="center"/>
    </xf>
    <xf numFmtId="0" fontId="5" fillId="3" borderId="0" xfId="0" applyFont="1" applyFill="1" applyAlignment="1">
      <alignment horizontal="right" vertical="center"/>
    </xf>
    <xf numFmtId="0" fontId="6" fillId="5" borderId="0" xfId="1" applyFont="1" applyFill="1" applyAlignment="1" applyProtection="1">
      <alignment vertical="center"/>
    </xf>
    <xf numFmtId="0" fontId="0" fillId="6" borderId="0" xfId="0" applyFill="1"/>
    <xf numFmtId="0" fontId="0" fillId="0" borderId="1" xfId="0" applyBorder="1" applyAlignment="1">
      <alignment horizontal="left"/>
    </xf>
    <xf numFmtId="0" fontId="3" fillId="3" borderId="0" xfId="0" applyFont="1" applyFill="1" applyAlignment="1">
      <alignment horizontal="right" vertical="center" indent="1"/>
    </xf>
    <xf numFmtId="0" fontId="0" fillId="0" borderId="5" xfId="0" applyBorder="1"/>
    <xf numFmtId="0" fontId="8" fillId="0" borderId="0" xfId="0" applyFont="1"/>
    <xf numFmtId="0" fontId="6" fillId="3" borderId="0" xfId="0" applyFont="1" applyFill="1" applyAlignment="1">
      <alignment horizontal="left" vertical="center"/>
    </xf>
    <xf numFmtId="0" fontId="6" fillId="5" borderId="0" xfId="1" applyFont="1" applyFill="1" applyAlignment="1" applyProtection="1">
      <alignment horizontal="left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4" fillId="4" borderId="0" xfId="0" applyFont="1" applyFill="1" applyAlignment="1">
      <alignment horizontal="left" vertical="center" indent="1"/>
    </xf>
  </cellXfs>
  <cellStyles count="2">
    <cellStyle name="Normal" xfId="0" builtinId="0"/>
    <cellStyle name="Normal 2" xfId="1" xr:uid="{00000000-0005-0000-0000-000001000000}"/>
  </cellStyles>
  <dxfs count="1">
    <dxf>
      <font>
        <color theme="0"/>
      </font>
      <fill>
        <patternFill>
          <bgColor theme="9" tint="-0.49998474074526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426A"/>
      <color rgb="FF333F48"/>
      <color rgb="FF006C5B"/>
      <color rgb="FF4F86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Relationship Id="rId5" Type="http://schemas.openxmlformats.org/officeDocument/2006/relationships/image" Target="../media/image23.jpg"/><Relationship Id="rId4" Type="http://schemas.openxmlformats.org/officeDocument/2006/relationships/image" Target="../media/image22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2.emf"/><Relationship Id="rId18" Type="http://schemas.openxmlformats.org/officeDocument/2006/relationships/image" Target="../media/image18.emf"/><Relationship Id="rId3" Type="http://schemas.openxmlformats.org/officeDocument/2006/relationships/image" Target="../media/image12.emf"/><Relationship Id="rId7" Type="http://schemas.openxmlformats.org/officeDocument/2006/relationships/image" Target="../media/image8.emf"/><Relationship Id="rId12" Type="http://schemas.openxmlformats.org/officeDocument/2006/relationships/image" Target="../media/image3.emf"/><Relationship Id="rId17" Type="http://schemas.openxmlformats.org/officeDocument/2006/relationships/image" Target="../media/image17.emf"/><Relationship Id="rId2" Type="http://schemas.openxmlformats.org/officeDocument/2006/relationships/image" Target="../media/image13.emf"/><Relationship Id="rId16" Type="http://schemas.openxmlformats.org/officeDocument/2006/relationships/image" Target="../media/image16.emf"/><Relationship Id="rId1" Type="http://schemas.openxmlformats.org/officeDocument/2006/relationships/image" Target="../media/image14.emf"/><Relationship Id="rId6" Type="http://schemas.openxmlformats.org/officeDocument/2006/relationships/image" Target="../media/image9.emf"/><Relationship Id="rId11" Type="http://schemas.openxmlformats.org/officeDocument/2006/relationships/image" Target="../media/image4.emf"/><Relationship Id="rId5" Type="http://schemas.openxmlformats.org/officeDocument/2006/relationships/image" Target="../media/image10.emf"/><Relationship Id="rId15" Type="http://schemas.openxmlformats.org/officeDocument/2006/relationships/image" Target="../media/image15.emf"/><Relationship Id="rId10" Type="http://schemas.openxmlformats.org/officeDocument/2006/relationships/image" Target="../media/image5.emf"/><Relationship Id="rId4" Type="http://schemas.openxmlformats.org/officeDocument/2006/relationships/image" Target="../media/image11.emf"/><Relationship Id="rId9" Type="http://schemas.openxmlformats.org/officeDocument/2006/relationships/image" Target="../media/image6.emf"/><Relationship Id="rId14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1236052</xdr:colOff>
      <xdr:row>53</xdr:row>
      <xdr:rowOff>55686</xdr:rowOff>
    </xdr:from>
    <xdr:to>
      <xdr:col>22</xdr:col>
      <xdr:colOff>206290</xdr:colOff>
      <xdr:row>53</xdr:row>
      <xdr:rowOff>340374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8577" y="9952161"/>
          <a:ext cx="284688" cy="284688"/>
        </a:xfrm>
        <a:prstGeom prst="rect">
          <a:avLst/>
        </a:prstGeom>
      </xdr:spPr>
    </xdr:pic>
    <xdr:clientData/>
  </xdr:twoCellAnchor>
  <xdr:twoCellAnchor editAs="oneCell">
    <xdr:from>
      <xdr:col>15</xdr:col>
      <xdr:colOff>66675</xdr:colOff>
      <xdr:row>58</xdr:row>
      <xdr:rowOff>57150</xdr:rowOff>
    </xdr:from>
    <xdr:to>
      <xdr:col>15</xdr:col>
      <xdr:colOff>307716</xdr:colOff>
      <xdr:row>58</xdr:row>
      <xdr:rowOff>247650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49550" y="10391775"/>
          <a:ext cx="241041" cy="190500"/>
        </a:xfrm>
        <a:prstGeom prst="rect">
          <a:avLst/>
        </a:prstGeom>
      </xdr:spPr>
    </xdr:pic>
    <xdr:clientData/>
  </xdr:twoCellAnchor>
  <xdr:twoCellAnchor editAs="oneCell">
    <xdr:from>
      <xdr:col>22</xdr:col>
      <xdr:colOff>47625</xdr:colOff>
      <xdr:row>58</xdr:row>
      <xdr:rowOff>66675</xdr:rowOff>
    </xdr:from>
    <xdr:to>
      <xdr:col>22</xdr:col>
      <xdr:colOff>289046</xdr:colOff>
      <xdr:row>58</xdr:row>
      <xdr:rowOff>257475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64600" y="10401300"/>
          <a:ext cx="241421" cy="190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28575</xdr:rowOff>
    </xdr:from>
    <xdr:to>
      <xdr:col>12</xdr:col>
      <xdr:colOff>57150</xdr:colOff>
      <xdr:row>51</xdr:row>
      <xdr:rowOff>485775</xdr:rowOff>
    </xdr:to>
    <xdr:pic>
      <xdr:nvPicPr>
        <xdr:cNvPr id="21" name="Picture 3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47625</xdr:colOff>
      <xdr:row>58</xdr:row>
      <xdr:rowOff>66675</xdr:rowOff>
    </xdr:from>
    <xdr:to>
      <xdr:col>22</xdr:col>
      <xdr:colOff>289046</xdr:colOff>
      <xdr:row>58</xdr:row>
      <xdr:rowOff>257475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77675" y="1066800"/>
          <a:ext cx="241421" cy="1908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59</xdr:row>
          <xdr:rowOff>47625</xdr:rowOff>
        </xdr:from>
        <xdr:to>
          <xdr:col>14</xdr:col>
          <xdr:colOff>752475</xdr:colOff>
          <xdr:row>62</xdr:row>
          <xdr:rowOff>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62</xdr:row>
          <xdr:rowOff>47625</xdr:rowOff>
        </xdr:from>
        <xdr:to>
          <xdr:col>14</xdr:col>
          <xdr:colOff>752475</xdr:colOff>
          <xdr:row>64</xdr:row>
          <xdr:rowOff>57150</xdr:rowOff>
        </xdr:to>
        <xdr:sp macro="" textlink="">
          <xdr:nvSpPr>
            <xdr:cNvPr id="1026" name="TIButton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64</xdr:row>
          <xdr:rowOff>104775</xdr:rowOff>
        </xdr:from>
        <xdr:to>
          <xdr:col>14</xdr:col>
          <xdr:colOff>752475</xdr:colOff>
          <xdr:row>66</xdr:row>
          <xdr:rowOff>114300</xdr:rowOff>
        </xdr:to>
        <xdr:sp macro="" textlink="">
          <xdr:nvSpPr>
            <xdr:cNvPr id="1027" name="TIButton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123825</xdr:colOff>
          <xdr:row>55</xdr:row>
          <xdr:rowOff>47625</xdr:rowOff>
        </xdr:from>
        <xdr:to>
          <xdr:col>13</xdr:col>
          <xdr:colOff>38100</xdr:colOff>
          <xdr:row>57</xdr:row>
          <xdr:rowOff>85725</xdr:rowOff>
        </xdr:to>
        <xdr:sp macro="" textlink="">
          <xdr:nvSpPr>
            <xdr:cNvPr id="1031" name="TIButton5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57150</xdr:colOff>
          <xdr:row>55</xdr:row>
          <xdr:rowOff>47625</xdr:rowOff>
        </xdr:from>
        <xdr:to>
          <xdr:col>15</xdr:col>
          <xdr:colOff>352425</xdr:colOff>
          <xdr:row>57</xdr:row>
          <xdr:rowOff>85725</xdr:rowOff>
        </xdr:to>
        <xdr:sp macro="" textlink="">
          <xdr:nvSpPr>
            <xdr:cNvPr id="1032" name="TIButton6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371475</xdr:colOff>
          <xdr:row>55</xdr:row>
          <xdr:rowOff>38100</xdr:rowOff>
        </xdr:from>
        <xdr:to>
          <xdr:col>19</xdr:col>
          <xdr:colOff>1104900</xdr:colOff>
          <xdr:row>57</xdr:row>
          <xdr:rowOff>76200</xdr:rowOff>
        </xdr:to>
        <xdr:sp macro="" textlink="">
          <xdr:nvSpPr>
            <xdr:cNvPr id="1033" name="TIButton7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1133475</xdr:colOff>
          <xdr:row>55</xdr:row>
          <xdr:rowOff>38100</xdr:rowOff>
        </xdr:from>
        <xdr:to>
          <xdr:col>22</xdr:col>
          <xdr:colOff>114300</xdr:colOff>
          <xdr:row>57</xdr:row>
          <xdr:rowOff>76200</xdr:rowOff>
        </xdr:to>
        <xdr:sp macro="" textlink="">
          <xdr:nvSpPr>
            <xdr:cNvPr id="1034" name="TIButton8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59</xdr:row>
          <xdr:rowOff>47625</xdr:rowOff>
        </xdr:from>
        <xdr:to>
          <xdr:col>21</xdr:col>
          <xdr:colOff>1038225</xdr:colOff>
          <xdr:row>62</xdr:row>
          <xdr:rowOff>0</xdr:rowOff>
        </xdr:to>
        <xdr:sp macro="" textlink="">
          <xdr:nvSpPr>
            <xdr:cNvPr id="1035" name="TIButton9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62</xdr:row>
          <xdr:rowOff>47625</xdr:rowOff>
        </xdr:from>
        <xdr:to>
          <xdr:col>21</xdr:col>
          <xdr:colOff>1038225</xdr:colOff>
          <xdr:row>64</xdr:row>
          <xdr:rowOff>57150</xdr:rowOff>
        </xdr:to>
        <xdr:sp macro="" textlink="">
          <xdr:nvSpPr>
            <xdr:cNvPr id="1036" name="TIButton10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64</xdr:row>
          <xdr:rowOff>104775</xdr:rowOff>
        </xdr:from>
        <xdr:to>
          <xdr:col>21</xdr:col>
          <xdr:colOff>1038225</xdr:colOff>
          <xdr:row>66</xdr:row>
          <xdr:rowOff>114300</xdr:rowOff>
        </xdr:to>
        <xdr:sp macro="" textlink="">
          <xdr:nvSpPr>
            <xdr:cNvPr id="1037" name="TIButton11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66</xdr:row>
          <xdr:rowOff>161925</xdr:rowOff>
        </xdr:from>
        <xdr:to>
          <xdr:col>21</xdr:col>
          <xdr:colOff>1038225</xdr:colOff>
          <xdr:row>68</xdr:row>
          <xdr:rowOff>38100</xdr:rowOff>
        </xdr:to>
        <xdr:sp macro="" textlink="">
          <xdr:nvSpPr>
            <xdr:cNvPr id="1038" name="TIButton12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68</xdr:row>
          <xdr:rowOff>85725</xdr:rowOff>
        </xdr:from>
        <xdr:to>
          <xdr:col>21</xdr:col>
          <xdr:colOff>1038225</xdr:colOff>
          <xdr:row>70</xdr:row>
          <xdr:rowOff>152400</xdr:rowOff>
        </xdr:to>
        <xdr:sp macro="" textlink="">
          <xdr:nvSpPr>
            <xdr:cNvPr id="1039" name="TIButton13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71</xdr:row>
          <xdr:rowOff>9525</xdr:rowOff>
        </xdr:from>
        <xdr:to>
          <xdr:col>21</xdr:col>
          <xdr:colOff>1038225</xdr:colOff>
          <xdr:row>74</xdr:row>
          <xdr:rowOff>19050</xdr:rowOff>
        </xdr:to>
        <xdr:sp macro="" textlink="">
          <xdr:nvSpPr>
            <xdr:cNvPr id="1040" name="TIButton14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74</xdr:row>
          <xdr:rowOff>66675</xdr:rowOff>
        </xdr:from>
        <xdr:to>
          <xdr:col>21</xdr:col>
          <xdr:colOff>1038225</xdr:colOff>
          <xdr:row>76</xdr:row>
          <xdr:rowOff>133350</xdr:rowOff>
        </xdr:to>
        <xdr:sp macro="" textlink="">
          <xdr:nvSpPr>
            <xdr:cNvPr id="1041" name="TIButton15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23</xdr:col>
      <xdr:colOff>19050</xdr:colOff>
      <xdr:row>0</xdr:row>
      <xdr:rowOff>0</xdr:rowOff>
    </xdr:from>
    <xdr:to>
      <xdr:col>26</xdr:col>
      <xdr:colOff>57150</xdr:colOff>
      <xdr:row>58</xdr:row>
      <xdr:rowOff>295276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30100" y="0"/>
          <a:ext cx="1866900" cy="1866901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77</xdr:row>
          <xdr:rowOff>0</xdr:rowOff>
        </xdr:from>
        <xdr:to>
          <xdr:col>21</xdr:col>
          <xdr:colOff>1038225</xdr:colOff>
          <xdr:row>80</xdr:row>
          <xdr:rowOff>19050</xdr:rowOff>
        </xdr:to>
        <xdr:sp macro="" textlink="">
          <xdr:nvSpPr>
            <xdr:cNvPr id="1042" name="TIButton4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80</xdr:row>
          <xdr:rowOff>47625</xdr:rowOff>
        </xdr:from>
        <xdr:to>
          <xdr:col>21</xdr:col>
          <xdr:colOff>1038225</xdr:colOff>
          <xdr:row>82</xdr:row>
          <xdr:rowOff>114300</xdr:rowOff>
        </xdr:to>
        <xdr:sp macro="" textlink="">
          <xdr:nvSpPr>
            <xdr:cNvPr id="1043" name="TIButton16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82</xdr:row>
          <xdr:rowOff>161925</xdr:rowOff>
        </xdr:from>
        <xdr:to>
          <xdr:col>21</xdr:col>
          <xdr:colOff>1038225</xdr:colOff>
          <xdr:row>85</xdr:row>
          <xdr:rowOff>47625</xdr:rowOff>
        </xdr:to>
        <xdr:sp macro="" textlink="">
          <xdr:nvSpPr>
            <xdr:cNvPr id="1044" name="TIButton17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86</xdr:row>
          <xdr:rowOff>28575</xdr:rowOff>
        </xdr:from>
        <xdr:to>
          <xdr:col>21</xdr:col>
          <xdr:colOff>1038225</xdr:colOff>
          <xdr:row>87</xdr:row>
          <xdr:rowOff>152400</xdr:rowOff>
        </xdr:to>
        <xdr:sp macro="" textlink="">
          <xdr:nvSpPr>
            <xdr:cNvPr id="1045" name="TIButton18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18" Type="http://schemas.openxmlformats.org/officeDocument/2006/relationships/control" Target="../activeX/activeX8.xml"/><Relationship Id="rId26" Type="http://schemas.openxmlformats.org/officeDocument/2006/relationships/control" Target="../activeX/activeX12.xml"/><Relationship Id="rId39" Type="http://schemas.openxmlformats.org/officeDocument/2006/relationships/image" Target="../media/image18.emf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34" Type="http://schemas.openxmlformats.org/officeDocument/2006/relationships/control" Target="../activeX/activeX16.x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38" Type="http://schemas.openxmlformats.org/officeDocument/2006/relationships/control" Target="../activeX/activeX18.xml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20" Type="http://schemas.openxmlformats.org/officeDocument/2006/relationships/control" Target="../activeX/activeX9.xml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24" Type="http://schemas.openxmlformats.org/officeDocument/2006/relationships/control" Target="../activeX/activeX11.xml"/><Relationship Id="rId32" Type="http://schemas.openxmlformats.org/officeDocument/2006/relationships/control" Target="../activeX/activeX15.xml"/><Relationship Id="rId37" Type="http://schemas.openxmlformats.org/officeDocument/2006/relationships/image" Target="../media/image17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control" Target="../activeX/activeX13.xml"/><Relationship Id="rId36" Type="http://schemas.openxmlformats.org/officeDocument/2006/relationships/control" Target="../activeX/activeX17.xml"/><Relationship Id="rId10" Type="http://schemas.openxmlformats.org/officeDocument/2006/relationships/control" Target="../activeX/activeX4.xml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Relationship Id="rId22" Type="http://schemas.openxmlformats.org/officeDocument/2006/relationships/control" Target="../activeX/activeX10.xml"/><Relationship Id="rId27" Type="http://schemas.openxmlformats.org/officeDocument/2006/relationships/image" Target="../media/image12.emf"/><Relationship Id="rId30" Type="http://schemas.openxmlformats.org/officeDocument/2006/relationships/control" Target="../activeX/activeX14.xml"/><Relationship Id="rId35" Type="http://schemas.openxmlformats.org/officeDocument/2006/relationships/image" Target="../media/image16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90"/>
  <sheetViews>
    <sheetView showGridLines="0" tabSelected="1" topLeftCell="J52" workbookViewId="0">
      <pane ySplit="8" topLeftCell="A60" activePane="bottomLeft" state="frozen"/>
      <selection activeCell="J52" sqref="J52"/>
      <selection pane="bottomLeft"/>
    </sheetView>
  </sheetViews>
  <sheetFormatPr defaultRowHeight="15" outlineLevelRow="1" outlineLevelCol="1" x14ac:dyDescent="0.25"/>
  <cols>
    <col min="1" max="1" width="5.7109375" hidden="1" customWidth="1" outlineLevel="1"/>
    <col min="2" max="2" width="47.85546875" hidden="1" customWidth="1" outlineLevel="1"/>
    <col min="3" max="4" width="20.28515625" hidden="1" customWidth="1" outlineLevel="1"/>
    <col min="5" max="5" width="24.42578125" hidden="1" customWidth="1" outlineLevel="1"/>
    <col min="6" max="6" width="21.7109375" hidden="1" customWidth="1" outlineLevel="1"/>
    <col min="7" max="7" width="20.140625" hidden="1" customWidth="1" outlineLevel="1"/>
    <col min="8" max="8" width="13.42578125" hidden="1" customWidth="1" outlineLevel="1"/>
    <col min="9" max="9" width="12.42578125" hidden="1" customWidth="1" outlineLevel="1"/>
    <col min="10" max="10" width="0.85546875" customWidth="1" collapsed="1"/>
    <col min="11" max="11" width="5.7109375" customWidth="1"/>
    <col min="12" max="15" width="19.7109375" customWidth="1"/>
    <col min="16" max="16" width="5.7109375" customWidth="1"/>
    <col min="17" max="17" width="1.7109375" customWidth="1"/>
    <col min="18" max="18" width="5.7109375" customWidth="1"/>
    <col min="19" max="22" width="19.7109375" customWidth="1"/>
    <col min="23" max="23" width="5.7109375" customWidth="1"/>
  </cols>
  <sheetData>
    <row r="1" spans="2:4" hidden="1" outlineLevel="1" x14ac:dyDescent="0.25">
      <c r="B1" s="16" t="s">
        <v>3</v>
      </c>
      <c r="C1" s="17"/>
      <c r="D1" s="18"/>
    </row>
    <row r="2" spans="2:4" hidden="1" outlineLevel="1" x14ac:dyDescent="0.25">
      <c r="B2" s="2" t="s">
        <v>4</v>
      </c>
      <c r="C2" s="3" t="s">
        <v>52</v>
      </c>
      <c r="D2" s="4"/>
    </row>
    <row r="3" spans="2:4" hidden="1" outlineLevel="1" x14ac:dyDescent="0.25">
      <c r="B3" s="2" t="s">
        <v>22</v>
      </c>
      <c r="C3" s="10" t="str">
        <f ca="1">_xll.VIEW(db_name&amp;":}ElementAttributes_}Clients","!","!")</f>
        <v>dva_geus:}ElementAttributes_}Clients</v>
      </c>
      <c r="D3" s="4"/>
    </row>
    <row r="4" spans="2:4" hidden="1" outlineLevel="1" x14ac:dyDescent="0.25">
      <c r="B4" s="2" t="s">
        <v>21</v>
      </c>
      <c r="C4" s="3" t="str">
        <f ca="1">_xll.TM1USER(db_name)</f>
        <v>Admin</v>
      </c>
      <c r="D4" s="4"/>
    </row>
    <row r="5" spans="2:4" hidden="1" outlineLevel="1" x14ac:dyDescent="0.25">
      <c r="B5" s="2" t="s">
        <v>23</v>
      </c>
      <c r="C5" s="3" t="str">
        <f ca="1">_xll.DBR($C$3,$C$4,$B5)</f>
        <v>Admin</v>
      </c>
      <c r="D5" s="4"/>
    </row>
    <row r="6" spans="2:4" hidden="1" outlineLevel="1" x14ac:dyDescent="0.25">
      <c r="B6" s="2" t="s">
        <v>24</v>
      </c>
      <c r="C6" s="3" t="str">
        <f ca="1">_xll.DBR($C$3,$C$4,$B6)</f>
        <v/>
      </c>
      <c r="D6" s="4"/>
    </row>
    <row r="7" spans="2:4" hidden="1" outlineLevel="1" x14ac:dyDescent="0.25">
      <c r="B7" s="2" t="s">
        <v>5</v>
      </c>
      <c r="C7" s="3" t="str">
        <f ca="1">$C$5</f>
        <v>Admin</v>
      </c>
      <c r="D7" s="1"/>
    </row>
    <row r="8" spans="2:4" hidden="1" outlineLevel="1" x14ac:dyDescent="0.25"/>
    <row r="9" spans="2:4" hidden="1" outlineLevel="1" x14ac:dyDescent="0.25">
      <c r="B9" s="16" t="s">
        <v>6</v>
      </c>
      <c r="C9" s="17"/>
      <c r="D9" s="18"/>
    </row>
    <row r="10" spans="2:4" hidden="1" outlineLevel="1" x14ac:dyDescent="0.25">
      <c r="B10" s="2" t="s">
        <v>7</v>
      </c>
      <c r="C10" s="1" t="str">
        <f ca="1">_xll.VIEW(db_name&amp;":}ElementAttributes_variables","!","!")</f>
        <v>dva_geus:}ElementAttributes_variables</v>
      </c>
      <c r="D10" s="1"/>
    </row>
    <row r="11" spans="2:4" hidden="1" outlineLevel="1" x14ac:dyDescent="0.25">
      <c r="B11" s="2" t="s">
        <v>8</v>
      </c>
      <c r="C11" s="1" t="str">
        <f ca="1">_xll.DBR($C$10,$B11,"value")</f>
        <v>HL2023-2024</v>
      </c>
      <c r="D11" s="1"/>
    </row>
    <row r="12" spans="2:4" hidden="1" outlineLevel="1" x14ac:dyDescent="0.25">
      <c r="B12" s="2" t="s">
        <v>9</v>
      </c>
      <c r="C12" s="1" t="str">
        <f ca="1">_xll.DBR($C$10,$B12,"value")</f>
        <v>current</v>
      </c>
      <c r="D12" s="1"/>
    </row>
    <row r="13" spans="2:4" hidden="1" outlineLevel="1" x14ac:dyDescent="0.25">
      <c r="B13" s="2" t="s">
        <v>10</v>
      </c>
      <c r="C13" s="1" t="str">
        <f ca="1">_xll.DBR($C$10,$B13,"value")</f>
        <v>HL2023-2024</v>
      </c>
      <c r="D13" s="1"/>
    </row>
    <row r="14" spans="2:4" hidden="1" outlineLevel="1" x14ac:dyDescent="0.25">
      <c r="B14" s="2" t="s">
        <v>11</v>
      </c>
      <c r="C14" s="1" t="str">
        <f ca="1">_xll.DBR($C$10,$B14,"value")</f>
        <v>FE3</v>
      </c>
      <c r="D14" s="1"/>
    </row>
    <row r="15" spans="2:4" hidden="1" outlineLevel="1" x14ac:dyDescent="0.25">
      <c r="B15" s="2" t="s">
        <v>12</v>
      </c>
      <c r="C15" s="1" t="str">
        <f ca="1">"The current scenario is """ &amp; $C$12 &amp; """ for the """ &amp; $C$11 &amp; """ Headline Year. Archive was done for """ &amp; $C$13 &amp; """ on scenario """ &amp; $C$14 &amp; """."</f>
        <v>The current scenario is "current" for the "HL2023-2024" Headline Year. Archive was done for "HL2023-2024" on scenario "FE3".</v>
      </c>
      <c r="D15" s="1"/>
    </row>
    <row r="16" spans="2:4" hidden="1" outlineLevel="1" x14ac:dyDescent="0.25"/>
    <row r="17" spans="2:13" hidden="1" outlineLevel="1" x14ac:dyDescent="0.25">
      <c r="B17" s="16" t="s">
        <v>13</v>
      </c>
      <c r="C17" s="17"/>
      <c r="D17" s="18"/>
    </row>
    <row r="18" spans="2:13" hidden="1" outlineLevel="1" x14ac:dyDescent="0.25">
      <c r="B18" s="2" t="s">
        <v>7</v>
      </c>
      <c r="C18" s="1" t="str">
        <f ca="1">_xll.VIEW(db_name&amp;":sys_client preference","!","!","!")</f>
        <v>dva_geus:sys_client preference</v>
      </c>
      <c r="D18" s="1"/>
    </row>
    <row r="19" spans="2:13" hidden="1" outlineLevel="1" x14ac:dyDescent="0.25">
      <c r="B19" s="2" t="s">
        <v>14</v>
      </c>
      <c r="C19" s="1" t="str">
        <f ca="1">_xll.DBR($C$18,psUser,$B19,"value")</f>
        <v>HL2023-2024</v>
      </c>
      <c r="D19" s="1"/>
    </row>
    <row r="20" spans="2:13" hidden="1" outlineLevel="1" x14ac:dyDescent="0.25">
      <c r="B20" s="2" t="s">
        <v>15</v>
      </c>
      <c r="C20" s="1" t="str">
        <f ca="1">_xll.DBR($C$18,psUser,$B20,"value")</f>
        <v>current</v>
      </c>
      <c r="D20" s="1"/>
    </row>
    <row r="21" spans="2:13" hidden="1" outlineLevel="1" x14ac:dyDescent="0.25">
      <c r="B21" s="2" t="s">
        <v>16</v>
      </c>
      <c r="C21" s="1" t="str">
        <f ca="1">_xll.DBR($C$18,psUser,$B21,"value")</f>
        <v>00283</v>
      </c>
      <c r="D21" s="1"/>
    </row>
    <row r="22" spans="2:13" hidden="1" outlineLevel="1" x14ac:dyDescent="0.25">
      <c r="B22" s="2" t="s">
        <v>17</v>
      </c>
      <c r="C22" s="1" t="str">
        <f ca="1">_xll.DBR($C$18,psUser,$B22,"value")</f>
        <v/>
      </c>
      <c r="D22" s="1"/>
    </row>
    <row r="23" spans="2:13" hidden="1" outlineLevel="1" x14ac:dyDescent="0.25">
      <c r="B23" s="2" t="s">
        <v>20</v>
      </c>
      <c r="C23" s="1" t="s">
        <v>19</v>
      </c>
      <c r="D23" s="1"/>
    </row>
    <row r="24" spans="2:13" hidden="1" outlineLevel="1" x14ac:dyDescent="0.25"/>
    <row r="25" spans="2:13" hidden="1" outlineLevel="1" x14ac:dyDescent="0.25">
      <c r="B25" s="16" t="s">
        <v>18</v>
      </c>
      <c r="C25" s="17"/>
      <c r="D25" s="18"/>
    </row>
    <row r="26" spans="2:13" hidden="1" outlineLevel="1" x14ac:dyDescent="0.25">
      <c r="B26" s="1" t="s">
        <v>2</v>
      </c>
      <c r="C26" s="12" t="str">
        <f ca="1">_xll.VIEW(db_name&amp;":sys_application","!","!")</f>
        <v>dva_geus:sys_application</v>
      </c>
      <c r="D26" s="12"/>
    </row>
    <row r="27" spans="2:13" hidden="1" outlineLevel="1" x14ac:dyDescent="0.25">
      <c r="C27" s="12" t="s">
        <v>33</v>
      </c>
      <c r="D27" s="12" t="s">
        <v>30</v>
      </c>
      <c r="E27" s="12" t="s">
        <v>31</v>
      </c>
      <c r="F27" s="12" t="s">
        <v>0</v>
      </c>
      <c r="G27" s="12" t="s">
        <v>32</v>
      </c>
      <c r="H27" s="12" t="s">
        <v>1</v>
      </c>
    </row>
    <row r="28" spans="2:13" hidden="1" outlineLevel="1" x14ac:dyDescent="0.25">
      <c r="B28" s="1" t="s">
        <v>25</v>
      </c>
      <c r="C28" s="1" t="str">
        <f ca="1">_xll.DBR($C$26,$B28,C$27)</f>
        <v>TM1HomeCAP</v>
      </c>
      <c r="D28" s="1" t="str">
        <f ca="1">_xll.DBR($C$26,$B28,D$27)</f>
        <v>Home</v>
      </c>
      <c r="E28" s="1" t="str">
        <f ca="1">_xll.DBR($C$26,$B28,E$27)</f>
        <v>TM1HomeWB</v>
      </c>
      <c r="F28" s="1" t="str">
        <f ca="1">_xll.DBR($C$26,$B28,F$27)</f>
        <v>PRIMUS\GEUS WEB\Homepage\sys_Home.xlsx</v>
      </c>
      <c r="G28" s="1" t="str">
        <f ca="1">_xll.DBR($C$26,$B28,G$27)</f>
        <v>TM1HomeWS</v>
      </c>
      <c r="H28" s="1" t="str">
        <f ca="1">_xll.DBR($C$26,$B28,H$27)</f>
        <v>home</v>
      </c>
      <c r="M28" t="s">
        <v>30</v>
      </c>
    </row>
    <row r="29" spans="2:13" hidden="1" outlineLevel="1" x14ac:dyDescent="0.25">
      <c r="B29" s="1" t="s">
        <v>26</v>
      </c>
      <c r="C29" s="1" t="str">
        <f ca="1">_xll.DBR($C$26,$B29,C$27)</f>
        <v>TM1HomeAECAP</v>
      </c>
      <c r="D29" s="1" t="str">
        <f ca="1">_xll.DBR($C$26,$B29,D$27)</f>
        <v>Annual Estimates</v>
      </c>
      <c r="E29" s="1" t="str">
        <f ca="1">_xll.DBR($C$26,$B29,E$27)</f>
        <v>TM1HomeAEWB</v>
      </c>
      <c r="F29" s="1" t="str">
        <f ca="1">_xll.DBR($C$26,$B29,F$27)</f>
        <v>PRIMUS\GEUS WEB\Homepage\sys_Home - Annual Estimates - Data Entry.xlsx</v>
      </c>
      <c r="G29" s="1" t="str">
        <f ca="1">_xll.DBR($C$26,$B29,G$27)</f>
        <v>TM1HomeAEWS</v>
      </c>
      <c r="H29" s="1" t="str">
        <f ca="1">_xll.DBR($C$26,$B29,H$27)</f>
        <v>Menu</v>
      </c>
      <c r="M29" t="s">
        <v>31</v>
      </c>
    </row>
    <row r="30" spans="2:13" hidden="1" outlineLevel="1" x14ac:dyDescent="0.25">
      <c r="B30" s="1" t="s">
        <v>27</v>
      </c>
      <c r="C30" s="1" t="str">
        <f ca="1">_xll.DBR($C$26,$B30,C$27)</f>
        <v>TM1HomeRepCAP</v>
      </c>
      <c r="D30" s="1" t="str">
        <f ca="1">_xll.DBR($C$26,$B30,D$27)</f>
        <v>Reports</v>
      </c>
      <c r="E30" s="1" t="str">
        <f ca="1">_xll.DBR($C$26,$B30,E$27)</f>
        <v>TM1HomeRepWB</v>
      </c>
      <c r="F30" s="1" t="str">
        <f ca="1">_xll.DBR($C$26,$B30,F$27)</f>
        <v>PRIMUS\GEUS WEB\Homepage\sys_Home - Reports - PFS.xlsx</v>
      </c>
      <c r="G30" s="1" t="str">
        <f ca="1">_xll.DBR($C$26,$B30,G$27)</f>
        <v>TM1HomeRepWS</v>
      </c>
      <c r="H30" s="1" t="str">
        <f ca="1">_xll.DBR($C$26,$B30,H$27)</f>
        <v>Menu</v>
      </c>
    </row>
    <row r="31" spans="2:13" hidden="1" outlineLevel="1" x14ac:dyDescent="0.25">
      <c r="B31" s="1" t="s">
        <v>35</v>
      </c>
      <c r="C31" s="1" t="str">
        <f ca="1">_xll.DBR($C$26,$B31,C$27)</f>
        <v>TM1HomeRepPFSCAP</v>
      </c>
      <c r="D31" s="1" t="str">
        <f ca="1">_xll.DBR($C$26,$B31,D$27)</f>
        <v>Primary Financial Statements Menu</v>
      </c>
      <c r="E31" s="1" t="str">
        <f ca="1">_xll.DBR($C$26,$B31,E$27)</f>
        <v>TM1HomeRepPFSWB</v>
      </c>
      <c r="F31" s="1" t="str">
        <f ca="1">_xll.DBR($C$26,$B31,F$27)</f>
        <v>PRIMUS\GEUS WEB\Homepage\sys_Home - Reports - PFS.xlsx</v>
      </c>
      <c r="G31" s="1" t="str">
        <f ca="1">_xll.DBR($C$26,$B31,G$27)</f>
        <v>TM1HomeRepPFSWS</v>
      </c>
      <c r="H31" s="1" t="str">
        <f ca="1">_xll.DBR($C$26,$B31,H$27)</f>
        <v>Menu</v>
      </c>
    </row>
    <row r="32" spans="2:13" hidden="1" outlineLevel="1" x14ac:dyDescent="0.25">
      <c r="B32" s="1" t="s">
        <v>36</v>
      </c>
      <c r="C32" s="1" t="str">
        <f ca="1">_xll.DBR($C$26,$B32,C$27)</f>
        <v>TM1HomeRepOtherCAP</v>
      </c>
      <c r="D32" s="1" t="str">
        <f ca="1">_xll.DBR($C$26,$B32,D$27)</f>
        <v>Other Reports Menu</v>
      </c>
      <c r="E32" s="1" t="str">
        <f ca="1">_xll.DBR($C$26,$B32,E$27)</f>
        <v>TM1HomeRepOtherWB</v>
      </c>
      <c r="F32" s="1" t="str">
        <f ca="1">_xll.DBR($C$26,$B32,F$27)</f>
        <v>PRIMUS\GEUS WEB\Homepage\sys_Home - Reports - Other.xlsx</v>
      </c>
      <c r="G32" s="1" t="str">
        <f ca="1">_xll.DBR($C$26,$B32,G$27)</f>
        <v>TM1HomeRepOtherWS</v>
      </c>
      <c r="H32" s="1" t="str">
        <f ca="1">_xll.DBR($C$26,$B32,H$27)</f>
        <v>Menu</v>
      </c>
    </row>
    <row r="33" spans="2:8" hidden="1" outlineLevel="1" x14ac:dyDescent="0.25">
      <c r="B33" s="1" t="s">
        <v>37</v>
      </c>
      <c r="C33" s="1" t="str">
        <f ca="1">_xll.DBR($C$26,$B33,C$27)</f>
        <v>TM1HomeRepAnalyticalCAP</v>
      </c>
      <c r="D33" s="1" t="str">
        <f ca="1">_xll.DBR($C$26,$B33,D$27)</f>
        <v>Analytical Reports Menu</v>
      </c>
      <c r="E33" s="1" t="str">
        <f ca="1">_xll.DBR($C$26,$B33,E$27)</f>
        <v>TM1HomeRepAnalyticalWB</v>
      </c>
      <c r="F33" s="1" t="str">
        <f ca="1">_xll.DBR($C$26,$B33,F$27)</f>
        <v>PRIMUS\GEUS WEB\Homepage\sys_Home - Reports - Analytical.xlsx</v>
      </c>
      <c r="G33" s="1" t="str">
        <f ca="1">_xll.DBR($C$26,$B33,G$27)</f>
        <v>TM1HomeRepAnalyticalWS</v>
      </c>
      <c r="H33" s="1" t="str">
        <f ca="1">_xll.DBR($C$26,$B33,H$27)</f>
        <v>Menu</v>
      </c>
    </row>
    <row r="34" spans="2:8" hidden="1" outlineLevel="1" x14ac:dyDescent="0.25">
      <c r="B34" s="1" t="s">
        <v>28</v>
      </c>
      <c r="C34" s="1" t="str">
        <f ca="1">_xll.DBR($C$26,$B34,C$27)</f>
        <v>TM1HomeAdminCAP</v>
      </c>
      <c r="D34" s="1" t="str">
        <f ca="1">_xll.DBR($C$26,$B34,D$27)</f>
        <v>Administration</v>
      </c>
      <c r="E34" s="1" t="str">
        <f ca="1">_xll.DBR($C$26,$B34,E$27)</f>
        <v>TM1HomeAdminWB</v>
      </c>
      <c r="F34" s="1" t="str">
        <f ca="1">_xll.DBR($C$26,$B34,F$27)</f>
        <v>PRIMUS\GEUS WEB\Homepage\sys_Home - Administration - GEUS Setup.xlsx</v>
      </c>
      <c r="G34" s="1" t="str">
        <f ca="1">_xll.DBR($C$26,$B34,G$27)</f>
        <v>TM1HomeAdminWS</v>
      </c>
      <c r="H34" s="1" t="str">
        <f ca="1">_xll.DBR($C$26,$B34,H$27)</f>
        <v>Menu</v>
      </c>
    </row>
    <row r="35" spans="2:8" hidden="1" outlineLevel="1" x14ac:dyDescent="0.25">
      <c r="B35" s="1" t="s">
        <v>29</v>
      </c>
      <c r="C35" s="1" t="str">
        <f ca="1">_xll.DBR($C$26,$B35,C$27)</f>
        <v>TM1HomeUnderCAP</v>
      </c>
      <c r="D35" s="1" t="str">
        <f ca="1">_xll.DBR($C$26,$B35,D$27)</f>
        <v>Under Construction</v>
      </c>
      <c r="E35" s="1" t="str">
        <f ca="1">_xll.DBR($C$26,$B35,E$27)</f>
        <v>TM1HomeUnderWB</v>
      </c>
      <c r="F35" s="1" t="str">
        <f ca="1">_xll.DBR($C$26,$B35,F$27)</f>
        <v>PRIMUS\GEUS WEB\Homepage\sys_Home - Under Construction.xlsx</v>
      </c>
      <c r="G35" s="1" t="str">
        <f ca="1">_xll.DBR($C$26,$B35,G$27)</f>
        <v>TM1HomeUnderWS</v>
      </c>
      <c r="H35" s="1" t="str">
        <f ca="1">_xll.DBR($C$26,$B35,H$27)</f>
        <v>under construction</v>
      </c>
    </row>
    <row r="36" spans="2:8" hidden="1" outlineLevel="1" x14ac:dyDescent="0.25">
      <c r="B36" s="1" t="s">
        <v>39</v>
      </c>
      <c r="C36" s="1" t="str">
        <f ca="1">_xll.DBR($C$26,$B36,C$27)</f>
        <v>TM1RptPFSCAP</v>
      </c>
      <c r="D36" s="1" t="str">
        <f ca="1">_xll.DBR($C$26,$B36,D$27)</f>
        <v>Primary Financial Statements (AE.OR.01)</v>
      </c>
      <c r="E36" s="1" t="str">
        <f ca="1">_xll.DBR($C$26,$B36,E$27)</f>
        <v>TM1RptPFSWB</v>
      </c>
      <c r="F36" s="1" t="str">
        <f ca="1">_xll.DBR($C$26,$B36,F$27)</f>
        <v>PRIMUS\GEUS WEB\Reports\Primary Financial Statements\Reports - Primary Financial Statements.xlsx</v>
      </c>
      <c r="G36" s="1" t="str">
        <f ca="1">_xll.DBR($C$26,$B36,G$27)</f>
        <v>TM1RptPFSWS</v>
      </c>
      <c r="H36" s="1" t="str">
        <f ca="1">_xll.DBR($C$26,$B36,H$27)</f>
        <v>report</v>
      </c>
    </row>
    <row r="37" spans="2:8" hidden="1" outlineLevel="1" x14ac:dyDescent="0.25">
      <c r="B37" s="1" t="s">
        <v>40</v>
      </c>
      <c r="C37" s="1" t="str">
        <f ca="1">_xll.DBR($C$26,$B37,C$27)</f>
        <v>TM1RptBSMACAP</v>
      </c>
      <c r="D37" s="1" t="str">
        <f ca="1">_xll.DBR($C$26,$B37,D$27)</f>
        <v>Balance Sheet By Movement Account</v>
      </c>
      <c r="E37" s="1" t="str">
        <f ca="1">_xll.DBR($C$26,$B37,E$27)</f>
        <v>TM1RptBSMAWB</v>
      </c>
      <c r="F37" s="1" t="str">
        <f ca="1">_xll.DBR($C$26,$B37,F$27)</f>
        <v>PRIMUS\GEUS WEB\Reports\Primary Financial Statements\Reports - Balance Sheet By Movement Account.xlsx</v>
      </c>
      <c r="G37" s="1" t="str">
        <f ca="1">_xll.DBR($C$26,$B37,G$27)</f>
        <v>TM1RptBSMAWS</v>
      </c>
      <c r="H37" s="1" t="str">
        <f ca="1">_xll.DBR($C$26,$B37,H$27)</f>
        <v>report</v>
      </c>
    </row>
    <row r="38" spans="2:8" hidden="1" outlineLevel="1" x14ac:dyDescent="0.25">
      <c r="B38" s="1" t="s">
        <v>41</v>
      </c>
      <c r="C38" s="1" t="str">
        <f ca="1">_xll.DBR($C$26,$B38,C$27)</f>
        <v>TM1RptAMTCAP</v>
      </c>
      <c r="D38" s="1" t="str">
        <f ca="1">_xll.DBR($C$26,$B38,D$27)</f>
        <v>Assets Movement Table (AE.OR.02)</v>
      </c>
      <c r="E38" s="1" t="str">
        <f ca="1">_xll.DBR($C$26,$B38,E$27)</f>
        <v>TM1RptAMTWB</v>
      </c>
      <c r="F38" s="1" t="str">
        <f ca="1">_xll.DBR($C$26,$B38,F$27)</f>
        <v>PRIMUS\GEUS WEB\Reports\Primary Financial Statements\Reports - Asset Movement Table.xlsx</v>
      </c>
      <c r="G38" s="1" t="str">
        <f ca="1">_xll.DBR($C$26,$B38,G$27)</f>
        <v>TM1RptAMTWS</v>
      </c>
      <c r="H38" s="1" t="str">
        <f ca="1">_xll.DBR($C$26,$B38,H$27)</f>
        <v>report</v>
      </c>
    </row>
    <row r="39" spans="2:8" hidden="1" outlineLevel="1" x14ac:dyDescent="0.25">
      <c r="B39" s="1" t="s">
        <v>42</v>
      </c>
      <c r="C39" s="1" t="str">
        <f ca="1">_xll.DBR($C$26,$B39,C$27)</f>
        <v>TM1RptEMTCAP</v>
      </c>
      <c r="D39" s="1" t="str">
        <f ca="1">_xll.DBR($C$26,$B39,D$27)</f>
        <v>Equity Movement Table (AE.OR.02)</v>
      </c>
      <c r="E39" s="1" t="str">
        <f ca="1">_xll.DBR($C$26,$B39,E$27)</f>
        <v>TM1RptEMTWB</v>
      </c>
      <c r="F39" s="1" t="str">
        <f ca="1">_xll.DBR($C$26,$B39,F$27)</f>
        <v>PRIMUS\GEUS WEB\Reports\Primary Financial Statements\Reports - Equity Movement Table.xlsx</v>
      </c>
      <c r="G39" s="1" t="str">
        <f ca="1">_xll.DBR($C$26,$B39,G$27)</f>
        <v>TM1RptEMTWS</v>
      </c>
      <c r="H39" s="1" t="str">
        <f ca="1">_xll.DBR($C$26,$B39,H$27)</f>
        <v>report</v>
      </c>
    </row>
    <row r="40" spans="2:8" hidden="1" outlineLevel="1" x14ac:dyDescent="0.25">
      <c r="B40" s="1" t="s">
        <v>43</v>
      </c>
      <c r="C40" s="1" t="str">
        <f ca="1">_xll.DBR($C$26,$B40,C$27)</f>
        <v>TM1RptRECAP</v>
      </c>
      <c r="D40" s="1" t="str">
        <f ca="1">_xll.DBR($C$26,$B40,D$27)</f>
        <v>Related Entity Report (AE.OR.03)</v>
      </c>
      <c r="E40" s="1" t="str">
        <f ca="1">_xll.DBR($C$26,$B40,E$27)</f>
        <v>TM1RptREWB</v>
      </c>
      <c r="F40" s="1" t="str">
        <f ca="1">_xll.DBR($C$26,$B40,F$27)</f>
        <v>PRIMUS\GEUS WEB\Reports\Primary Financial Statements\Reports - Related Entity Report.xlsx</v>
      </c>
      <c r="G40" s="1" t="str">
        <f ca="1">_xll.DBR($C$26,$B40,G$27)</f>
        <v>TM1RptREWS</v>
      </c>
      <c r="H40" s="1" t="str">
        <f ca="1">_xll.DBR($C$26,$B40,H$27)</f>
        <v>report</v>
      </c>
    </row>
    <row r="41" spans="2:8" hidden="1" outlineLevel="1" x14ac:dyDescent="0.25">
      <c r="B41" s="1" t="s">
        <v>44</v>
      </c>
      <c r="C41" s="1" t="str">
        <f ca="1">_xll.DBR($C$26,$B41,C$27)</f>
        <v>TM1RptCBSCAP</v>
      </c>
      <c r="D41" s="1" t="str">
        <f ca="1">_xll.DBR($C$26,$B41,D$27)</f>
        <v>Capital Budget Statements (AE.OR.06)</v>
      </c>
      <c r="E41" s="1" t="str">
        <f ca="1">_xll.DBR($C$26,$B41,E$27)</f>
        <v>TM1RptCBSWB</v>
      </c>
      <c r="F41" s="1" t="str">
        <f ca="1">_xll.DBR($C$26,$B41,F$27)</f>
        <v>PRIMUS\GEUS WEB\Reports\Primary Financial Statements\Reports - Capital Budget Statements.xlsx</v>
      </c>
      <c r="G41" s="1" t="str">
        <f ca="1">_xll.DBR($C$26,$B41,G$27)</f>
        <v>TM1RptCBSWS</v>
      </c>
      <c r="H41" s="1" t="str">
        <f ca="1">_xll.DBR($C$26,$B41,H$27)</f>
        <v>report</v>
      </c>
    </row>
    <row r="42" spans="2:8" hidden="1" outlineLevel="1" x14ac:dyDescent="0.25">
      <c r="B42" s="1" t="s">
        <v>45</v>
      </c>
      <c r="C42" s="1" t="str">
        <f ca="1">_xll.DBR($C$26,$B42,C$27)</f>
        <v>TM1RptSpecAccCAP</v>
      </c>
      <c r="D42" s="1" t="str">
        <f ca="1">_xll.DBR($C$26,$B42,D$27)</f>
        <v>Special Accounts (AE.OR.09)</v>
      </c>
      <c r="E42" s="1" t="str">
        <f ca="1">_xll.DBR($C$26,$B42,E$27)</f>
        <v>TM1RptSpecAccWB</v>
      </c>
      <c r="F42" s="1" t="str">
        <f ca="1">_xll.DBR($C$26,$B42,F$27)</f>
        <v>PRIMUS\GEUS WEB\Reports\Primary Financial Statements\Reports - Special Accounts.xlsx</v>
      </c>
      <c r="G42" s="1" t="str">
        <f ca="1">_xll.DBR($C$26,$B42,G$27)</f>
        <v>TM1RptSpecAccWS</v>
      </c>
      <c r="H42" s="1" t="str">
        <f ca="1">_xll.DBR($C$26,$B42,H$27)</f>
        <v>report</v>
      </c>
    </row>
    <row r="43" spans="2:8" hidden="1" outlineLevel="1" x14ac:dyDescent="0.25">
      <c r="B43" s="1" t="s">
        <v>46</v>
      </c>
      <c r="C43" s="1" t="str">
        <f ca="1">_xll.DBR($C$26,$B43,C$27)</f>
        <v>TM1RptAEAppropQACAP</v>
      </c>
      <c r="D43" s="1" t="str">
        <f ca="1">_xll.DBR($C$26,$B43,D$27)</f>
        <v>Appropriation QA Report (AE.OR.11)</v>
      </c>
      <c r="E43" s="1" t="str">
        <f ca="1">_xll.DBR($C$26,$B43,E$27)</f>
        <v>TM1RptAEAppropQAWB</v>
      </c>
      <c r="F43" s="1" t="str">
        <f ca="1">_xll.DBR($C$26,$B43,F$27)</f>
        <v>PRIMUS\GEUS WEB\Reports\Primary Financial Statements\Reports - Appropriation QA Report.xlsx</v>
      </c>
      <c r="G43" s="1" t="str">
        <f ca="1">_xll.DBR($C$26,$B43,G$27)</f>
        <v>TM1RptAEAppropQAWS</v>
      </c>
      <c r="H43" s="1" t="str">
        <f ca="1">_xll.DBR($C$26,$B43,H$27)</f>
        <v>report</v>
      </c>
    </row>
    <row r="44" spans="2:8" hidden="1" outlineLevel="1" x14ac:dyDescent="0.25">
      <c r="B44" s="1" t="s">
        <v>47</v>
      </c>
      <c r="C44" s="1" t="str">
        <f ca="1">_xll.DBR($C$26,$B44,C$27)</f>
        <v>TM1RptAppropOCProgCAP</v>
      </c>
      <c r="D44" s="1" t="str">
        <f ca="1">_xll.DBR($C$26,$B44,D$27)</f>
        <v>Appropriation By Outcome Program Report (AE.OR.16)</v>
      </c>
      <c r="E44" s="1" t="str">
        <f ca="1">_xll.DBR($C$26,$B44,E$27)</f>
        <v>TM1RptAppropOCProgWB</v>
      </c>
      <c r="F44" s="1" t="str">
        <f ca="1">_xll.DBR($C$26,$B44,F$27)</f>
        <v>PRIMUS\GEUS WEB\Reports\Primary Financial Statements\Reports - Appropriation By Outcome Report.xlsx</v>
      </c>
      <c r="G44" s="1" t="str">
        <f ca="1">_xll.DBR($C$26,$B44,G$27)</f>
        <v>TM1RptAppropOCProgWS</v>
      </c>
      <c r="H44" s="1" t="str">
        <f ca="1">_xll.DBR($C$26,$B44,H$27)</f>
        <v>report</v>
      </c>
    </row>
    <row r="45" spans="2:8" hidden="1" outlineLevel="1" x14ac:dyDescent="0.25">
      <c r="B45" s="1" t="s">
        <v>48</v>
      </c>
      <c r="C45" s="1" t="str">
        <f ca="1">_xll.DBR($C$26,$B45,C$27)</f>
        <v>TM1RptProgEstCAP</v>
      </c>
      <c r="D45" s="1" t="str">
        <f ca="1">_xll.DBR($C$26,$B45,D$27)</f>
        <v/>
      </c>
      <c r="E45" s="1" t="str">
        <f ca="1">_xll.DBR($C$26,$B45,E$27)</f>
        <v>TM1RptProgEstWB</v>
      </c>
      <c r="F45" s="1" t="str">
        <f ca="1">_xll.DBR($C$26,$B45,F$27)</f>
        <v/>
      </c>
      <c r="G45" s="1" t="str">
        <f ca="1">_xll.DBR($C$26,$B45,G$27)</f>
        <v>TM1RptProgEstWS</v>
      </c>
      <c r="H45" s="1" t="str">
        <f ca="1">_xll.DBR($C$26,$B45,H$27)</f>
        <v>report</v>
      </c>
    </row>
    <row r="46" spans="2:8" hidden="1" outlineLevel="1" x14ac:dyDescent="0.25">
      <c r="B46" s="1" t="s">
        <v>49</v>
      </c>
      <c r="C46" s="1" t="str">
        <f ca="1">_xll.DBR($C$26,$B46,C$27)</f>
        <v>TM1RptProgMoveCAP</v>
      </c>
      <c r="D46" s="1" t="str">
        <f ca="1">_xll.DBR($C$26,$B46,D$27)</f>
        <v>Summary Movement By Program (AE.OR.21A)</v>
      </c>
      <c r="E46" s="1" t="str">
        <f ca="1">_xll.DBR($C$26,$B46,E$27)</f>
        <v>TM1RptProgMoveWB</v>
      </c>
      <c r="F46" s="1" t="str">
        <f ca="1">_xll.DBR($C$26,$B46,F$27)</f>
        <v>PRIMUS\GEUS WEB\Reports\Primary Financial Statements\Reports - Summary Movement by Program.xlsx</v>
      </c>
      <c r="G46" s="1" t="str">
        <f ca="1">_xll.DBR($C$26,$B46,G$27)</f>
        <v>TM1RptProgMoveWS</v>
      </c>
      <c r="H46" s="1" t="str">
        <f ca="1">_xll.DBR($C$26,$B46,H$27)</f>
        <v>report</v>
      </c>
    </row>
    <row r="47" spans="2:8" hidden="1" outlineLevel="1" x14ac:dyDescent="0.25">
      <c r="B47" s="1" t="s">
        <v>50</v>
      </c>
      <c r="C47" s="1" t="str">
        <f ca="1">_xll.DBR($C$26,$B47,C$27)</f>
        <v>TM1RptReasonMoveCAP</v>
      </c>
      <c r="D47" s="1" t="str">
        <f ca="1">_xll.DBR($C$26,$B47,D$27)</f>
        <v>Summary Movement By Reason Code (AE.OR.21A)</v>
      </c>
      <c r="E47" s="1" t="str">
        <f ca="1">_xll.DBR($C$26,$B47,E$27)</f>
        <v>TM1RptReasonMoveWB</v>
      </c>
      <c r="F47" s="1" t="str">
        <f ca="1">_xll.DBR($C$26,$B47,F$27)</f>
        <v>PRIMUS\GEUS WEB\Reports\Primary Financial Statements\Reports - Summary Movement by Reason Code Report.xlsx</v>
      </c>
      <c r="G47" s="1" t="str">
        <f ca="1">_xll.DBR($C$26,$B47,G$27)</f>
        <v>TM1RptReasonMoveWS</v>
      </c>
      <c r="H47" s="1" t="str">
        <f ca="1">_xll.DBR($C$26,$B47,H$27)</f>
        <v>report</v>
      </c>
    </row>
    <row r="48" spans="2:8" hidden="1" outlineLevel="1" x14ac:dyDescent="0.25">
      <c r="B48" s="1" t="s">
        <v>51</v>
      </c>
      <c r="C48" s="1" t="str">
        <f ca="1">_xll.DBR($C$26,$B48,C$27)</f>
        <v>TM1RptDetProgMoveCAP</v>
      </c>
      <c r="D48" s="1" t="str">
        <f ca="1">_xll.DBR($C$26,$B48,D$27)</f>
        <v/>
      </c>
      <c r="E48" s="1" t="str">
        <f ca="1">_xll.DBR($C$26,$B48,E$27)</f>
        <v>TM1RptDetProgMoveWB</v>
      </c>
      <c r="F48" s="1" t="str">
        <f ca="1">_xll.DBR($C$26,$B48,F$27)</f>
        <v/>
      </c>
      <c r="G48" s="1" t="str">
        <f ca="1">_xll.DBR($C$26,$B48,G$27)</f>
        <v>TM1RptDetProgMoveWS</v>
      </c>
      <c r="H48" s="1" t="str">
        <f ca="1">_xll.DBR($C$26,$B48,H$27)</f>
        <v>report</v>
      </c>
    </row>
    <row r="49" spans="10:23" hidden="1" outlineLevel="1" x14ac:dyDescent="0.25"/>
    <row r="50" spans="10:23" hidden="1" outlineLevel="1" x14ac:dyDescent="0.25"/>
    <row r="51" spans="10:23" hidden="1" outlineLevel="1" x14ac:dyDescent="0.25"/>
    <row r="52" spans="10:23" ht="39.75" customHeight="1" collapsed="1" x14ac:dyDescent="0.25"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11" t="str">
        <f ca="1">"Welcome "&amp; psUser</f>
        <v>Welcome Admin</v>
      </c>
    </row>
    <row r="53" spans="10:23" ht="4.5" customHeight="1" x14ac:dyDescent="0.25"/>
    <row r="54" spans="10:23" ht="30" customHeight="1" x14ac:dyDescent="0.25">
      <c r="J54" s="6"/>
      <c r="K54" s="19" t="str">
        <f ca="1">$C$15</f>
        <v>The current scenario is "current" for the "HL2023-2024" Headline Year. Archive was done for "HL2023-2024" on scenario "FE3".</v>
      </c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6"/>
      <c r="W54" s="6"/>
    </row>
    <row r="55" spans="10:23" ht="4.5" customHeight="1" x14ac:dyDescent="0.25"/>
    <row r="59" spans="10:23" ht="24.75" customHeight="1" x14ac:dyDescent="0.25">
      <c r="J59" s="7"/>
      <c r="K59" s="7"/>
      <c r="L59" s="14" t="s">
        <v>34</v>
      </c>
      <c r="M59" s="14"/>
      <c r="N59" s="14"/>
      <c r="O59" s="14"/>
      <c r="P59" s="5"/>
      <c r="R59" s="8"/>
      <c r="S59" s="15" t="s">
        <v>38</v>
      </c>
      <c r="T59" s="15"/>
      <c r="U59" s="15"/>
      <c r="V59" s="15"/>
      <c r="W59" s="8"/>
    </row>
    <row r="60" spans="10:23" ht="4.5" customHeight="1" x14ac:dyDescent="0.25">
      <c r="J60" s="9"/>
      <c r="K60" s="9"/>
      <c r="L60" s="9"/>
      <c r="M60" s="9"/>
      <c r="N60" s="9"/>
      <c r="O60" s="9"/>
      <c r="P60" s="9"/>
      <c r="R60" s="9"/>
      <c r="S60" s="9"/>
      <c r="T60" s="9"/>
      <c r="U60" s="9"/>
      <c r="V60" s="9"/>
      <c r="W60" s="9"/>
    </row>
    <row r="61" spans="10:23" ht="19.5" customHeight="1" x14ac:dyDescent="0.25">
      <c r="J61" s="9"/>
      <c r="K61" s="9"/>
      <c r="L61" s="9"/>
      <c r="M61" s="9"/>
      <c r="N61" s="9"/>
      <c r="O61" s="9"/>
      <c r="P61" s="9"/>
      <c r="R61" s="9"/>
      <c r="S61" s="9"/>
      <c r="T61" s="9"/>
      <c r="U61" s="9"/>
      <c r="V61" s="9"/>
      <c r="W61" s="9"/>
    </row>
    <row r="62" spans="10:23" ht="4.5" customHeight="1" x14ac:dyDescent="0.25">
      <c r="J62" s="9"/>
      <c r="K62" s="9"/>
      <c r="L62" s="9"/>
      <c r="M62" s="9"/>
      <c r="N62" s="9"/>
      <c r="O62" s="9"/>
      <c r="P62" s="9"/>
      <c r="R62" s="9"/>
      <c r="S62" s="9"/>
      <c r="T62" s="9"/>
      <c r="U62" s="9"/>
      <c r="V62" s="9"/>
      <c r="W62" s="9"/>
    </row>
    <row r="63" spans="10:23" ht="19.5" customHeight="1" x14ac:dyDescent="0.25">
      <c r="J63" s="9"/>
      <c r="K63" s="9"/>
      <c r="L63" s="9"/>
      <c r="M63" s="9"/>
      <c r="N63" s="9"/>
      <c r="O63" s="9"/>
      <c r="P63" s="9"/>
      <c r="R63" s="9"/>
      <c r="S63" s="9"/>
      <c r="T63" s="9"/>
      <c r="U63" s="9"/>
      <c r="V63" s="9"/>
      <c r="W63" s="9"/>
    </row>
    <row r="64" spans="10:23" ht="4.5" customHeight="1" x14ac:dyDescent="0.25">
      <c r="J64" s="9"/>
      <c r="K64" s="9"/>
      <c r="L64" s="9"/>
      <c r="M64" s="9"/>
      <c r="N64" s="9"/>
      <c r="O64" s="9"/>
      <c r="P64" s="9"/>
      <c r="R64" s="9"/>
      <c r="S64" s="9"/>
      <c r="T64" s="9"/>
      <c r="U64" s="9"/>
      <c r="V64" s="9"/>
      <c r="W64" s="9"/>
    </row>
    <row r="65" spans="10:23" ht="19.5" customHeight="1" x14ac:dyDescent="0.25">
      <c r="J65" s="9"/>
      <c r="K65" s="9"/>
      <c r="L65" s="9"/>
      <c r="M65" s="9"/>
      <c r="N65" s="9"/>
      <c r="O65" s="9"/>
      <c r="P65" s="9"/>
      <c r="R65" s="9"/>
      <c r="S65" s="9"/>
      <c r="T65" s="9"/>
      <c r="U65" s="9"/>
      <c r="V65" s="9"/>
      <c r="W65" s="9"/>
    </row>
    <row r="66" spans="10:23" ht="4.5" customHeight="1" x14ac:dyDescent="0.25">
      <c r="J66" s="9"/>
      <c r="K66" s="9"/>
      <c r="L66" s="9"/>
      <c r="M66" s="9"/>
      <c r="N66" s="9"/>
      <c r="O66" s="9"/>
      <c r="P66" s="9"/>
      <c r="R66" s="9"/>
      <c r="S66" s="9"/>
      <c r="T66" s="9"/>
      <c r="U66" s="9"/>
      <c r="V66" s="9"/>
      <c r="W66" s="9"/>
    </row>
    <row r="67" spans="10:23" ht="19.5" customHeight="1" x14ac:dyDescent="0.25">
      <c r="J67" s="9"/>
      <c r="K67" s="9"/>
      <c r="L67" s="9"/>
      <c r="M67" s="9"/>
      <c r="N67" s="9"/>
      <c r="O67" s="9"/>
      <c r="P67" s="9"/>
      <c r="R67" s="9"/>
      <c r="S67" s="9"/>
      <c r="T67" s="9"/>
      <c r="U67" s="9"/>
      <c r="V67" s="9"/>
      <c r="W67" s="9"/>
    </row>
    <row r="68" spans="10:23" x14ac:dyDescent="0.25">
      <c r="J68" s="9"/>
      <c r="K68" s="9"/>
      <c r="L68" s="9"/>
      <c r="M68" s="9"/>
      <c r="N68" s="9"/>
      <c r="O68" s="9"/>
      <c r="P68" s="9"/>
      <c r="R68" s="9"/>
      <c r="S68" s="9"/>
      <c r="T68" s="9"/>
      <c r="U68" s="9"/>
      <c r="V68" s="9"/>
      <c r="W68" s="9"/>
    </row>
    <row r="69" spans="10:23" x14ac:dyDescent="0.25">
      <c r="J69" s="9"/>
      <c r="K69" s="9"/>
      <c r="L69" s="9"/>
      <c r="M69" s="9"/>
      <c r="N69" s="9"/>
      <c r="O69" s="9"/>
      <c r="P69" s="9"/>
      <c r="R69" s="9"/>
      <c r="S69" s="9"/>
      <c r="T69" s="9"/>
      <c r="U69" s="9"/>
      <c r="V69" s="9"/>
      <c r="W69" s="9"/>
    </row>
    <row r="70" spans="10:23" ht="4.5" customHeight="1" x14ac:dyDescent="0.25">
      <c r="J70" s="9"/>
      <c r="K70" s="9"/>
      <c r="L70" s="9"/>
      <c r="M70" s="9"/>
      <c r="N70" s="9"/>
      <c r="O70" s="9"/>
      <c r="P70" s="9"/>
      <c r="R70" s="9"/>
      <c r="S70" s="9"/>
      <c r="T70" s="9"/>
      <c r="U70" s="9"/>
      <c r="V70" s="9"/>
      <c r="W70" s="9"/>
    </row>
    <row r="71" spans="10:23" x14ac:dyDescent="0.25">
      <c r="J71" s="9"/>
      <c r="K71" s="9"/>
      <c r="L71" s="9"/>
      <c r="M71" s="9"/>
      <c r="N71" s="9"/>
      <c r="O71" s="9"/>
      <c r="P71" s="9"/>
      <c r="R71" s="9"/>
      <c r="S71" s="9"/>
      <c r="T71" s="9"/>
      <c r="U71" s="9"/>
      <c r="V71" s="9"/>
      <c r="W71" s="9"/>
    </row>
    <row r="72" spans="10:23" ht="4.5" customHeight="1" x14ac:dyDescent="0.25">
      <c r="J72" s="9"/>
      <c r="K72" s="9"/>
      <c r="L72" s="9"/>
      <c r="M72" s="9"/>
      <c r="N72" s="9"/>
      <c r="O72" s="9"/>
      <c r="P72" s="9"/>
      <c r="R72" s="9"/>
      <c r="S72" s="9"/>
      <c r="T72" s="9"/>
      <c r="U72" s="9"/>
      <c r="V72" s="9"/>
      <c r="W72" s="9"/>
    </row>
    <row r="73" spans="10:23" x14ac:dyDescent="0.25">
      <c r="J73" s="9"/>
      <c r="K73" s="9"/>
      <c r="L73" s="9"/>
      <c r="M73" s="9"/>
      <c r="N73" s="9"/>
      <c r="O73" s="9"/>
      <c r="P73" s="9"/>
      <c r="R73" s="9"/>
      <c r="S73" s="9"/>
      <c r="T73" s="9"/>
      <c r="U73" s="9"/>
      <c r="V73" s="9"/>
      <c r="W73" s="9"/>
    </row>
    <row r="74" spans="10:23" ht="4.5" customHeight="1" x14ac:dyDescent="0.25">
      <c r="J74" s="9"/>
      <c r="K74" s="9"/>
      <c r="L74" s="9"/>
      <c r="M74" s="9"/>
      <c r="N74" s="9"/>
      <c r="O74" s="9"/>
      <c r="P74" s="9"/>
      <c r="R74" s="9"/>
      <c r="S74" s="9"/>
      <c r="T74" s="9"/>
      <c r="U74" s="9"/>
      <c r="V74" s="9"/>
      <c r="W74" s="9"/>
    </row>
    <row r="75" spans="10:23" x14ac:dyDescent="0.25">
      <c r="J75" s="9"/>
      <c r="K75" s="9"/>
      <c r="L75" s="9"/>
      <c r="M75" s="9"/>
      <c r="N75" s="9"/>
      <c r="O75" s="9"/>
      <c r="P75" s="9"/>
      <c r="R75" s="9"/>
      <c r="S75" s="9"/>
      <c r="T75" s="9"/>
      <c r="U75" s="9"/>
      <c r="V75" s="9"/>
      <c r="W75" s="9"/>
    </row>
    <row r="76" spans="10:23" ht="4.5" customHeight="1" x14ac:dyDescent="0.25">
      <c r="J76" s="9"/>
      <c r="K76" s="9"/>
      <c r="L76" s="9"/>
      <c r="M76" s="9"/>
      <c r="N76" s="9"/>
      <c r="O76" s="9"/>
      <c r="P76" s="9"/>
      <c r="R76" s="9"/>
      <c r="S76" s="9"/>
      <c r="T76" s="9"/>
      <c r="U76" s="9"/>
      <c r="V76" s="9"/>
      <c r="W76" s="9"/>
    </row>
    <row r="77" spans="10:23" x14ac:dyDescent="0.25">
      <c r="J77" s="9"/>
      <c r="K77" s="9"/>
      <c r="L77" s="9"/>
      <c r="M77" s="9"/>
      <c r="N77" s="9"/>
      <c r="O77" s="9"/>
      <c r="P77" s="9"/>
      <c r="R77" s="9"/>
      <c r="S77" s="9"/>
      <c r="T77" s="9"/>
      <c r="U77" s="9"/>
      <c r="V77" s="9"/>
      <c r="W77" s="9"/>
    </row>
    <row r="78" spans="10:23" ht="4.5" customHeight="1" x14ac:dyDescent="0.25">
      <c r="J78" s="9"/>
      <c r="K78" s="9"/>
      <c r="L78" s="9"/>
      <c r="M78" s="9"/>
      <c r="N78" s="9"/>
      <c r="O78" s="9"/>
      <c r="P78" s="9"/>
      <c r="R78" s="9"/>
      <c r="S78" s="9"/>
      <c r="T78" s="9"/>
      <c r="U78" s="9"/>
      <c r="V78" s="9"/>
      <c r="W78" s="9"/>
    </row>
    <row r="79" spans="10:23" x14ac:dyDescent="0.25">
      <c r="J79" s="9"/>
      <c r="K79" s="9"/>
      <c r="L79" s="9"/>
      <c r="M79" s="9"/>
      <c r="N79" s="9"/>
      <c r="O79" s="9"/>
      <c r="P79" s="9"/>
      <c r="R79" s="9"/>
      <c r="S79" s="9"/>
      <c r="T79" s="9"/>
      <c r="U79" s="9"/>
      <c r="V79" s="9"/>
      <c r="W79" s="9"/>
    </row>
    <row r="80" spans="10:23" ht="4.5" customHeight="1" x14ac:dyDescent="0.25">
      <c r="J80" s="9"/>
      <c r="K80" s="9"/>
      <c r="L80" s="9"/>
      <c r="M80" s="9"/>
      <c r="N80" s="9"/>
      <c r="O80" s="9"/>
      <c r="P80" s="9"/>
      <c r="R80" s="9"/>
      <c r="S80" s="9"/>
      <c r="T80" s="9"/>
      <c r="U80" s="9"/>
      <c r="V80" s="9"/>
      <c r="W80" s="9"/>
    </row>
    <row r="81" spans="10:23" x14ac:dyDescent="0.25">
      <c r="J81" s="9"/>
      <c r="K81" s="9"/>
      <c r="L81" s="9"/>
      <c r="M81" s="9"/>
      <c r="N81" s="9"/>
      <c r="O81" s="9"/>
      <c r="P81" s="9"/>
      <c r="R81" s="9"/>
      <c r="S81" s="9"/>
      <c r="T81" s="9"/>
      <c r="U81" s="9"/>
      <c r="V81" s="9"/>
      <c r="W81" s="9"/>
    </row>
    <row r="82" spans="10:23" ht="4.5" customHeight="1" x14ac:dyDescent="0.25">
      <c r="J82" s="9"/>
      <c r="K82" s="9"/>
      <c r="L82" s="9"/>
      <c r="M82" s="9"/>
      <c r="N82" s="9"/>
      <c r="O82" s="9"/>
      <c r="P82" s="9"/>
      <c r="R82" s="9"/>
      <c r="S82" s="9"/>
      <c r="T82" s="9"/>
      <c r="U82" s="9"/>
      <c r="V82" s="9"/>
      <c r="W82" s="9"/>
    </row>
    <row r="83" spans="10:23" x14ac:dyDescent="0.25">
      <c r="J83" s="9"/>
      <c r="K83" s="9"/>
      <c r="L83" s="9"/>
      <c r="M83" s="9"/>
      <c r="N83" s="9"/>
      <c r="O83" s="9"/>
      <c r="P83" s="9"/>
      <c r="R83" s="9"/>
      <c r="S83" s="9"/>
      <c r="T83" s="9"/>
      <c r="U83" s="9"/>
      <c r="V83" s="9"/>
      <c r="W83" s="9"/>
    </row>
    <row r="84" spans="10:23" ht="4.5" customHeight="1" x14ac:dyDescent="0.25">
      <c r="J84" s="9"/>
      <c r="K84" s="9"/>
      <c r="L84" s="9"/>
      <c r="M84" s="9"/>
      <c r="N84" s="9"/>
      <c r="O84" s="9"/>
      <c r="P84" s="9"/>
      <c r="R84" s="9"/>
      <c r="S84" s="9"/>
      <c r="T84" s="9"/>
      <c r="U84" s="9"/>
      <c r="V84" s="9"/>
      <c r="W84" s="9"/>
    </row>
    <row r="85" spans="10:23" x14ac:dyDescent="0.25">
      <c r="J85" s="9"/>
      <c r="K85" s="9"/>
      <c r="L85" s="9"/>
      <c r="M85" s="9"/>
      <c r="N85" s="9"/>
      <c r="O85" s="9"/>
      <c r="P85" s="9"/>
      <c r="R85" s="9"/>
      <c r="S85" s="9"/>
      <c r="T85" s="9"/>
      <c r="U85" s="9"/>
      <c r="V85" s="9"/>
      <c r="W85" s="9"/>
    </row>
    <row r="86" spans="10:23" ht="4.5" customHeight="1" x14ac:dyDescent="0.25">
      <c r="J86" s="9"/>
      <c r="K86" s="9"/>
      <c r="L86" s="9"/>
      <c r="M86" s="9"/>
      <c r="N86" s="9"/>
      <c r="O86" s="9"/>
      <c r="P86" s="9"/>
      <c r="R86" s="9"/>
      <c r="S86" s="9"/>
      <c r="T86" s="9"/>
      <c r="U86" s="9"/>
      <c r="V86" s="9"/>
      <c r="W86" s="9"/>
    </row>
    <row r="87" spans="10:23" x14ac:dyDescent="0.25">
      <c r="J87" s="9"/>
      <c r="K87" s="9"/>
      <c r="L87" s="9"/>
      <c r="M87" s="9"/>
      <c r="N87" s="9"/>
      <c r="O87" s="9"/>
      <c r="P87" s="9"/>
      <c r="R87" s="9"/>
      <c r="S87" s="9"/>
      <c r="T87" s="9"/>
      <c r="U87" s="9"/>
      <c r="V87" s="9"/>
      <c r="W87" s="9"/>
    </row>
    <row r="88" spans="10:23" x14ac:dyDescent="0.25">
      <c r="J88" s="9"/>
      <c r="K88" s="9"/>
      <c r="L88" s="9"/>
      <c r="M88" s="9"/>
      <c r="N88" s="9"/>
      <c r="O88" s="9"/>
      <c r="P88" s="9"/>
      <c r="R88" s="9"/>
      <c r="S88" s="9"/>
      <c r="T88" s="9"/>
      <c r="U88" s="9"/>
      <c r="V88" s="9"/>
      <c r="W88" s="9"/>
    </row>
    <row r="89" spans="10:23" x14ac:dyDescent="0.25">
      <c r="J89" s="9"/>
      <c r="K89" s="9"/>
      <c r="L89" s="9"/>
      <c r="M89" s="9"/>
      <c r="N89" s="9"/>
      <c r="O89" s="9"/>
      <c r="P89" s="9"/>
      <c r="R89" s="9"/>
      <c r="S89" s="9"/>
      <c r="T89" s="9"/>
      <c r="U89" s="9"/>
      <c r="V89" s="9"/>
      <c r="W89" s="9"/>
    </row>
    <row r="90" spans="10:23" x14ac:dyDescent="0.25">
      <c r="K90" s="13" t="str">
        <f ca="1">"© Excelerated Consulting Pty Ltd 2001-" &amp; YEAR(NOW())</f>
        <v>© Excelerated Consulting Pty Ltd 2001-2023</v>
      </c>
    </row>
  </sheetData>
  <sheetProtection sheet="1" objects="1" scenarios="1"/>
  <mergeCells count="7">
    <mergeCell ref="L59:O59"/>
    <mergeCell ref="S59:V59"/>
    <mergeCell ref="B1:D1"/>
    <mergeCell ref="B9:D9"/>
    <mergeCell ref="B17:D17"/>
    <mergeCell ref="B25:D25"/>
    <mergeCell ref="K54:U54"/>
  </mergeCells>
  <conditionalFormatting sqref="R59:W59">
    <cfRule type="expression" dxfId="0" priority="1">
      <formula>$C$25="gbms-reporting"</formula>
    </cfRule>
  </conditionalFormatting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41" r:id="rId4" name="TIButton15">
          <controlPr defaultSize="0" print="0" autoLine="0" autoPict="0" r:id="rId5">
            <anchor moveWithCells="1" sizeWithCells="1">
              <from>
                <xdr:col>18</xdr:col>
                <xdr:colOff>285750</xdr:colOff>
                <xdr:row>74</xdr:row>
                <xdr:rowOff>66675</xdr:rowOff>
              </from>
              <to>
                <xdr:col>21</xdr:col>
                <xdr:colOff>1038225</xdr:colOff>
                <xdr:row>76</xdr:row>
                <xdr:rowOff>133350</xdr:rowOff>
              </to>
            </anchor>
          </controlPr>
        </control>
      </mc:Choice>
      <mc:Fallback>
        <control shapeId="1041" r:id="rId4" name="TIButton15"/>
      </mc:Fallback>
    </mc:AlternateContent>
    <mc:AlternateContent xmlns:mc="http://schemas.openxmlformats.org/markup-compatibility/2006">
      <mc:Choice Requires="x14">
        <control shapeId="1040" r:id="rId6" name="TIButton14">
          <controlPr defaultSize="0" print="0" autoLine="0" autoPict="0" r:id="rId7">
            <anchor moveWithCells="1" sizeWithCells="1">
              <from>
                <xdr:col>18</xdr:col>
                <xdr:colOff>285750</xdr:colOff>
                <xdr:row>71</xdr:row>
                <xdr:rowOff>9525</xdr:rowOff>
              </from>
              <to>
                <xdr:col>21</xdr:col>
                <xdr:colOff>1038225</xdr:colOff>
                <xdr:row>74</xdr:row>
                <xdr:rowOff>19050</xdr:rowOff>
              </to>
            </anchor>
          </controlPr>
        </control>
      </mc:Choice>
      <mc:Fallback>
        <control shapeId="1040" r:id="rId6" name="TIButton14"/>
      </mc:Fallback>
    </mc:AlternateContent>
    <mc:AlternateContent xmlns:mc="http://schemas.openxmlformats.org/markup-compatibility/2006">
      <mc:Choice Requires="x14">
        <control shapeId="1039" r:id="rId8" name="TIButton13">
          <controlPr defaultSize="0" print="0" autoLine="0" autoPict="0" r:id="rId9">
            <anchor moveWithCells="1" sizeWithCells="1">
              <from>
                <xdr:col>18</xdr:col>
                <xdr:colOff>285750</xdr:colOff>
                <xdr:row>68</xdr:row>
                <xdr:rowOff>85725</xdr:rowOff>
              </from>
              <to>
                <xdr:col>21</xdr:col>
                <xdr:colOff>1038225</xdr:colOff>
                <xdr:row>70</xdr:row>
                <xdr:rowOff>152400</xdr:rowOff>
              </to>
            </anchor>
          </controlPr>
        </control>
      </mc:Choice>
      <mc:Fallback>
        <control shapeId="1039" r:id="rId8" name="TIButton13"/>
      </mc:Fallback>
    </mc:AlternateContent>
    <mc:AlternateContent xmlns:mc="http://schemas.openxmlformats.org/markup-compatibility/2006">
      <mc:Choice Requires="x14">
        <control shapeId="1038" r:id="rId10" name="TIButton12">
          <controlPr defaultSize="0" print="0" autoLine="0" autoPict="0" r:id="rId11">
            <anchor moveWithCells="1" sizeWithCells="1">
              <from>
                <xdr:col>18</xdr:col>
                <xdr:colOff>285750</xdr:colOff>
                <xdr:row>66</xdr:row>
                <xdr:rowOff>161925</xdr:rowOff>
              </from>
              <to>
                <xdr:col>21</xdr:col>
                <xdr:colOff>1038225</xdr:colOff>
                <xdr:row>68</xdr:row>
                <xdr:rowOff>38100</xdr:rowOff>
              </to>
            </anchor>
          </controlPr>
        </control>
      </mc:Choice>
      <mc:Fallback>
        <control shapeId="1038" r:id="rId10" name="TIButton12"/>
      </mc:Fallback>
    </mc:AlternateContent>
    <mc:AlternateContent xmlns:mc="http://schemas.openxmlformats.org/markup-compatibility/2006">
      <mc:Choice Requires="x14">
        <control shapeId="1037" r:id="rId12" name="TIButton11">
          <controlPr defaultSize="0" print="0" autoLine="0" autoPict="0" r:id="rId13">
            <anchor moveWithCells="1" sizeWithCells="1">
              <from>
                <xdr:col>18</xdr:col>
                <xdr:colOff>285750</xdr:colOff>
                <xdr:row>64</xdr:row>
                <xdr:rowOff>104775</xdr:rowOff>
              </from>
              <to>
                <xdr:col>21</xdr:col>
                <xdr:colOff>1038225</xdr:colOff>
                <xdr:row>66</xdr:row>
                <xdr:rowOff>114300</xdr:rowOff>
              </to>
            </anchor>
          </controlPr>
        </control>
      </mc:Choice>
      <mc:Fallback>
        <control shapeId="1037" r:id="rId12" name="TIButton11"/>
      </mc:Fallback>
    </mc:AlternateContent>
    <mc:AlternateContent xmlns:mc="http://schemas.openxmlformats.org/markup-compatibility/2006">
      <mc:Choice Requires="x14">
        <control shapeId="1036" r:id="rId14" name="TIButton10">
          <controlPr defaultSize="0" print="0" autoLine="0" autoPict="0" r:id="rId15">
            <anchor moveWithCells="1" sizeWithCells="1">
              <from>
                <xdr:col>18</xdr:col>
                <xdr:colOff>285750</xdr:colOff>
                <xdr:row>62</xdr:row>
                <xdr:rowOff>47625</xdr:rowOff>
              </from>
              <to>
                <xdr:col>21</xdr:col>
                <xdr:colOff>1038225</xdr:colOff>
                <xdr:row>64</xdr:row>
                <xdr:rowOff>57150</xdr:rowOff>
              </to>
            </anchor>
          </controlPr>
        </control>
      </mc:Choice>
      <mc:Fallback>
        <control shapeId="1036" r:id="rId14" name="TIButton10"/>
      </mc:Fallback>
    </mc:AlternateContent>
    <mc:AlternateContent xmlns:mc="http://schemas.openxmlformats.org/markup-compatibility/2006">
      <mc:Choice Requires="x14">
        <control shapeId="1035" r:id="rId16" name="TIButton9">
          <controlPr defaultSize="0" print="0" autoLine="0" autoPict="0" r:id="rId17">
            <anchor moveWithCells="1" sizeWithCells="1">
              <from>
                <xdr:col>18</xdr:col>
                <xdr:colOff>285750</xdr:colOff>
                <xdr:row>59</xdr:row>
                <xdr:rowOff>47625</xdr:rowOff>
              </from>
              <to>
                <xdr:col>21</xdr:col>
                <xdr:colOff>1038225</xdr:colOff>
                <xdr:row>62</xdr:row>
                <xdr:rowOff>0</xdr:rowOff>
              </to>
            </anchor>
          </controlPr>
        </control>
      </mc:Choice>
      <mc:Fallback>
        <control shapeId="1035" r:id="rId16" name="TIButton9"/>
      </mc:Fallback>
    </mc:AlternateContent>
    <mc:AlternateContent xmlns:mc="http://schemas.openxmlformats.org/markup-compatibility/2006">
      <mc:Choice Requires="x14">
        <control shapeId="1034" r:id="rId18" name="TIButton8">
          <controlPr defaultSize="0" print="0" autoLine="0" autoPict="0" r:id="rId19">
            <anchor moveWithCells="1" sizeWithCells="1">
              <from>
                <xdr:col>19</xdr:col>
                <xdr:colOff>1133475</xdr:colOff>
                <xdr:row>55</xdr:row>
                <xdr:rowOff>38100</xdr:rowOff>
              </from>
              <to>
                <xdr:col>22</xdr:col>
                <xdr:colOff>114300</xdr:colOff>
                <xdr:row>57</xdr:row>
                <xdr:rowOff>76200</xdr:rowOff>
              </to>
            </anchor>
          </controlPr>
        </control>
      </mc:Choice>
      <mc:Fallback>
        <control shapeId="1034" r:id="rId18" name="TIButton8"/>
      </mc:Fallback>
    </mc:AlternateContent>
    <mc:AlternateContent xmlns:mc="http://schemas.openxmlformats.org/markup-compatibility/2006">
      <mc:Choice Requires="x14">
        <control shapeId="1033" r:id="rId20" name="TIButton7">
          <controlPr defaultSize="0" print="0" autoLine="0" autoPict="0" r:id="rId21">
            <anchor moveWithCells="1" sizeWithCells="1">
              <from>
                <xdr:col>15</xdr:col>
                <xdr:colOff>371475</xdr:colOff>
                <xdr:row>55</xdr:row>
                <xdr:rowOff>38100</xdr:rowOff>
              </from>
              <to>
                <xdr:col>19</xdr:col>
                <xdr:colOff>1104900</xdr:colOff>
                <xdr:row>57</xdr:row>
                <xdr:rowOff>76200</xdr:rowOff>
              </to>
            </anchor>
          </controlPr>
        </control>
      </mc:Choice>
      <mc:Fallback>
        <control shapeId="1033" r:id="rId20" name="TIButton7"/>
      </mc:Fallback>
    </mc:AlternateContent>
    <mc:AlternateContent xmlns:mc="http://schemas.openxmlformats.org/markup-compatibility/2006">
      <mc:Choice Requires="x14">
        <control shapeId="1032" r:id="rId22" name="TIButton6">
          <controlPr defaultSize="0" print="0" autoLine="0" autoPict="0" r:id="rId23">
            <anchor moveWithCells="1" sizeWithCells="1">
              <from>
                <xdr:col>13</xdr:col>
                <xdr:colOff>57150</xdr:colOff>
                <xdr:row>55</xdr:row>
                <xdr:rowOff>47625</xdr:rowOff>
              </from>
              <to>
                <xdr:col>15</xdr:col>
                <xdr:colOff>352425</xdr:colOff>
                <xdr:row>57</xdr:row>
                <xdr:rowOff>85725</xdr:rowOff>
              </to>
            </anchor>
          </controlPr>
        </control>
      </mc:Choice>
      <mc:Fallback>
        <control shapeId="1032" r:id="rId22" name="TIButton6"/>
      </mc:Fallback>
    </mc:AlternateContent>
    <mc:AlternateContent xmlns:mc="http://schemas.openxmlformats.org/markup-compatibility/2006">
      <mc:Choice Requires="x14">
        <control shapeId="1031" r:id="rId24" name="TIButton5">
          <controlPr defaultSize="0" print="0" autoLine="0" autoPict="0" r:id="rId25">
            <anchor moveWithCells="1" sizeWithCells="1">
              <from>
                <xdr:col>10</xdr:col>
                <xdr:colOff>123825</xdr:colOff>
                <xdr:row>55</xdr:row>
                <xdr:rowOff>47625</xdr:rowOff>
              </from>
              <to>
                <xdr:col>13</xdr:col>
                <xdr:colOff>38100</xdr:colOff>
                <xdr:row>57</xdr:row>
                <xdr:rowOff>85725</xdr:rowOff>
              </to>
            </anchor>
          </controlPr>
        </control>
      </mc:Choice>
      <mc:Fallback>
        <control shapeId="1031" r:id="rId24" name="TIButton5"/>
      </mc:Fallback>
    </mc:AlternateContent>
    <mc:AlternateContent xmlns:mc="http://schemas.openxmlformats.org/markup-compatibility/2006">
      <mc:Choice Requires="x14">
        <control shapeId="1027" r:id="rId26" name="TIButton3">
          <controlPr defaultSize="0" print="0" autoLine="0" autoPict="0" r:id="rId27">
            <anchor moveWithCells="1" sizeWithCells="1">
              <from>
                <xdr:col>11</xdr:col>
                <xdr:colOff>0</xdr:colOff>
                <xdr:row>64</xdr:row>
                <xdr:rowOff>104775</xdr:rowOff>
              </from>
              <to>
                <xdr:col>14</xdr:col>
                <xdr:colOff>752475</xdr:colOff>
                <xdr:row>66</xdr:row>
                <xdr:rowOff>114300</xdr:rowOff>
              </to>
            </anchor>
          </controlPr>
        </control>
      </mc:Choice>
      <mc:Fallback>
        <control shapeId="1027" r:id="rId26" name="TIButton3"/>
      </mc:Fallback>
    </mc:AlternateContent>
    <mc:AlternateContent xmlns:mc="http://schemas.openxmlformats.org/markup-compatibility/2006">
      <mc:Choice Requires="x14">
        <control shapeId="1026" r:id="rId28" name="TIButton2">
          <controlPr defaultSize="0" print="0" autoLine="0" autoPict="0" r:id="rId29">
            <anchor moveWithCells="1" sizeWithCells="1">
              <from>
                <xdr:col>11</xdr:col>
                <xdr:colOff>0</xdr:colOff>
                <xdr:row>62</xdr:row>
                <xdr:rowOff>47625</xdr:rowOff>
              </from>
              <to>
                <xdr:col>14</xdr:col>
                <xdr:colOff>752475</xdr:colOff>
                <xdr:row>64</xdr:row>
                <xdr:rowOff>57150</xdr:rowOff>
              </to>
            </anchor>
          </controlPr>
        </control>
      </mc:Choice>
      <mc:Fallback>
        <control shapeId="1026" r:id="rId28" name="TIButton2"/>
      </mc:Fallback>
    </mc:AlternateContent>
    <mc:AlternateContent xmlns:mc="http://schemas.openxmlformats.org/markup-compatibility/2006">
      <mc:Choice Requires="x14">
        <control shapeId="1025" r:id="rId30" name="TIButton1">
          <controlPr defaultSize="0" print="0" autoLine="0" autoPict="0" r:id="rId31">
            <anchor moveWithCells="1" sizeWithCells="1">
              <from>
                <xdr:col>11</xdr:col>
                <xdr:colOff>0</xdr:colOff>
                <xdr:row>59</xdr:row>
                <xdr:rowOff>47625</xdr:rowOff>
              </from>
              <to>
                <xdr:col>14</xdr:col>
                <xdr:colOff>752475</xdr:colOff>
                <xdr:row>62</xdr:row>
                <xdr:rowOff>0</xdr:rowOff>
              </to>
            </anchor>
          </controlPr>
        </control>
      </mc:Choice>
      <mc:Fallback>
        <control shapeId="1025" r:id="rId30" name="TIButton1"/>
      </mc:Fallback>
    </mc:AlternateContent>
    <mc:AlternateContent xmlns:mc="http://schemas.openxmlformats.org/markup-compatibility/2006">
      <mc:Choice Requires="x14">
        <control shapeId="1042" r:id="rId32" name="TIButton4">
          <controlPr defaultSize="0" print="0" autoLine="0" autoPict="0" r:id="rId33">
            <anchor moveWithCells="1" sizeWithCells="1">
              <from>
                <xdr:col>18</xdr:col>
                <xdr:colOff>285750</xdr:colOff>
                <xdr:row>77</xdr:row>
                <xdr:rowOff>0</xdr:rowOff>
              </from>
              <to>
                <xdr:col>21</xdr:col>
                <xdr:colOff>1038225</xdr:colOff>
                <xdr:row>80</xdr:row>
                <xdr:rowOff>19050</xdr:rowOff>
              </to>
            </anchor>
          </controlPr>
        </control>
      </mc:Choice>
      <mc:Fallback>
        <control shapeId="1042" r:id="rId32" name="TIButton4"/>
      </mc:Fallback>
    </mc:AlternateContent>
    <mc:AlternateContent xmlns:mc="http://schemas.openxmlformats.org/markup-compatibility/2006">
      <mc:Choice Requires="x14">
        <control shapeId="1043" r:id="rId34" name="TIButton16">
          <controlPr defaultSize="0" print="0" autoLine="0" autoPict="0" r:id="rId35">
            <anchor moveWithCells="1" sizeWithCells="1">
              <from>
                <xdr:col>18</xdr:col>
                <xdr:colOff>285750</xdr:colOff>
                <xdr:row>80</xdr:row>
                <xdr:rowOff>47625</xdr:rowOff>
              </from>
              <to>
                <xdr:col>21</xdr:col>
                <xdr:colOff>1038225</xdr:colOff>
                <xdr:row>82</xdr:row>
                <xdr:rowOff>114300</xdr:rowOff>
              </to>
            </anchor>
          </controlPr>
        </control>
      </mc:Choice>
      <mc:Fallback>
        <control shapeId="1043" r:id="rId34" name="TIButton16"/>
      </mc:Fallback>
    </mc:AlternateContent>
    <mc:AlternateContent xmlns:mc="http://schemas.openxmlformats.org/markup-compatibility/2006">
      <mc:Choice Requires="x14">
        <control shapeId="1044" r:id="rId36" name="TIButton17">
          <controlPr defaultSize="0" print="0" autoLine="0" autoPict="0" r:id="rId37">
            <anchor moveWithCells="1" sizeWithCells="1">
              <from>
                <xdr:col>18</xdr:col>
                <xdr:colOff>285750</xdr:colOff>
                <xdr:row>82</xdr:row>
                <xdr:rowOff>161925</xdr:rowOff>
              </from>
              <to>
                <xdr:col>21</xdr:col>
                <xdr:colOff>1038225</xdr:colOff>
                <xdr:row>85</xdr:row>
                <xdr:rowOff>47625</xdr:rowOff>
              </to>
            </anchor>
          </controlPr>
        </control>
      </mc:Choice>
      <mc:Fallback>
        <control shapeId="1044" r:id="rId36" name="TIButton17"/>
      </mc:Fallback>
    </mc:AlternateContent>
    <mc:AlternateContent xmlns:mc="http://schemas.openxmlformats.org/markup-compatibility/2006">
      <mc:Choice Requires="x14">
        <control shapeId="1045" r:id="rId38" name="TIButton18">
          <controlPr defaultSize="0" print="0" autoLine="0" autoPict="0" r:id="rId39">
            <anchor moveWithCells="1" sizeWithCells="1">
              <from>
                <xdr:col>18</xdr:col>
                <xdr:colOff>285750</xdr:colOff>
                <xdr:row>86</xdr:row>
                <xdr:rowOff>28575</xdr:rowOff>
              </from>
              <to>
                <xdr:col>21</xdr:col>
                <xdr:colOff>1038225</xdr:colOff>
                <xdr:row>87</xdr:row>
                <xdr:rowOff>152400</xdr:rowOff>
              </to>
            </anchor>
          </controlPr>
        </control>
      </mc:Choice>
      <mc:Fallback>
        <control shapeId="1045" r:id="rId38" name="TIButton18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67</vt:i4>
      </vt:variant>
    </vt:vector>
  </HeadingPairs>
  <TitlesOfParts>
    <vt:vector size="68" baseType="lpstr">
      <vt:lpstr>Menu</vt:lpstr>
      <vt:lpstr>db_name</vt:lpstr>
      <vt:lpstr>home</vt:lpstr>
      <vt:lpstr>Menu</vt:lpstr>
      <vt:lpstr>psUser</vt:lpstr>
      <vt:lpstr>TM1HomeAdminCAP</vt:lpstr>
      <vt:lpstr>TM1HomeAdminWB</vt:lpstr>
      <vt:lpstr>TM1HomeAdminWS</vt:lpstr>
      <vt:lpstr>TM1HomeAECAP</vt:lpstr>
      <vt:lpstr>TM1HomeAEWB</vt:lpstr>
      <vt:lpstr>TM1HomeAEWS</vt:lpstr>
      <vt:lpstr>TM1HomeCAP</vt:lpstr>
      <vt:lpstr>TM1HomeRepAnalyticalCAP</vt:lpstr>
      <vt:lpstr>TM1HomeRepAnalyticalWB</vt:lpstr>
      <vt:lpstr>TM1HomeRepAnalyticalWS</vt:lpstr>
      <vt:lpstr>TM1HomeRepCAP</vt:lpstr>
      <vt:lpstr>TM1HomeRepOtherCAP</vt:lpstr>
      <vt:lpstr>TM1HomeRepOtherWB</vt:lpstr>
      <vt:lpstr>TM1HomeRepOtherWS</vt:lpstr>
      <vt:lpstr>TM1HomeRepPFSCAP</vt:lpstr>
      <vt:lpstr>TM1HomeRepPFSWB</vt:lpstr>
      <vt:lpstr>TM1HomeRepPFSWS</vt:lpstr>
      <vt:lpstr>TM1HomeRepWB</vt:lpstr>
      <vt:lpstr>TM1HomeRepWS</vt:lpstr>
      <vt:lpstr>TM1HomeUnderCAP</vt:lpstr>
      <vt:lpstr>TM1HomeUnderWB</vt:lpstr>
      <vt:lpstr>TM1HomeUnderWS</vt:lpstr>
      <vt:lpstr>TM1HomeWB</vt:lpstr>
      <vt:lpstr>TM1HomeWS</vt:lpstr>
      <vt:lpstr>TM1RptAEAppropQACAP</vt:lpstr>
      <vt:lpstr>TM1RptAEAppropQAWB</vt:lpstr>
      <vt:lpstr>TM1RptAEAppropQAWS</vt:lpstr>
      <vt:lpstr>TM1RptAMTCAP</vt:lpstr>
      <vt:lpstr>TM1RptAMTWB</vt:lpstr>
      <vt:lpstr>TM1RptAMTWS</vt:lpstr>
      <vt:lpstr>TM1RptAppropOCProgCAP</vt:lpstr>
      <vt:lpstr>TM1RptAppropOCProgWB</vt:lpstr>
      <vt:lpstr>TM1RptAppropOCProgWS</vt:lpstr>
      <vt:lpstr>TM1RptBSMACAP</vt:lpstr>
      <vt:lpstr>TM1RptBSMAWB</vt:lpstr>
      <vt:lpstr>TM1RptBSMAWS</vt:lpstr>
      <vt:lpstr>TM1RptCBSCAP</vt:lpstr>
      <vt:lpstr>TM1RptCBSWB</vt:lpstr>
      <vt:lpstr>TM1RptCBSWS</vt:lpstr>
      <vt:lpstr>TM1RptDetProgMoveCAP</vt:lpstr>
      <vt:lpstr>TM1RptDetProgMoveWB</vt:lpstr>
      <vt:lpstr>TM1RptDetProgMoveWS</vt:lpstr>
      <vt:lpstr>TM1RptEMTCAP</vt:lpstr>
      <vt:lpstr>TM1RptEMTWB</vt:lpstr>
      <vt:lpstr>TM1RptEMTWS</vt:lpstr>
      <vt:lpstr>TM1RptPFSCAP</vt:lpstr>
      <vt:lpstr>TM1RptPFSWB</vt:lpstr>
      <vt:lpstr>TM1RptPFSWS</vt:lpstr>
      <vt:lpstr>TM1RptProgEstCAP</vt:lpstr>
      <vt:lpstr>TM1RptProgEstWB</vt:lpstr>
      <vt:lpstr>TM1RptProgEstWS</vt:lpstr>
      <vt:lpstr>TM1RptProgMoveCAP</vt:lpstr>
      <vt:lpstr>TM1RptProgMoveWB</vt:lpstr>
      <vt:lpstr>TM1RptProgMoveWS</vt:lpstr>
      <vt:lpstr>TM1RptReasonMoveCAP</vt:lpstr>
      <vt:lpstr>TM1RptReasonMoveWB</vt:lpstr>
      <vt:lpstr>TM1RptReasonMoveWS</vt:lpstr>
      <vt:lpstr>TM1RptRECAP</vt:lpstr>
      <vt:lpstr>TM1RptREWB</vt:lpstr>
      <vt:lpstr>TM1RptREWS</vt:lpstr>
      <vt:lpstr>TM1RptSpecAccCAP</vt:lpstr>
      <vt:lpstr>TM1RptSpecAccWB</vt:lpstr>
      <vt:lpstr>TM1RptSpecAccWS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Kevin He</cp:lastModifiedBy>
  <dcterms:created xsi:type="dcterms:W3CDTF">2018-10-30T00:46:04Z</dcterms:created>
  <dcterms:modified xsi:type="dcterms:W3CDTF">2025-08-06T02:09:48Z</dcterms:modified>
</cp:coreProperties>
</file>