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1.xml" ContentType="application/vnd.ms-office.activeX+xml"/>
  <Override PartName="/xl/activeX/activeX10.bin" ContentType="application/vnd.ms-office.activeX"/>
  <Override PartName="/xl/activeX/activeX12.xml" ContentType="application/vnd.ms-office.activeX+xml"/>
  <Override PartName="/xl/activeX/activeX11.bin" ContentType="application/vnd.ms-office.activeX"/>
  <Override PartName="/xl/activeX/activeX13.xml" ContentType="application/vnd.ms-office.activeX+xml"/>
  <Override PartName="/xl/activeX/activeX1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1FD108EF-AC00-4C59-A5D0-B998EFDA1FCF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parameters" sheetId="1" r:id="rId1"/>
    <sheet name="{PL}PickLst" sheetId="2" state="hidden" r:id="rId2"/>
  </sheets>
  <definedNames>
    <definedName name="db_name">parameters!$C$12</definedName>
    <definedName name="Freeze_here">parameters!$A$90</definedName>
    <definedName name="psAdjType">parameters!$C$25</definedName>
    <definedName name="psApp">parameters!$C$29</definedName>
    <definedName name="psCreateAdjByMeasures">parameters!$R$81</definedName>
    <definedName name="psFE2Year">parameters!$T$58</definedName>
    <definedName name="psFE3Year">parameters!$T$59</definedName>
    <definedName name="psHLYear">parameters!$C$21</definedName>
    <definedName name="psProg">parameters!$L$81</definedName>
    <definedName name="psScenario">parameters!$C$22</definedName>
    <definedName name="psUser">parameters!$C$14</definedName>
    <definedName name="TM1AdjIDListCAP">parameters!$D$34</definedName>
    <definedName name="TM1AdjIDListWB">parameters!$F$34</definedName>
    <definedName name="TM1AdjIDListWS">parameters!$H$34</definedName>
    <definedName name="TM1EDCAP">parameters!$D$39</definedName>
    <definedName name="TM1EDWB">parameters!$F$39</definedName>
    <definedName name="TM1EDWS">parameters!$H$39</definedName>
    <definedName name="TM1FE3CAP">parameters!$D$38</definedName>
    <definedName name="TM1FE3WB">parameters!$F$38</definedName>
    <definedName name="TM1FE3WS">parameters!$H$38</definedName>
    <definedName name="TM1HomeAECAP">parameters!$D$32</definedName>
    <definedName name="TM1HomeAEDataEntryCAP">parameters!$D$33</definedName>
    <definedName name="TM1HomeAEDataEntryWB">parameters!$F$33</definedName>
    <definedName name="TM1HomeAEDataEntryWS">parameters!$H$33</definedName>
    <definedName name="TM1HomeAEWB">parameters!$F$32</definedName>
    <definedName name="TM1HomeAEWS">parameters!$H$32</definedName>
    <definedName name="TM1HomeCAP">parameters!$D$31</definedName>
    <definedName name="TM1HomeWB">parameters!$F$31</definedName>
    <definedName name="TM1HomeWS">parameters!$H$31</definedName>
    <definedName name="TM1IndexCAP">parameters!$D$40</definedName>
    <definedName name="TM1IndexFE3MapCAP">parameters!$D$43</definedName>
    <definedName name="TM1IndexFE3MapWB">parameters!$F$43</definedName>
    <definedName name="TM1IndexFE3MapWS">parameters!$H$43</definedName>
    <definedName name="TM1IndexFinCAP">parameters!$D$41</definedName>
    <definedName name="TM1IndexFinDCBCAP">parameters!$D$42</definedName>
    <definedName name="TM1IndexFinDCBWB">parameters!$F$42</definedName>
    <definedName name="TM1IndexFinDCBWS">parameters!$H$42</definedName>
    <definedName name="TM1IndexFinSubsetCAP">parameters!$D$44</definedName>
    <definedName name="TM1IndexFinSubsetWB">parameters!$F$44</definedName>
    <definedName name="TM1IndexFinSubsetWS">parameters!$H$44</definedName>
    <definedName name="TM1IndexFinWB">parameters!$F$41</definedName>
    <definedName name="TM1IndexFinWS">parameters!$H$41</definedName>
    <definedName name="TM1IndexRatesCAP">parameters!$D$36</definedName>
    <definedName name="TM1IndexRatesWB">parameters!$F$36</definedName>
    <definedName name="TM1IndexRatesWS">parameters!$H$36</definedName>
    <definedName name="TM1IndexRecoCAP">parameters!$D$35</definedName>
    <definedName name="TM1IndexRecoWB">parameters!$F$35</definedName>
    <definedName name="TM1IndexRecoWS">parameters!$H$35</definedName>
    <definedName name="TM1IndexWB">parameters!$F$40</definedName>
    <definedName name="TM1IndexWS">parameters!$H$40</definedName>
    <definedName name="TM1REBUILDOPTION">1</definedName>
    <definedName name="TM1RPTDATARNG1" localSheetId="0">parameters!$90:$90</definedName>
    <definedName name="TM1RPTFMTIDCOL" localSheetId="0">parameters!$A$1:$A$8</definedName>
    <definedName name="TM1RPTFMTRNG" localSheetId="0">parameters!$B$1:$AY$8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1" l="1" a="1"/>
  <c r="C20" i="1"/>
  <c r="C21" i="1" a="1"/>
  <c r="C21" i="1"/>
  <c r="C22" i="1" a="1"/>
  <c r="C22" i="1"/>
  <c r="C60" i="1" a="1"/>
  <c r="C61" i="1" a="1"/>
  <c r="C55" i="1" a="1"/>
  <c r="C62" i="1" a="1"/>
  <c r="C23" i="1" a="1"/>
  <c r="C23" i="1"/>
  <c r="C63" i="1" a="1"/>
  <c r="C54" i="1" a="1"/>
  <c r="L84" i="1"/>
  <c r="C64" i="1" a="1"/>
  <c r="C57" i="1" a="1"/>
  <c r="L82" i="1"/>
  <c r="C56" i="1" a="1"/>
  <c r="C60" i="1"/>
  <c r="C61" i="1"/>
  <c r="C55" i="1"/>
  <c r="C62" i="1"/>
  <c r="C63" i="1"/>
  <c r="C54" i="1"/>
  <c r="C64" i="1"/>
  <c r="C57" i="1"/>
  <c r="C56" i="1"/>
  <c r="C70" i="1" a="1"/>
  <c r="C70" i="1"/>
  <c r="AR49" i="1" a="1"/>
  <c r="AR49" i="1"/>
  <c r="K47" i="1"/>
  <c r="AR47" i="1" a="1"/>
  <c r="AR47" i="1"/>
  <c r="AR50" i="1"/>
  <c r="C47" i="1" a="1"/>
  <c r="C47" i="1"/>
  <c r="C58" i="1" a="1"/>
  <c r="C58" i="1"/>
  <c r="AL47" i="1" a="1"/>
  <c r="AL47" i="1"/>
  <c r="AL50" i="1"/>
  <c r="AQ49" i="1" a="1"/>
  <c r="AQ49" i="1"/>
  <c r="AQ47" i="1" a="1"/>
  <c r="AQ47" i="1"/>
  <c r="AQ50" i="1"/>
  <c r="AK47" i="1" a="1"/>
  <c r="AK47" i="1"/>
  <c r="AK50" i="1"/>
  <c r="AP49" i="1" a="1"/>
  <c r="AP49" i="1"/>
  <c r="AP47" i="1" a="1"/>
  <c r="AP47" i="1"/>
  <c r="AP50" i="1"/>
  <c r="AJ47" i="1" a="1"/>
  <c r="AJ47" i="1"/>
  <c r="AJ50" i="1"/>
  <c r="AO49" i="1" a="1"/>
  <c r="AO49" i="1"/>
  <c r="AO47" i="1" a="1"/>
  <c r="AO47" i="1"/>
  <c r="AO50" i="1"/>
  <c r="AI47" i="1" a="1"/>
  <c r="AI47" i="1"/>
  <c r="AI50" i="1"/>
  <c r="AN49" i="1" a="1"/>
  <c r="AN49" i="1"/>
  <c r="AN47" i="1" a="1"/>
  <c r="AN47" i="1"/>
  <c r="AN50" i="1"/>
  <c r="AH47" i="1" a="1"/>
  <c r="AH47" i="1"/>
  <c r="AH50" i="1"/>
  <c r="AG47" i="1" a="1"/>
  <c r="AG47" i="1"/>
  <c r="AG50" i="1"/>
  <c r="AF47" i="1" a="1"/>
  <c r="AF47" i="1"/>
  <c r="AF50" i="1"/>
  <c r="AE47" i="1" a="1"/>
  <c r="AE47" i="1"/>
  <c r="AE50" i="1"/>
  <c r="AC47" i="1" a="1"/>
  <c r="AC47" i="1"/>
  <c r="AC50" i="1"/>
  <c r="AB47" i="1" a="1"/>
  <c r="AB47" i="1"/>
  <c r="AB50" i="1"/>
  <c r="C68" i="1" a="1"/>
  <c r="C68" i="1"/>
  <c r="T47" i="1" a="1"/>
  <c r="T47" i="1"/>
  <c r="T50" i="1"/>
  <c r="S47" i="1" a="1"/>
  <c r="S47" i="1"/>
  <c r="S50" i="1"/>
  <c r="R47" i="1" a="1"/>
  <c r="R47" i="1"/>
  <c r="R50" i="1"/>
  <c r="Q47" i="1" a="1"/>
  <c r="Q47" i="1"/>
  <c r="Q50" i="1"/>
  <c r="P47" i="1" a="1"/>
  <c r="P47" i="1"/>
  <c r="P50" i="1"/>
  <c r="C69" i="1" a="1"/>
  <c r="C69" i="1"/>
  <c r="Z47" i="1" a="1"/>
  <c r="Z47" i="1"/>
  <c r="Z50" i="1"/>
  <c r="Y47" i="1" a="1"/>
  <c r="Y47" i="1"/>
  <c r="Y50" i="1"/>
  <c r="X47" i="1" a="1"/>
  <c r="X47" i="1"/>
  <c r="X50" i="1"/>
  <c r="W47" i="1" a="1"/>
  <c r="W47" i="1"/>
  <c r="W50" i="1"/>
  <c r="V47" i="1" a="1"/>
  <c r="V47" i="1"/>
  <c r="V50" i="1"/>
  <c r="T31" i="1" a="1"/>
  <c r="T31" i="1"/>
  <c r="L83" i="1"/>
  <c r="E52" i="1"/>
  <c r="C52" i="1"/>
  <c r="D90" i="1" a="1"/>
  <c r="D90" i="1"/>
  <c r="E51" i="1"/>
  <c r="C51" i="1"/>
  <c r="C90" i="1" a="1"/>
  <c r="C90" i="1"/>
  <c r="L81" i="1"/>
  <c r="E50" i="1"/>
  <c r="C50" i="1"/>
  <c r="B90" i="1" a="1"/>
  <c r="B90" i="1"/>
  <c r="C14" i="1" a="1"/>
  <c r="C14" i="1"/>
  <c r="C53" i="1" a="1"/>
  <c r="C53" i="1"/>
  <c r="C48" i="1" a="1"/>
  <c r="C48" i="1"/>
  <c r="C28" i="1" a="1"/>
  <c r="C28" i="1"/>
  <c r="R81" i="1"/>
  <c r="AR90" i="1" a="1"/>
  <c r="AR90" i="1"/>
  <c r="AQ90" i="1" a="1"/>
  <c r="AQ90" i="1"/>
  <c r="AP90" i="1" a="1"/>
  <c r="AP90" i="1"/>
  <c r="AO90" i="1" a="1"/>
  <c r="AO90" i="1"/>
  <c r="AN90" i="1" a="1"/>
  <c r="AN90" i="1"/>
  <c r="AL90" i="1" a="1"/>
  <c r="AL90" i="1"/>
  <c r="AK90" i="1" a="1"/>
  <c r="AK90" i="1"/>
  <c r="AJ90" i="1" a="1"/>
  <c r="AJ90" i="1"/>
  <c r="AI90" i="1" a="1"/>
  <c r="AI90" i="1"/>
  <c r="AH90" i="1" a="1"/>
  <c r="AH90" i="1"/>
  <c r="AG90" i="1" a="1"/>
  <c r="AG90" i="1"/>
  <c r="AF90" i="1" a="1"/>
  <c r="AF90" i="1"/>
  <c r="AE90" i="1" a="1"/>
  <c r="AE90" i="1"/>
  <c r="AC90" i="1" a="1"/>
  <c r="AC90" i="1"/>
  <c r="AB90" i="1" a="1"/>
  <c r="AB90" i="1"/>
  <c r="K90" i="1" a="1"/>
  <c r="K90" i="1"/>
  <c r="Z90" i="1" a="1"/>
  <c r="Z90" i="1"/>
  <c r="Y90" i="1" a="1"/>
  <c r="Y90" i="1"/>
  <c r="X90" i="1" a="1"/>
  <c r="X90" i="1"/>
  <c r="W90" i="1" a="1"/>
  <c r="W90" i="1"/>
  <c r="V90" i="1" a="1"/>
  <c r="V90" i="1"/>
  <c r="T90" i="1" a="1"/>
  <c r="T90" i="1"/>
  <c r="S90" i="1" a="1"/>
  <c r="S90" i="1"/>
  <c r="R90" i="1" a="1"/>
  <c r="R90" i="1"/>
  <c r="Q90" i="1" a="1"/>
  <c r="Q90" i="1"/>
  <c r="P90" i="1" a="1"/>
  <c r="P90" i="1"/>
  <c r="N90" i="1" a="1"/>
  <c r="N90" i="1"/>
  <c r="M90" i="1" a="1"/>
  <c r="M90" i="1"/>
  <c r="L90" i="1" a="1"/>
  <c r="L90" i="1"/>
  <c r="A90" i="1" a="1"/>
  <c r="A90" i="1"/>
  <c r="C67" i="1" a="1"/>
  <c r="C67" i="1"/>
  <c r="T59" i="1" a="1"/>
  <c r="T59" i="1"/>
  <c r="T58" i="1" a="1"/>
  <c r="T58" i="1"/>
  <c r="T55" i="1" a="1"/>
  <c r="T55" i="1"/>
  <c r="T54" i="1" a="1"/>
  <c r="T54" i="1"/>
  <c r="AX47" i="1" a="1"/>
  <c r="AX47" i="1"/>
  <c r="AW47" i="1" a="1"/>
  <c r="AW47" i="1"/>
  <c r="AV47" i="1" a="1"/>
  <c r="AV47" i="1"/>
  <c r="AU47" i="1" a="1"/>
  <c r="AU47" i="1"/>
  <c r="AT47" i="1" a="1"/>
  <c r="AT47" i="1"/>
  <c r="AG46" i="1" a="1"/>
  <c r="AG46" i="1"/>
  <c r="AF46" i="1" a="1"/>
  <c r="AF46" i="1"/>
  <c r="AE46" i="1" a="1"/>
  <c r="AE46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4" i="1" a="1"/>
  <c r="C24" i="1"/>
  <c r="C13" i="1" a="1"/>
  <c r="C13" i="1"/>
  <c r="C16" i="1" a="1"/>
  <c r="C16" i="1"/>
  <c r="C15" i="1" a="1"/>
  <c r="C15" i="1"/>
  <c r="AX90" i="1"/>
  <c r="AW90" i="1"/>
  <c r="AV90" i="1"/>
  <c r="AU90" i="1"/>
  <c r="AT90" i="1"/>
  <c r="AX50" i="1"/>
  <c r="AW50" i="1"/>
  <c r="AV50" i="1"/>
  <c r="AU50" i="1"/>
  <c r="AT50" i="1"/>
  <c r="AR89" i="1"/>
  <c r="AQ89" i="1"/>
  <c r="AP89" i="1"/>
  <c r="AO89" i="1"/>
  <c r="AN89" i="1"/>
  <c r="AC89" i="1"/>
  <c r="AB89" i="1"/>
  <c r="AG87" i="1"/>
  <c r="AF87" i="1"/>
  <c r="AE87" i="1"/>
  <c r="AG89" i="1"/>
  <c r="AF89" i="1"/>
  <c r="AE89" i="1"/>
  <c r="T56" i="1"/>
  <c r="V82" i="1"/>
  <c r="D50" i="1"/>
  <c r="AX89" i="1"/>
  <c r="AW89" i="1"/>
  <c r="AV89" i="1"/>
  <c r="AU89" i="1"/>
  <c r="AT89" i="1"/>
  <c r="AL89" i="1"/>
  <c r="AK89" i="1"/>
  <c r="AJ89" i="1"/>
  <c r="AI89" i="1"/>
  <c r="AH89" i="1"/>
  <c r="Z89" i="1"/>
  <c r="Y89" i="1"/>
  <c r="X89" i="1"/>
  <c r="W89" i="1"/>
  <c r="V89" i="1"/>
  <c r="T89" i="1"/>
  <c r="S89" i="1"/>
  <c r="R89" i="1"/>
  <c r="Q89" i="1"/>
  <c r="P89" i="1"/>
  <c r="J90" i="1"/>
  <c r="D51" i="1"/>
  <c r="D52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<sst xmlns="http://schemas.openxmlformats.org/spreadsheetml/2006/main" count="181" uniqueCount="135">
  <si>
    <t>}Clients</t>
  </si>
  <si>
    <t>spp</t>
  </si>
  <si>
    <t>related entity</t>
  </si>
  <si>
    <t>jurisdiction</t>
  </si>
  <si>
    <t>appropriation item</t>
  </si>
  <si>
    <t>id</t>
  </si>
  <si>
    <t>Total efficiency dividend adjustment value</t>
  </si>
  <si>
    <t>D</t>
  </si>
  <si>
    <t>N</t>
  </si>
  <si>
    <t>[Begin Format Range]</t>
  </si>
  <si>
    <t>[End Format Range]</t>
  </si>
  <si>
    <t>Database Variables</t>
  </si>
  <si>
    <t>Database Name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</si>
  <si>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</si>
  <si>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</si>
  <si>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</si>
  <si>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</si>
  <si>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</si>
  <si>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</si>
  <si>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</si>
  <si>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</si>
  <si>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AE Parameters and FE3 Calculation</t>
  </si>
  <si>
    <t>Active Form View</t>
  </si>
  <si>
    <t>Slice View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</si>
  <si>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</si>
  <si>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</si>
  <si>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</si>
  <si>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</si>
  <si>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</si>
  <si>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</si>
  <si>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</si>
  <si>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</si>
  <si>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</si>
  <si>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</si>
  <si>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</si>
  <si>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</si>
  <si>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</si>
  <si>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</si>
  <si>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Period</t>
  </si>
  <si>
    <t>To Use</t>
  </si>
  <si>
    <t>Index</t>
  </si>
  <si>
    <t>Programme MDX</t>
  </si>
  <si>
    <t>Account MDX</t>
  </si>
  <si>
    <t>Movement Account MDX</t>
  </si>
  <si>
    <t>REPORT PARAMETERS</t>
  </si>
  <si>
    <t xml:space="preserve">Account : </t>
  </si>
  <si>
    <t xml:space="preserve">Movement Account : </t>
  </si>
  <si>
    <t xml:space="preserve">Program : </t>
  </si>
  <si>
    <t xml:space="preserve"> DISPLAY SETTINGS</t>
  </si>
  <si>
    <t>Report Display :</t>
  </si>
  <si>
    <t>Collapse</t>
  </si>
  <si>
    <t>Expand</t>
  </si>
  <si>
    <t>original value</t>
  </si>
  <si>
    <t>A</t>
  </si>
  <si>
    <t>B</t>
  </si>
  <si>
    <t>C</t>
  </si>
  <si>
    <t>E</t>
  </si>
  <si>
    <t>F</t>
  </si>
  <si>
    <t>Program</t>
  </si>
  <si>
    <t xml:space="preserve">Measure Code : </t>
  </si>
  <si>
    <t>FE2 Period :</t>
  </si>
  <si>
    <t>FE3 Period :</t>
  </si>
  <si>
    <t>FE3 PARAMETERS</t>
  </si>
  <si>
    <t>FE2 Period Index</t>
  </si>
  <si>
    <t>FE3 Period Index</t>
  </si>
  <si>
    <t>step 1 value</t>
  </si>
  <si>
    <t>step 2 value</t>
  </si>
  <si>
    <t>step 3 value</t>
  </si>
  <si>
    <t>RB</t>
  </si>
  <si>
    <t>FE1</t>
  </si>
  <si>
    <t>FE2</t>
  </si>
  <si>
    <t>FE3</t>
  </si>
  <si>
    <t>NB</t>
  </si>
  <si>
    <t>STEP 1</t>
  </si>
  <si>
    <t>STEP 2</t>
  </si>
  <si>
    <t>STEP 3</t>
  </si>
  <si>
    <t>FE3 Calculation value</t>
  </si>
  <si>
    <t>Updated Base Data Including Parameters and ED Used For FE3 Calculation</t>
  </si>
  <si>
    <t>CALCULATED FE3</t>
  </si>
  <si>
    <t>Cube Views</t>
  </si>
  <si>
    <t>}Element Attributes Measure Code View</t>
  </si>
  <si>
    <t>Programme Details View</t>
  </si>
  <si>
    <t>parameters</t>
  </si>
  <si>
    <t>parameter</t>
  </si>
  <si>
    <t>efficiency dividend</t>
  </si>
  <si>
    <t>Parameter</t>
  </si>
  <si>
    <t>WCI1</t>
  </si>
  <si>
    <t>WCI3</t>
  </si>
  <si>
    <t>WCI4</t>
  </si>
  <si>
    <t>WCI5</t>
  </si>
  <si>
    <t>WCI6</t>
  </si>
  <si>
    <t>WCI7</t>
  </si>
  <si>
    <t>WCI8</t>
  </si>
  <si>
    <t>WCI9</t>
  </si>
  <si>
    <t>manual</t>
  </si>
  <si>
    <t>Parameters Summary Calculation</t>
  </si>
  <si>
    <t>Generate WCI</t>
  </si>
  <si>
    <t>WCI Generated By</t>
  </si>
  <si>
    <t>WCI Generated Date</t>
  </si>
  <si>
    <t>Generate Parameters</t>
  </si>
  <si>
    <t>Parameters Generated By</t>
  </si>
  <si>
    <t>adjustment factor</t>
  </si>
  <si>
    <t>Note :  Indexation system calculation are based on Appropriations Only and if certain accounts are applied Indexation.</t>
  </si>
  <si>
    <t xml:space="preserve">Note :  Indexation will only be calculated for Adjustments that have been set to 'Apply Parameters'. </t>
  </si>
  <si>
    <t>AE Adjustments</t>
  </si>
  <si>
    <t>status</t>
  </si>
  <si>
    <t>outcome</t>
  </si>
  <si>
    <t>function</t>
  </si>
  <si>
    <t>reason</t>
  </si>
  <si>
    <t>appropration type</t>
  </si>
  <si>
    <t>Parameters Calculation (System Generated) (A)</t>
  </si>
  <si>
    <t>GEUS Adjustment Created (B)</t>
  </si>
  <si>
    <t>Variance (B- A)</t>
  </si>
  <si>
    <t>Current Annual Estimates Data (Excluding Parameters)</t>
  </si>
  <si>
    <t>Indexation Rates (Adjustment Factor)</t>
  </si>
  <si>
    <t>Adjustment - Indexation Detail</t>
  </si>
  <si>
    <t>Adjustment - Indexation Reconciliation</t>
  </si>
  <si>
    <t>Adjustment - Indexation Rates</t>
  </si>
  <si>
    <t>Admin - Indexation Setup</t>
  </si>
  <si>
    <t>parameter reason code</t>
  </si>
  <si>
    <t>efficiency dividend reason code</t>
  </si>
  <si>
    <t>adjustment type</t>
  </si>
  <si>
    <t>Adjustment - Generate FE3</t>
  </si>
  <si>
    <t>Adjustment - Generate ED</t>
  </si>
  <si>
    <t>Adjustment - Generate Indexation</t>
  </si>
  <si>
    <t>Create Adj By Measures? :</t>
  </si>
  <si>
    <t>ADJ PARAMETERS</t>
  </si>
  <si>
    <t>Adjustment - Indexation Finance Workbook</t>
  </si>
  <si>
    <t>Adjustment - Indexation Finance DCB Workbook</t>
  </si>
  <si>
    <t>Adjustment - Indexation and FE3 Navigational Map</t>
  </si>
  <si>
    <t>Adjustment - Indexation Generate Subset</t>
  </si>
  <si>
    <t>Total parameter adjustment value</t>
  </si>
  <si>
    <t>Parameters Generated Date</t>
  </si>
  <si>
    <t>default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</si>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</sst>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+ &quot;@"/>
    <numFmt numFmtId="165" formatCode="&quot;- &quot;@"/>
    <numFmt numFmtId="166" formatCode="_(* #,##0_);[Red]_(* \(#,##0\);_(* &quot;-&quot;??_);_(@_)"/>
    <numFmt numFmtId="167" formatCode="_(* #,##0.00000_);[Red]_(* \(#,##0.000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C5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426A"/>
      </left>
      <right style="medium">
        <color rgb="FF00426A"/>
      </right>
      <top style="medium">
        <color rgb="FF00426A"/>
      </top>
      <bottom style="medium">
        <color rgb="FF00426A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2" fillId="2" borderId="1" xfId="0" applyFont="1" applyFill="1" applyBorder="1"/>
    <xf numFmtId="0" fontId="2" fillId="2" borderId="6" xfId="0" applyFont="1" applyFill="1" applyBorder="1"/>
    <xf numFmtId="0" fontId="4" fillId="3" borderId="0" xfId="0" applyFont="1" applyFill="1" applyAlignment="1">
      <alignment horizontal="center"/>
    </xf>
    <xf numFmtId="0" fontId="0" fillId="2" borderId="5" xfId="0" applyFill="1" applyBorder="1"/>
    <xf numFmtId="0" fontId="2" fillId="0" borderId="0" xfId="0" applyFont="1" applyAlignment="1">
      <alignment horizontal="right" indent="1"/>
    </xf>
    <xf numFmtId="0" fontId="1" fillId="4" borderId="7" xfId="0" applyFont="1" applyFill="1" applyBorder="1"/>
    <xf numFmtId="0" fontId="0" fillId="5" borderId="8" xfId="0" applyFill="1" applyBorder="1" applyAlignment="1" applyProtection="1">
      <alignment horizontal="center" vertical="center"/>
      <protection locked="0"/>
    </xf>
    <xf numFmtId="0" fontId="0" fillId="2" borderId="0" xfId="0" applyFill="1"/>
    <xf numFmtId="166" fontId="3" fillId="0" borderId="5" xfId="0" applyNumberFormat="1" applyFont="1" applyBorder="1"/>
    <xf numFmtId="0" fontId="1" fillId="6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left" indent="3"/>
    </xf>
    <xf numFmtId="166" fontId="3" fillId="7" borderId="5" xfId="0" applyNumberFormat="1" applyFont="1" applyFill="1" applyBorder="1"/>
    <xf numFmtId="0" fontId="2" fillId="3" borderId="6" xfId="0" applyFont="1" applyFill="1" applyBorder="1" applyAlignment="1">
      <alignment horizontal="center"/>
    </xf>
    <xf numFmtId="166" fontId="5" fillId="7" borderId="5" xfId="0" applyNumberFormat="1" applyFont="1" applyFill="1" applyBorder="1"/>
    <xf numFmtId="0" fontId="6" fillId="6" borderId="0" xfId="0" applyFont="1" applyFill="1" applyAlignment="1">
      <alignment horizontal="right" vertical="center"/>
    </xf>
    <xf numFmtId="0" fontId="5" fillId="7" borderId="5" xfId="0" applyFont="1" applyFill="1" applyBorder="1"/>
    <xf numFmtId="0" fontId="5" fillId="7" borderId="5" xfId="0" applyFont="1" applyFill="1" applyBorder="1" applyAlignment="1">
      <alignment horizontal="left" indent="1"/>
    </xf>
    <xf numFmtId="0" fontId="5" fillId="7" borderId="5" xfId="0" applyFont="1" applyFill="1" applyBorder="1" applyAlignment="1">
      <alignment horizontal="left" indent="2"/>
    </xf>
    <xf numFmtId="0" fontId="5" fillId="7" borderId="5" xfId="0" applyFont="1" applyFill="1" applyBorder="1" applyAlignment="1">
      <alignment horizontal="left" indent="3"/>
    </xf>
    <xf numFmtId="0" fontId="0" fillId="0" borderId="5" xfId="0" applyBorder="1" applyAlignment="1">
      <alignment horizontal="left" indent="1"/>
    </xf>
    <xf numFmtId="0" fontId="8" fillId="0" borderId="0" xfId="0" applyFont="1"/>
    <xf numFmtId="0" fontId="9" fillId="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5" fillId="7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7" fillId="0" borderId="0" xfId="0" applyFont="1"/>
    <xf numFmtId="167" fontId="5" fillId="7" borderId="5" xfId="0" applyNumberFormat="1" applyFont="1" applyFill="1" applyBorder="1"/>
    <xf numFmtId="167" fontId="3" fillId="0" borderId="5" xfId="0" applyNumberFormat="1" applyFont="1" applyBorder="1"/>
    <xf numFmtId="0" fontId="1" fillId="6" borderId="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12" borderId="15" xfId="0" applyFont="1" applyFill="1" applyBorder="1" applyAlignment="1">
      <alignment horizontal="center"/>
    </xf>
    <xf numFmtId="0" fontId="5" fillId="12" borderId="15" xfId="0" applyFont="1" applyFill="1" applyBorder="1" applyAlignment="1" applyProtection="1">
      <alignment horizontal="center"/>
      <protection locked="0"/>
    </xf>
    <xf numFmtId="0" fontId="3" fillId="12" borderId="15" xfId="0" applyFont="1" applyFill="1" applyBorder="1" applyAlignment="1" applyProtection="1">
      <alignment horizontal="center"/>
      <protection locked="0"/>
    </xf>
    <xf numFmtId="165" fontId="2" fillId="0" borderId="5" xfId="0" applyNumberFormat="1" applyFont="1" applyBorder="1"/>
    <xf numFmtId="164" fontId="0" fillId="0" borderId="5" xfId="0" applyNumberFormat="1" applyBorder="1"/>
    <xf numFmtId="0" fontId="1" fillId="8" borderId="5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5" xfId="0" applyBorder="1" applyAlignment="1" applyProtection="1">
      <alignment horizontal="left" indent="1"/>
      <protection locked="0"/>
    </xf>
    <xf numFmtId="0" fontId="7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FFFF99"/>
      <color rgb="FF006C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05"/>
  <ax:ocxPr ax:name="_ExtentY" ax:value="318"/>
  <ax:ocxPr ax:name="_StockProps" ax:value="0"/>
  <ax:ocxPr ax:name="ServerName" ax:value="=db_name"/>
  <ax:ocxPr ax:name="ProcessName" ax:value="sys_AE Generate ParameterAndED Adj 99 - Clear Flags"/>
  <ax:ocxPr ax:name="Name" ax:value="psAdjType"/>
  <ax:ocxPr ax:name="Type" ax:value="0"/>
  <ax:ocxPr ax:name="Value" ax:value="=psAdjType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lear Flag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e-calculate Parameters and FE3?"/>
  <ax:ocxPr ax:name="SuccessMessage" ax:value="Flags have been cleared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1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13" Type="http://schemas.openxmlformats.org/officeDocument/2006/relationships/image" Target="../media/image1.emf"/><Relationship Id="rId3" Type="http://schemas.openxmlformats.org/officeDocument/2006/relationships/image" Target="../media/image4.emf"/><Relationship Id="rId7" Type="http://schemas.openxmlformats.org/officeDocument/2006/relationships/image" Target="../media/image9.emf"/><Relationship Id="rId12" Type="http://schemas.openxmlformats.org/officeDocument/2006/relationships/image" Target="../media/image13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8.emf"/><Relationship Id="rId11" Type="http://schemas.openxmlformats.org/officeDocument/2006/relationships/image" Target="../media/image2.emf"/><Relationship Id="rId5" Type="http://schemas.openxmlformats.org/officeDocument/2006/relationships/image" Target="../media/image7.emf"/><Relationship Id="rId10" Type="http://schemas.openxmlformats.org/officeDocument/2006/relationships/image" Target="../media/image12.emf"/><Relationship Id="rId4" Type="http://schemas.openxmlformats.org/officeDocument/2006/relationships/image" Target="../media/image3.emf"/><Relationship Id="rId9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74</xdr:row>
      <xdr:rowOff>9525</xdr:rowOff>
    </xdr:from>
    <xdr:to>
      <xdr:col>9</xdr:col>
      <xdr:colOff>1769745</xdr:colOff>
      <xdr:row>74</xdr:row>
      <xdr:rowOff>472440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38100</xdr:colOff>
          <xdr:row>76</xdr:row>
          <xdr:rowOff>7620</xdr:rowOff>
        </xdr:from>
        <xdr:to>
          <xdr:col>9</xdr:col>
          <xdr:colOff>617220</xdr:colOff>
          <xdr:row>76</xdr:row>
          <xdr:rowOff>259080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1684020</xdr:colOff>
          <xdr:row>76</xdr:row>
          <xdr:rowOff>7620</xdr:rowOff>
        </xdr:from>
        <xdr:to>
          <xdr:col>9</xdr:col>
          <xdr:colOff>2446020</xdr:colOff>
          <xdr:row>76</xdr:row>
          <xdr:rowOff>259080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518160</xdr:colOff>
          <xdr:row>75</xdr:row>
          <xdr:rowOff>30480</xdr:rowOff>
        </xdr:from>
        <xdr:to>
          <xdr:col>25</xdr:col>
          <xdr:colOff>830580</xdr:colOff>
          <xdr:row>76</xdr:row>
          <xdr:rowOff>289560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2468880</xdr:colOff>
          <xdr:row>76</xdr:row>
          <xdr:rowOff>7620</xdr:rowOff>
        </xdr:from>
        <xdr:to>
          <xdr:col>9</xdr:col>
          <xdr:colOff>3512820</xdr:colOff>
          <xdr:row>76</xdr:row>
          <xdr:rowOff>259080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388620</xdr:colOff>
          <xdr:row>76</xdr:row>
          <xdr:rowOff>7620</xdr:rowOff>
        </xdr:from>
        <xdr:to>
          <xdr:col>19</xdr:col>
          <xdr:colOff>259080</xdr:colOff>
          <xdr:row>76</xdr:row>
          <xdr:rowOff>259080</xdr:rowOff>
        </xdr:to>
        <xdr:sp macro="" textlink="">
          <xdr:nvSpPr>
            <xdr:cNvPr id="1033" name="TIButton2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441960</xdr:colOff>
          <xdr:row>76</xdr:row>
          <xdr:rowOff>7620</xdr:rowOff>
        </xdr:from>
        <xdr:to>
          <xdr:col>13</xdr:col>
          <xdr:colOff>708660</xdr:colOff>
          <xdr:row>76</xdr:row>
          <xdr:rowOff>259080</xdr:rowOff>
        </xdr:to>
        <xdr:sp macro="" textlink="">
          <xdr:nvSpPr>
            <xdr:cNvPr id="1034" name="TIButton7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266700</xdr:colOff>
          <xdr:row>76</xdr:row>
          <xdr:rowOff>7620</xdr:rowOff>
        </xdr:from>
        <xdr:to>
          <xdr:col>11</xdr:col>
          <xdr:colOff>441960</xdr:colOff>
          <xdr:row>76</xdr:row>
          <xdr:rowOff>259080</xdr:rowOff>
        </xdr:to>
        <xdr:sp macro="" textlink="">
          <xdr:nvSpPr>
            <xdr:cNvPr id="1035" name="TIButton8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76</xdr:row>
          <xdr:rowOff>7620</xdr:rowOff>
        </xdr:from>
        <xdr:to>
          <xdr:col>12</xdr:col>
          <xdr:colOff>419100</xdr:colOff>
          <xdr:row>76</xdr:row>
          <xdr:rowOff>259080</xdr:rowOff>
        </xdr:to>
        <xdr:sp macro="" textlink="">
          <xdr:nvSpPr>
            <xdr:cNvPr id="1036" name="TIButton9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60960</xdr:colOff>
          <xdr:row>76</xdr:row>
          <xdr:rowOff>7620</xdr:rowOff>
        </xdr:from>
        <xdr:to>
          <xdr:col>16</xdr:col>
          <xdr:colOff>99060</xdr:colOff>
          <xdr:row>76</xdr:row>
          <xdr:rowOff>259080</xdr:rowOff>
        </xdr:to>
        <xdr:sp macro="" textlink="">
          <xdr:nvSpPr>
            <xdr:cNvPr id="1037" name="TIButton10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114300</xdr:colOff>
          <xdr:row>76</xdr:row>
          <xdr:rowOff>7620</xdr:rowOff>
        </xdr:from>
        <xdr:to>
          <xdr:col>17</xdr:col>
          <xdr:colOff>152400</xdr:colOff>
          <xdr:row>76</xdr:row>
          <xdr:rowOff>259080</xdr:rowOff>
        </xdr:to>
        <xdr:sp macro="" textlink="">
          <xdr:nvSpPr>
            <xdr:cNvPr id="1038" name="TIButton11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175260</xdr:colOff>
          <xdr:row>76</xdr:row>
          <xdr:rowOff>7620</xdr:rowOff>
        </xdr:from>
        <xdr:to>
          <xdr:col>18</xdr:col>
          <xdr:colOff>365760</xdr:colOff>
          <xdr:row>76</xdr:row>
          <xdr:rowOff>259080</xdr:rowOff>
        </xdr:to>
        <xdr:sp macro="" textlink="">
          <xdr:nvSpPr>
            <xdr:cNvPr id="1039" name="TIButton12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640080</xdr:colOff>
          <xdr:row>76</xdr:row>
          <xdr:rowOff>7620</xdr:rowOff>
        </xdr:from>
        <xdr:to>
          <xdr:col>9</xdr:col>
          <xdr:colOff>1661160</xdr:colOff>
          <xdr:row>76</xdr:row>
          <xdr:rowOff>259080</xdr:rowOff>
        </xdr:to>
        <xdr:sp macro="" textlink="">
          <xdr:nvSpPr>
            <xdr:cNvPr id="1040" name="TIButton13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3528060</xdr:colOff>
          <xdr:row>76</xdr:row>
          <xdr:rowOff>7620</xdr:rowOff>
        </xdr:from>
        <xdr:to>
          <xdr:col>10</xdr:col>
          <xdr:colOff>228600</xdr:colOff>
          <xdr:row>76</xdr:row>
          <xdr:rowOff>259080</xdr:rowOff>
        </xdr:to>
        <xdr:sp macro="" textlink="">
          <xdr:nvSpPr>
            <xdr:cNvPr id="1041" name="TIButton4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>
    <xdr:from>
      <xdr:col>9</xdr:col>
      <xdr:colOff>0</xdr:colOff>
      <xdr:row>79</xdr:row>
      <xdr:rowOff>0</xdr:rowOff>
    </xdr:from>
    <xdr:to>
      <xdr:col>9</xdr:col>
      <xdr:colOff>3905250</xdr:colOff>
      <xdr:row>87</xdr:row>
      <xdr:rowOff>161925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7150" y="942975"/>
          <a:ext cx="3905250" cy="1590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 b="0" i="1">
              <a:solidFill>
                <a:srgbClr val="FF0000"/>
              </a:solidFill>
            </a:rPr>
            <a:t>Note : Click 'Guidelines'</a:t>
          </a:r>
          <a:r>
            <a:rPr lang="en-AU" sz="1000" b="0" i="1" baseline="0">
              <a:solidFill>
                <a:srgbClr val="FF0000"/>
              </a:solidFill>
            </a:rPr>
            <a:t> for additional help &amp; to update calculation.</a:t>
          </a:r>
        </a:p>
        <a:p>
          <a:r>
            <a:rPr lang="en-AU" sz="1000" b="0" i="1">
              <a:solidFill>
                <a:srgbClr val="FF0000"/>
              </a:solidFill>
            </a:rPr>
            <a:t>Note : Review</a:t>
          </a:r>
          <a:r>
            <a:rPr lang="en-AU" sz="1000" b="0" i="1" baseline="0">
              <a:solidFill>
                <a:srgbClr val="FF0000"/>
              </a:solidFill>
            </a:rPr>
            <a:t> existing adjustmemnts before running process.</a:t>
          </a:r>
          <a:endParaRPr lang="en-AU" sz="1000" b="0" i="1">
            <a:solidFill>
              <a:srgbClr val="FF0000"/>
            </a:solidFill>
          </a:endParaRPr>
        </a:p>
        <a:p>
          <a:r>
            <a:rPr lang="en-AU" sz="1000" b="0" i="1">
              <a:solidFill>
                <a:srgbClr val="FF0000"/>
              </a:solidFill>
            </a:rPr>
            <a:t>STEP</a:t>
          </a:r>
          <a:r>
            <a:rPr lang="en-AU" sz="1000" b="0" i="1" baseline="0">
              <a:solidFill>
                <a:srgbClr val="FF0000"/>
              </a:solidFill>
            </a:rPr>
            <a:t> 1  :  Click 'Indexation Rates' to update rates for Parameters.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2 : Flag Program to flag or (POPULATE FLAGS) for Parameters Generation.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3 : Click 'Generate Param Adj' to generate Parameters adj.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4 : Will need to do the same for ED and/or FE3.</a:t>
          </a:r>
        </a:p>
        <a:p>
          <a:r>
            <a:rPr lang="en-AU" sz="1000" b="0" i="1" baseline="0">
              <a:solidFill>
                <a:srgbClr val="FF0000"/>
              </a:solidFill>
            </a:rPr>
            <a:t>STEP 5 : Click 'Parameters Reco' to view Dept of Finance worksheet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AY90"/>
  <sheetViews>
    <sheetView showGridLines="0" showRowColHeaders="0" tabSelected="1" showOutlineSymbols="0" topLeftCell="A75" workbookViewId="0">
      <pane ySplit="15" topLeftCell="A90" activePane="bottomLeft" state="frozen"/>
      <selection activeCell="I75" sqref="I75"/>
      <selection pane="bottomLeft" activeCell="A90" sqref="A90"/>
    </sheetView>
  </sheetViews>
  <sheetFormatPr defaultRowHeight="14.4" outlineLevelRow="1" outlineLevelCol="1" x14ac:dyDescent="0.3"/>
  <cols>
    <col min="1" max="1" width="2.6640625" hidden="1" customWidth="1" outlineLevel="1"/>
    <col min="2" max="2" width="46" hidden="1" customWidth="1" outlineLevel="1"/>
    <col min="3" max="3" width="18.33203125" hidden="1" customWidth="1" outlineLevel="1"/>
    <col min="4" max="8" width="17.33203125" hidden="1" customWidth="1" outlineLevel="1"/>
    <col min="9" max="9" width="0.88671875" customWidth="1" collapsed="1"/>
    <col min="10" max="10" width="66.6640625" customWidth="1"/>
    <col min="11" max="11" width="11.6640625" customWidth="1"/>
    <col min="12" max="12" width="12.88671875" customWidth="1"/>
    <col min="13" max="14" width="15.6640625" customWidth="1"/>
    <col min="15" max="15" width="0.88671875" customWidth="1"/>
    <col min="16" max="20" width="13.6640625" customWidth="1"/>
    <col min="21" max="21" width="0.88671875" customWidth="1"/>
    <col min="22" max="26" width="13.6640625" customWidth="1"/>
    <col min="27" max="27" width="0.88671875" customWidth="1"/>
    <col min="28" max="29" width="13.6640625" hidden="1" customWidth="1"/>
    <col min="30" max="30" width="0.88671875" hidden="1" customWidth="1"/>
    <col min="31" max="33" width="13.6640625" hidden="1" customWidth="1"/>
    <col min="34" max="37" width="13.6640625" customWidth="1"/>
    <col min="38" max="38" width="13.88671875" customWidth="1"/>
    <col min="39" max="39" width="0.88671875" customWidth="1"/>
    <col min="40" max="44" width="13.6640625" customWidth="1"/>
    <col min="45" max="45" width="0.88671875" customWidth="1"/>
    <col min="46" max="50" width="13.6640625" customWidth="1"/>
    <col min="51" max="51" width="0.88671875" customWidth="1"/>
  </cols>
  <sheetData>
    <row r="1" spans="1:50" ht="15" hidden="1" outlineLevel="1" thickBot="1" x14ac:dyDescent="0.35">
      <c r="A1" t="s">
        <v>9</v>
      </c>
    </row>
    <row r="2" spans="1:50" ht="15" hidden="1" outlineLevel="1" thickBot="1" x14ac:dyDescent="0.35">
      <c r="A2">
        <f>0</f>
        <v>0</v>
      </c>
      <c r="B2" s="2"/>
      <c r="C2" s="6"/>
      <c r="D2" s="6"/>
      <c r="E2" s="6"/>
      <c r="F2" s="6"/>
      <c r="G2" s="6"/>
      <c r="H2" s="6"/>
      <c r="J2" s="22" t="s">
        <v>53</v>
      </c>
      <c r="K2" s="41"/>
      <c r="L2" s="46"/>
      <c r="M2" s="43"/>
      <c r="N2" s="33"/>
      <c r="P2" s="20"/>
      <c r="Q2" s="20"/>
      <c r="R2" s="20"/>
      <c r="S2" s="20"/>
      <c r="T2" s="20"/>
      <c r="V2" s="37"/>
      <c r="W2" s="37"/>
      <c r="X2" s="37"/>
      <c r="Y2" s="37"/>
      <c r="Z2" s="37"/>
      <c r="AA2" s="1"/>
      <c r="AB2" s="20"/>
      <c r="AC2" s="20"/>
      <c r="AD2" s="1"/>
      <c r="AE2" s="20"/>
      <c r="AF2" s="20"/>
      <c r="AG2" s="20"/>
      <c r="AH2" s="20"/>
      <c r="AI2" s="20"/>
      <c r="AJ2" s="20"/>
      <c r="AK2" s="20"/>
      <c r="AL2" s="20"/>
      <c r="AM2" s="1"/>
      <c r="AN2" s="20"/>
      <c r="AO2" s="20"/>
      <c r="AP2" s="20"/>
      <c r="AQ2" s="20"/>
      <c r="AR2" s="20"/>
      <c r="AS2" s="1"/>
      <c r="AT2" s="20"/>
      <c r="AU2" s="20"/>
      <c r="AV2" s="20"/>
      <c r="AW2" s="20"/>
      <c r="AX2" s="20"/>
    </row>
    <row r="3" spans="1:50" ht="15" hidden="1" outlineLevel="1" thickBot="1" x14ac:dyDescent="0.35">
      <c r="A3">
        <f>1</f>
        <v>1</v>
      </c>
      <c r="B3" s="6"/>
      <c r="C3" s="6"/>
      <c r="D3" s="6"/>
      <c r="E3" s="6"/>
      <c r="F3" s="6"/>
      <c r="G3" s="6"/>
      <c r="H3" s="6"/>
      <c r="J3" s="23" t="s">
        <v>54</v>
      </c>
      <c r="K3" s="41"/>
      <c r="L3" s="46"/>
      <c r="M3" s="43"/>
      <c r="N3" s="33"/>
      <c r="P3" s="20"/>
      <c r="Q3" s="20"/>
      <c r="R3" s="20"/>
      <c r="S3" s="20"/>
      <c r="T3" s="20"/>
      <c r="V3" s="37"/>
      <c r="W3" s="37"/>
      <c r="X3" s="37"/>
      <c r="Y3" s="37"/>
      <c r="Z3" s="37"/>
      <c r="AA3" s="1"/>
      <c r="AB3" s="20"/>
      <c r="AC3" s="20"/>
      <c r="AD3" s="1"/>
      <c r="AE3" s="20"/>
      <c r="AF3" s="20"/>
      <c r="AG3" s="20"/>
      <c r="AH3" s="20"/>
      <c r="AI3" s="20"/>
      <c r="AJ3" s="20"/>
      <c r="AK3" s="20"/>
      <c r="AL3" s="20"/>
      <c r="AM3" s="1"/>
      <c r="AN3" s="20"/>
      <c r="AO3" s="20"/>
      <c r="AP3" s="20"/>
      <c r="AQ3" s="20"/>
      <c r="AR3" s="20"/>
      <c r="AS3" s="1"/>
      <c r="AT3" s="20"/>
      <c r="AU3" s="20"/>
      <c r="AV3" s="20"/>
      <c r="AW3" s="20"/>
      <c r="AX3" s="20"/>
    </row>
    <row r="4" spans="1:50" ht="15" hidden="1" outlineLevel="1" thickBot="1" x14ac:dyDescent="0.35">
      <c r="A4">
        <f>2</f>
        <v>2</v>
      </c>
      <c r="B4" s="6"/>
      <c r="C4" s="6"/>
      <c r="D4" s="6"/>
      <c r="E4" s="6"/>
      <c r="F4" s="6"/>
      <c r="G4" s="6"/>
      <c r="H4" s="6"/>
      <c r="J4" s="24" t="s">
        <v>55</v>
      </c>
      <c r="K4" s="41"/>
      <c r="L4" s="46"/>
      <c r="M4" s="43"/>
      <c r="N4" s="33"/>
      <c r="P4" s="20"/>
      <c r="Q4" s="20"/>
      <c r="R4" s="20"/>
      <c r="S4" s="20"/>
      <c r="T4" s="20"/>
      <c r="V4" s="37"/>
      <c r="W4" s="37"/>
      <c r="X4" s="37"/>
      <c r="Y4" s="37"/>
      <c r="Z4" s="37"/>
      <c r="AA4" s="1"/>
      <c r="AB4" s="20"/>
      <c r="AC4" s="20"/>
      <c r="AD4" s="1"/>
      <c r="AE4" s="20"/>
      <c r="AF4" s="20"/>
      <c r="AG4" s="20"/>
      <c r="AH4" s="20"/>
      <c r="AI4" s="20"/>
      <c r="AJ4" s="20"/>
      <c r="AK4" s="20"/>
      <c r="AL4" s="20"/>
      <c r="AM4" s="1"/>
      <c r="AN4" s="20"/>
      <c r="AO4" s="20"/>
      <c r="AP4" s="20"/>
      <c r="AQ4" s="20"/>
      <c r="AR4" s="20"/>
      <c r="AS4" s="1"/>
      <c r="AT4" s="20"/>
      <c r="AU4" s="20"/>
      <c r="AV4" s="20"/>
      <c r="AW4" s="20"/>
      <c r="AX4" s="20"/>
    </row>
    <row r="5" spans="1:50" ht="15" hidden="1" outlineLevel="1" thickBot="1" x14ac:dyDescent="0.35">
      <c r="A5">
        <f>3</f>
        <v>3</v>
      </c>
      <c r="B5" s="6"/>
      <c r="C5" s="6"/>
      <c r="D5" s="6"/>
      <c r="E5" s="6"/>
      <c r="F5" s="6"/>
      <c r="G5" s="6"/>
      <c r="H5" s="6"/>
      <c r="J5" s="25" t="s">
        <v>7</v>
      </c>
      <c r="K5" s="41"/>
      <c r="L5" s="46"/>
      <c r="M5" s="43"/>
      <c r="N5" s="33"/>
      <c r="P5" s="20"/>
      <c r="Q5" s="20"/>
      <c r="R5" s="20"/>
      <c r="S5" s="20"/>
      <c r="T5" s="20"/>
      <c r="V5" s="37"/>
      <c r="W5" s="37"/>
      <c r="X5" s="37"/>
      <c r="Y5" s="37"/>
      <c r="Z5" s="37"/>
      <c r="AA5" s="1"/>
      <c r="AB5" s="20"/>
      <c r="AC5" s="20"/>
      <c r="AD5" s="1"/>
      <c r="AE5" s="20"/>
      <c r="AF5" s="20"/>
      <c r="AG5" s="20"/>
      <c r="AH5" s="20"/>
      <c r="AI5" s="20"/>
      <c r="AJ5" s="20"/>
      <c r="AK5" s="20"/>
      <c r="AL5" s="20"/>
      <c r="AM5" s="1"/>
      <c r="AN5" s="20"/>
      <c r="AO5" s="20"/>
      <c r="AP5" s="20"/>
      <c r="AQ5" s="20"/>
      <c r="AR5" s="20"/>
      <c r="AS5" s="1"/>
      <c r="AT5" s="20"/>
      <c r="AU5" s="20"/>
      <c r="AV5" s="20"/>
      <c r="AW5" s="20"/>
      <c r="AX5" s="20"/>
    </row>
    <row r="6" spans="1:50" ht="15" hidden="1" outlineLevel="1" thickBot="1" x14ac:dyDescent="0.35">
      <c r="A6" t="s">
        <v>7</v>
      </c>
      <c r="B6" s="6"/>
      <c r="C6" s="6"/>
      <c r="D6" s="6"/>
      <c r="E6" s="6"/>
      <c r="F6" s="6"/>
      <c r="G6" s="6"/>
      <c r="H6" s="6"/>
      <c r="J6" s="25" t="s">
        <v>56</v>
      </c>
      <c r="K6" s="41"/>
      <c r="L6" s="46"/>
      <c r="M6" s="43"/>
      <c r="N6" s="33"/>
      <c r="P6" s="20"/>
      <c r="Q6" s="20"/>
      <c r="R6" s="20"/>
      <c r="S6" s="20"/>
      <c r="T6" s="20"/>
      <c r="V6" s="37"/>
      <c r="W6" s="37"/>
      <c r="X6" s="37"/>
      <c r="Y6" s="37"/>
      <c r="Z6" s="37"/>
      <c r="AA6" s="1"/>
      <c r="AB6" s="20"/>
      <c r="AC6" s="20"/>
      <c r="AD6" s="1"/>
      <c r="AE6" s="20"/>
      <c r="AF6" s="20"/>
      <c r="AG6" s="20"/>
      <c r="AH6" s="20"/>
      <c r="AI6" s="20"/>
      <c r="AJ6" s="20"/>
      <c r="AK6" s="20"/>
      <c r="AL6" s="20"/>
      <c r="AM6" s="1"/>
      <c r="AN6" s="20"/>
      <c r="AO6" s="20"/>
      <c r="AP6" s="20"/>
      <c r="AQ6" s="20"/>
      <c r="AR6" s="20"/>
      <c r="AS6" s="1"/>
      <c r="AT6" s="20"/>
      <c r="AU6" s="20"/>
      <c r="AV6" s="20"/>
      <c r="AW6" s="20"/>
      <c r="AX6" s="20"/>
    </row>
    <row r="7" spans="1:50" ht="15" hidden="1" outlineLevel="1" thickBot="1" x14ac:dyDescent="0.35">
      <c r="A7" t="s">
        <v>8</v>
      </c>
      <c r="B7" s="6"/>
      <c r="C7" s="6"/>
      <c r="D7" s="6"/>
      <c r="E7" s="6"/>
      <c r="F7" s="6"/>
      <c r="G7" s="6"/>
      <c r="H7" s="6"/>
      <c r="J7" s="17" t="s">
        <v>57</v>
      </c>
      <c r="K7" s="42"/>
      <c r="L7" s="47"/>
      <c r="M7" s="44"/>
      <c r="N7" s="34"/>
      <c r="P7" s="15"/>
      <c r="Q7" s="15"/>
      <c r="R7" s="15"/>
      <c r="S7" s="15"/>
      <c r="T7" s="15"/>
      <c r="V7" s="38"/>
      <c r="W7" s="38"/>
      <c r="X7" s="38"/>
      <c r="Y7" s="38"/>
      <c r="Z7" s="38"/>
      <c r="AB7" s="18"/>
      <c r="AC7" s="18"/>
      <c r="AE7" s="15"/>
      <c r="AF7" s="15"/>
      <c r="AG7" s="15"/>
      <c r="AH7" s="18"/>
      <c r="AI7" s="18"/>
      <c r="AJ7" s="18"/>
      <c r="AK7" s="18"/>
      <c r="AL7" s="18"/>
      <c r="AN7" s="18"/>
      <c r="AO7" s="18"/>
      <c r="AP7" s="18"/>
      <c r="AQ7" s="18"/>
      <c r="AR7" s="18"/>
      <c r="AT7" s="18"/>
      <c r="AU7" s="18"/>
      <c r="AV7" s="18"/>
      <c r="AW7" s="18"/>
      <c r="AX7" s="18"/>
    </row>
    <row r="8" spans="1:50" hidden="1" outlineLevel="1" x14ac:dyDescent="0.3">
      <c r="A8" t="s">
        <v>10</v>
      </c>
    </row>
    <row r="9" spans="1:50" hidden="1" outlineLevel="1" x14ac:dyDescent="0.3"/>
    <row r="10" spans="1:50" hidden="1" outlineLevel="1" x14ac:dyDescent="0.3"/>
    <row r="11" spans="1:50" hidden="1" outlineLevel="1" x14ac:dyDescent="0.3">
      <c r="B11" s="66" t="s">
        <v>11</v>
      </c>
      <c r="C11" s="67"/>
      <c r="D11" s="68"/>
    </row>
    <row r="12" spans="1:50" hidden="1" outlineLevel="1" x14ac:dyDescent="0.3">
      <c r="B12" s="2" t="s">
        <v>12</v>
      </c>
      <c r="C12" s="3" t="s">
        <v>134</v>
      </c>
      <c r="D12" s="4"/>
    </row>
    <row r="13" spans="1:50" hidden="1" outlineLevel="1" x14ac:dyDescent="0.3">
      <c r="B13" s="2" t="s">
        <v>0</v>
      </c>
      <c r="C13" s="5" t="str" cm="1">
        <f t="array" aca="1" ref="C13" ca="1">_xll.VIEW(db_name&amp;":}ElementAttributes_}Clients","!","!")</f>
        <v>dcceew_geus:}ElementAttributes_}Clients</v>
      </c>
      <c r="D13" s="4"/>
    </row>
    <row r="14" spans="1:50" hidden="1" outlineLevel="1" x14ac:dyDescent="0.3">
      <c r="B14" s="2" t="s">
        <v>13</v>
      </c>
      <c r="C14" s="3" t="str" cm="1">
        <f t="array" aca="1" ref="C14" ca="1">_xll.TM1USER(db_name)</f>
        <v/>
      </c>
      <c r="D14" s="4"/>
    </row>
    <row r="15" spans="1:50" hidden="1" outlineLevel="1" x14ac:dyDescent="0.3">
      <c r="B15" s="2" t="s">
        <v>14</v>
      </c>
      <c r="C15" s="3" t="str" cm="1">
        <f t="array" aca="1" ref="C15" ca="1">_xll.DBR($C$13,$C$14,$B15)</f>
        <v>*KEY_ERR</v>
      </c>
      <c r="D15" s="4"/>
    </row>
    <row r="16" spans="1:50" hidden="1" outlineLevel="1" x14ac:dyDescent="0.3">
      <c r="B16" s="2" t="s">
        <v>15</v>
      </c>
      <c r="C16" s="3" t="str" cm="1">
        <f t="array" aca="1" ref="C16" ca="1">_xll.DBR($C$13,$C$14,$B16)</f>
        <v>*KEY_ERR</v>
      </c>
      <c r="D16" s="4"/>
    </row>
    <row r="17" spans="2:20" hidden="1" outlineLevel="1" x14ac:dyDescent="0.3">
      <c r="B17" s="2" t="s">
        <v>16</v>
      </c>
      <c r="C17" s="3" t="str">
        <f ca="1">IF(LEFT($C$15,6)="CAM_AD",$C$16,$C$15)</f>
        <v>*KEY_ERR</v>
      </c>
      <c r="D17" s="6"/>
    </row>
    <row r="18" spans="2:20" hidden="1" outlineLevel="1" x14ac:dyDescent="0.3"/>
    <row r="19" spans="2:20" hidden="1" outlineLevel="1" x14ac:dyDescent="0.3">
      <c r="B19" s="66" t="s">
        <v>17</v>
      </c>
      <c r="C19" s="67"/>
      <c r="D19" s="68"/>
    </row>
    <row r="20" spans="2:20" hidden="1" outlineLevel="1" x14ac:dyDescent="0.3">
      <c r="B20" s="2" t="s">
        <v>18</v>
      </c>
      <c r="C20" s="6" t="str" cm="1">
        <f t="array" aca="1" ref="C20" ca="1">_xll.VIEW(db_name&amp;":}ElementAttributes_variables","!","!")</f>
        <v>dcceew_geus:}ElementAttributes_variables</v>
      </c>
      <c r="D20" s="6"/>
    </row>
    <row r="21" spans="2:20" hidden="1" outlineLevel="1" x14ac:dyDescent="0.3">
      <c r="B21" s="2" t="s">
        <v>19</v>
      </c>
      <c r="C21" s="6" t="str" cm="1">
        <f t="array" aca="1" ref="C21" ca="1">_xll.DBR($C$20,$B21,"value")</f>
        <v>*KEY_ERR</v>
      </c>
      <c r="D21" s="6"/>
    </row>
    <row r="22" spans="2:20" hidden="1" outlineLevel="1" x14ac:dyDescent="0.3">
      <c r="B22" s="2" t="s">
        <v>20</v>
      </c>
      <c r="C22" s="6" t="str" cm="1">
        <f t="array" aca="1" ref="C22" ca="1">_xll.DBR($C$20,$B22,"value")</f>
        <v>*KEY_ERR</v>
      </c>
      <c r="D22" s="6"/>
    </row>
    <row r="23" spans="2:20" hidden="1" outlineLevel="1" x14ac:dyDescent="0.3">
      <c r="B23" s="2" t="s">
        <v>119</v>
      </c>
      <c r="C23" s="6" t="str" cm="1">
        <f t="array" aca="1" ref="C23" ca="1">_xll.DBR($C$20,$B23,"value")</f>
        <v>*KEY_ERR</v>
      </c>
    </row>
    <row r="24" spans="2:20" hidden="1" outlineLevel="1" x14ac:dyDescent="0.3">
      <c r="B24" s="2" t="s">
        <v>120</v>
      </c>
      <c r="C24" s="6" t="str" cm="1">
        <f t="array" aca="1" ref="C24" ca="1">_xll.DBR($C$20,$B24,"value")</f>
        <v>*KEY_ERR</v>
      </c>
    </row>
    <row r="25" spans="2:20" hidden="1" outlineLevel="1" x14ac:dyDescent="0.3">
      <c r="B25" s="2" t="s">
        <v>121</v>
      </c>
      <c r="C25" s="6" t="s">
        <v>83</v>
      </c>
    </row>
    <row r="26" spans="2:20" hidden="1" outlineLevel="1" x14ac:dyDescent="0.3"/>
    <row r="27" spans="2:20" hidden="1" outlineLevel="1" x14ac:dyDescent="0.3">
      <c r="B27" s="66" t="s">
        <v>24</v>
      </c>
      <c r="C27" s="67"/>
      <c r="D27" s="68"/>
    </row>
    <row r="28" spans="2:20" hidden="1" outlineLevel="1" x14ac:dyDescent="0.3">
      <c r="B28" s="6" t="s">
        <v>25</v>
      </c>
      <c r="C28" s="6" t="str">
        <f t="array" aca="1" ref="C28" ca="1">_xll.VIEW(db_name&amp;":sys_application","!","!")</f>
        <v>dcceew_geus:sys_application</v>
      </c>
    </row>
    <row r="29" spans="2:20" hidden="1" outlineLevel="1" x14ac:dyDescent="0.3">
      <c r="B29" s="6" t="s">
        <v>26</v>
      </c>
      <c r="C29" s="6" t="s">
        <v>115</v>
      </c>
    </row>
    <row r="30" spans="2:20" ht="15" hidden="1" outlineLevel="1" thickBot="1" x14ac:dyDescent="0.35">
      <c r="B30" s="7" t="s">
        <v>27</v>
      </c>
      <c r="C30" s="8" t="s">
        <v>28</v>
      </c>
      <c r="D30" s="8" t="s">
        <v>29</v>
      </c>
      <c r="E30" s="8" t="s">
        <v>30</v>
      </c>
      <c r="F30" s="8" t="s">
        <v>31</v>
      </c>
      <c r="G30" s="8" t="s">
        <v>32</v>
      </c>
      <c r="H30" s="8" t="s">
        <v>33</v>
      </c>
      <c r="T30" s="12" t="s">
        <v>48</v>
      </c>
    </row>
    <row r="31" spans="2:20" ht="15" hidden="1" outlineLevel="1" thickBot="1" x14ac:dyDescent="0.35">
      <c r="B31" s="6" t="s">
        <v>34</v>
      </c>
      <c r="C31" s="6" t="str" cm="1">
        <f t="array" aca="1" ref="C31" ca="1">_xll.DBR($C$28,$B31,C$30)</f>
        <v>*KEY_ERR</v>
      </c>
      <c r="D31" s="6" t="str" cm="1">
        <f t="array" aca="1" ref="D31" ca="1">_xll.DBR($C$28,$B31,D$30)</f>
        <v>*KEY_ERR</v>
      </c>
      <c r="E31" s="6" t="str" cm="1">
        <f t="array" aca="1" ref="E31" ca="1">_xll.DBR($C$28,$B31,E$30)</f>
        <v>*KEY_ERR</v>
      </c>
      <c r="F31" s="6" t="str" cm="1">
        <f t="array" aca="1" ref="F31" ca="1">_xll.DBR($C$28,$B31,F$30)</f>
        <v>*KEY_ERR</v>
      </c>
      <c r="G31" s="6" t="str" cm="1">
        <f t="array" aca="1" ref="G31" ca="1">_xll.DBR($C$28,$B31,G$30)</f>
        <v>*KEY_ERR</v>
      </c>
      <c r="H31" s="6" t="str" cm="1">
        <f t="array" aca="1" ref="H31" ca="1">_xll.DBR($C$28,$B31,H$30)</f>
        <v>*KEY_ERR</v>
      </c>
      <c r="S31" s="11" t="s">
        <v>49</v>
      </c>
      <c r="T31" s="13" t="str" cm="1">
        <f t="array" aca="1" ref="T31" ca="1">_xll.SUBNM(db_name&amp;":sys_report display","","Expand")</f>
        <v/>
      </c>
    </row>
    <row r="32" spans="2:20" hidden="1" outlineLevel="1" x14ac:dyDescent="0.3">
      <c r="B32" s="6" t="s">
        <v>35</v>
      </c>
      <c r="C32" s="6" t="str" cm="1">
        <f t="array" aca="1" ref="C32" ca="1">_xll.DBR($C$28,$B32,C$30)</f>
        <v>*KEY_ERR</v>
      </c>
      <c r="D32" s="6" t="str" cm="1">
        <f t="array" aca="1" ref="D32" ca="1">_xll.DBR($C$28,$B32,D$30)</f>
        <v>*KEY_ERR</v>
      </c>
      <c r="E32" s="6" t="str" cm="1">
        <f t="array" aca="1" ref="E32" ca="1">_xll.DBR($C$28,$B32,E$30)</f>
        <v>*KEY_ERR</v>
      </c>
      <c r="F32" s="6" t="str" cm="1">
        <f t="array" aca="1" ref="F32" ca="1">_xll.DBR($C$28,$B32,F$30)</f>
        <v>*KEY_ERR</v>
      </c>
      <c r="G32" s="6" t="str" cm="1">
        <f t="array" aca="1" ref="G32" ca="1">_xll.DBR($C$28,$B32,G$30)</f>
        <v>*KEY_ERR</v>
      </c>
      <c r="H32" s="6" t="str" cm="1">
        <f t="array" aca="1" ref="H32" ca="1">_xll.DBR($C$28,$B32,H$30)</f>
        <v>*KEY_ERR</v>
      </c>
    </row>
    <row r="33" spans="2:50" hidden="1" outlineLevel="1" x14ac:dyDescent="0.3">
      <c r="B33" s="6" t="s">
        <v>36</v>
      </c>
      <c r="C33" s="6" t="str" cm="1">
        <f t="array" aca="1" ref="C33" ca="1">_xll.DBR($C$28,$B33,C$30)</f>
        <v>*KEY_ERR</v>
      </c>
      <c r="D33" s="6" t="str" cm="1">
        <f t="array" aca="1" ref="D33" ca="1">_xll.DBR($C$28,$B33,D$30)</f>
        <v>*KEY_ERR</v>
      </c>
      <c r="E33" s="6" t="str" cm="1">
        <f t="array" aca="1" ref="E33" ca="1">_xll.DBR($C$28,$B33,E$30)</f>
        <v>*KEY_ERR</v>
      </c>
      <c r="F33" s="6" t="str" cm="1">
        <f t="array" aca="1" ref="F33" ca="1">_xll.DBR($C$28,$B33,F$30)</f>
        <v>*KEY_ERR</v>
      </c>
      <c r="G33" s="6" t="str" cm="1">
        <f t="array" aca="1" ref="G33" ca="1">_xll.DBR($C$28,$B33,G$30)</f>
        <v>*KEY_ERR</v>
      </c>
      <c r="H33" s="6" t="str" cm="1">
        <f t="array" aca="1" ref="H33" ca="1">_xll.DBR($C$28,$B33,H$30)</f>
        <v>*KEY_ERR</v>
      </c>
    </row>
    <row r="34" spans="2:50" hidden="1" outlineLevel="1" x14ac:dyDescent="0.3">
      <c r="B34" s="6" t="s">
        <v>37</v>
      </c>
      <c r="C34" s="6" t="str" cm="1">
        <f t="array" aca="1" ref="C34" ca="1">_xll.DBR($C$28,$B34,C$30)</f>
        <v>*KEY_ERR</v>
      </c>
      <c r="D34" s="6" t="str" cm="1">
        <f t="array" aca="1" ref="D34" ca="1">_xll.DBR($C$28,$B34,D$30)</f>
        <v>*KEY_ERR</v>
      </c>
      <c r="E34" s="6" t="str" cm="1">
        <f t="array" aca="1" ref="E34" ca="1">_xll.DBR($C$28,$B34,E$30)</f>
        <v>*KEY_ERR</v>
      </c>
      <c r="F34" s="6" t="str" cm="1">
        <f t="array" aca="1" ref="F34" ca="1">_xll.DBR($C$28,$B34,F$30)</f>
        <v>*KEY_ERR</v>
      </c>
      <c r="G34" s="6" t="str" cm="1">
        <f t="array" aca="1" ref="G34" ca="1">_xll.DBR($C$28,$B34,G$30)</f>
        <v>*KEY_ERR</v>
      </c>
      <c r="H34" s="6" t="str" cm="1">
        <f t="array" aca="1" ref="H34" ca="1">_xll.DBR($C$28,$B34,H$30)</f>
        <v>*KEY_ERR</v>
      </c>
    </row>
    <row r="35" spans="2:50" hidden="1" outlineLevel="1" x14ac:dyDescent="0.3">
      <c r="B35" s="6" t="s">
        <v>116</v>
      </c>
      <c r="C35" s="6" t="str" cm="1">
        <f t="array" aca="1" ref="C35" ca="1">_xll.DBR($C$28,$B35,C$30)</f>
        <v>*KEY_ERR</v>
      </c>
      <c r="D35" s="6" t="str" cm="1">
        <f t="array" aca="1" ref="D35" ca="1">_xll.DBR($C$28,$B35,D$30)</f>
        <v>*KEY_ERR</v>
      </c>
      <c r="E35" s="6" t="str" cm="1">
        <f t="array" aca="1" ref="E35" ca="1">_xll.DBR($C$28,$B35,E$30)</f>
        <v>*KEY_ERR</v>
      </c>
      <c r="F35" s="6" t="str" cm="1">
        <f t="array" aca="1" ref="F35" ca="1">_xll.DBR($C$28,$B35,F$30)</f>
        <v>*KEY_ERR</v>
      </c>
      <c r="G35" s="6" t="str" cm="1">
        <f t="array" aca="1" ref="G35" ca="1">_xll.DBR($C$28,$B35,G$30)</f>
        <v>*KEY_ERR</v>
      </c>
      <c r="H35" s="6" t="str" cm="1">
        <f t="array" aca="1" ref="H35" ca="1">_xll.DBR($C$28,$B35,H$30)</f>
        <v>*KEY_ERR</v>
      </c>
    </row>
    <row r="36" spans="2:50" hidden="1" outlineLevel="1" x14ac:dyDescent="0.3">
      <c r="B36" s="6" t="s">
        <v>117</v>
      </c>
      <c r="C36" s="6" t="str" cm="1">
        <f t="array" aca="1" ref="C36" ca="1">_xll.DBR($C$28,$B36,C$30)</f>
        <v>*KEY_ERR</v>
      </c>
      <c r="D36" s="6" t="str" cm="1">
        <f t="array" aca="1" ref="D36" ca="1">_xll.DBR($C$28,$B36,D$30)</f>
        <v>*KEY_ERR</v>
      </c>
      <c r="E36" s="6" t="str" cm="1">
        <f t="array" aca="1" ref="E36" ca="1">_xll.DBR($C$28,$B36,E$30)</f>
        <v>*KEY_ERR</v>
      </c>
      <c r="F36" s="6" t="str" cm="1">
        <f t="array" aca="1" ref="F36" ca="1">_xll.DBR($C$28,$B36,F$30)</f>
        <v>*KEY_ERR</v>
      </c>
      <c r="G36" s="6" t="str" cm="1">
        <f t="array" aca="1" ref="G36" ca="1">_xll.DBR($C$28,$B36,G$30)</f>
        <v>*KEY_ERR</v>
      </c>
      <c r="H36" s="6" t="str" cm="1">
        <f t="array" aca="1" ref="H36" ca="1">_xll.DBR($C$28,$B36,H$30)</f>
        <v>*KEY_ERR</v>
      </c>
    </row>
    <row r="37" spans="2:50" hidden="1" outlineLevel="1" x14ac:dyDescent="0.3">
      <c r="B37" s="6" t="s">
        <v>118</v>
      </c>
      <c r="C37" s="6" t="str" cm="1">
        <f t="array" aca="1" ref="C37" ca="1">_xll.DBR($C$28,$B37,C$30)</f>
        <v>*KEY_ERR</v>
      </c>
      <c r="D37" s="6" t="str" cm="1">
        <f t="array" aca="1" ref="D37" ca="1">_xll.DBR($C$28,$B37,D$30)</f>
        <v>*KEY_ERR</v>
      </c>
      <c r="E37" s="6" t="str" cm="1">
        <f t="array" aca="1" ref="E37" ca="1">_xll.DBR($C$28,$B37,E$30)</f>
        <v>*KEY_ERR</v>
      </c>
      <c r="F37" s="6" t="str" cm="1">
        <f t="array" aca="1" ref="F37" ca="1">_xll.DBR($C$28,$B37,F$30)</f>
        <v>*KEY_ERR</v>
      </c>
      <c r="G37" s="6" t="str" cm="1">
        <f t="array" aca="1" ref="G37" ca="1">_xll.DBR($C$28,$B37,G$30)</f>
        <v>*KEY_ERR</v>
      </c>
      <c r="H37" s="6" t="str" cm="1">
        <f t="array" aca="1" ref="H37" ca="1">_xll.DBR($C$28,$B37,H$30)</f>
        <v>*KEY_ERR</v>
      </c>
    </row>
    <row r="38" spans="2:50" hidden="1" outlineLevel="1" x14ac:dyDescent="0.3">
      <c r="B38" s="6" t="s">
        <v>122</v>
      </c>
      <c r="C38" s="6" t="str" cm="1">
        <f t="array" aca="1" ref="C38" ca="1">_xll.DBR($C$28,$B38,C$30)</f>
        <v>*KEY_ERR</v>
      </c>
      <c r="D38" s="6" t="str" cm="1">
        <f t="array" aca="1" ref="D38" ca="1">_xll.DBR($C$28,$B38,D$30)</f>
        <v>*KEY_ERR</v>
      </c>
      <c r="E38" s="6" t="str" cm="1">
        <f t="array" aca="1" ref="E38" ca="1">_xll.DBR($C$28,$B38,E$30)</f>
        <v>*KEY_ERR</v>
      </c>
      <c r="F38" s="6" t="str" cm="1">
        <f t="array" aca="1" ref="F38" ca="1">_xll.DBR($C$28,$B38,F$30)</f>
        <v>*KEY_ERR</v>
      </c>
      <c r="G38" s="6" t="str" cm="1">
        <f t="array" aca="1" ref="G38" ca="1">_xll.DBR($C$28,$B38,G$30)</f>
        <v>*KEY_ERR</v>
      </c>
      <c r="H38" s="6" t="str" cm="1">
        <f t="array" aca="1" ref="H38" ca="1">_xll.DBR($C$28,$B38,H$30)</f>
        <v>*KEY_ERR</v>
      </c>
    </row>
    <row r="39" spans="2:50" hidden="1" outlineLevel="1" x14ac:dyDescent="0.3">
      <c r="B39" s="6" t="s">
        <v>123</v>
      </c>
      <c r="C39" s="6" t="str" cm="1">
        <f t="array" aca="1" ref="C39" ca="1">_xll.DBR($C$28,$B39,C$30)</f>
        <v>*KEY_ERR</v>
      </c>
      <c r="D39" s="6" t="str" cm="1">
        <f t="array" aca="1" ref="D39" ca="1">_xll.DBR($C$28,$B39,D$30)</f>
        <v>*KEY_ERR</v>
      </c>
      <c r="E39" s="6" t="str" cm="1">
        <f t="array" aca="1" ref="E39" ca="1">_xll.DBR($C$28,$B39,E$30)</f>
        <v>*KEY_ERR</v>
      </c>
      <c r="F39" s="6" t="str" cm="1">
        <f t="array" aca="1" ref="F39" ca="1">_xll.DBR($C$28,$B39,F$30)</f>
        <v>*KEY_ERR</v>
      </c>
      <c r="G39" s="6" t="str" cm="1">
        <f t="array" aca="1" ref="G39" ca="1">_xll.DBR($C$28,$B39,G$30)</f>
        <v>*KEY_ERR</v>
      </c>
      <c r="H39" s="6" t="str" cm="1">
        <f t="array" aca="1" ref="H39" ca="1">_xll.DBR($C$28,$B39,H$30)</f>
        <v>*KEY_ERR</v>
      </c>
    </row>
    <row r="40" spans="2:50" hidden="1" outlineLevel="1" x14ac:dyDescent="0.3">
      <c r="B40" s="6" t="s">
        <v>124</v>
      </c>
      <c r="C40" s="6" t="str" cm="1">
        <f t="array" aca="1" ref="C40" ca="1">_xll.DBR($C$28,$B40,C$30)</f>
        <v>*KEY_ERR</v>
      </c>
      <c r="D40" s="6" t="str" cm="1">
        <f t="array" aca="1" ref="D40" ca="1">_xll.DBR($C$28,$B40,D$30)</f>
        <v>*KEY_ERR</v>
      </c>
      <c r="E40" s="6" t="str" cm="1">
        <f t="array" aca="1" ref="E40" ca="1">_xll.DBR($C$28,$B40,E$30)</f>
        <v>*KEY_ERR</v>
      </c>
      <c r="F40" s="6" t="str" cm="1">
        <f t="array" aca="1" ref="F40" ca="1">_xll.DBR($C$28,$B40,F$30)</f>
        <v>*KEY_ERR</v>
      </c>
      <c r="G40" s="6" t="str" cm="1">
        <f t="array" aca="1" ref="G40" ca="1">_xll.DBR($C$28,$B40,G$30)</f>
        <v>*KEY_ERR</v>
      </c>
      <c r="H40" s="6" t="str" cm="1">
        <f t="array" aca="1" ref="H40" ca="1">_xll.DBR($C$28,$B40,H$30)</f>
        <v>*KEY_ERR</v>
      </c>
    </row>
    <row r="41" spans="2:50" hidden="1" outlineLevel="1" x14ac:dyDescent="0.3">
      <c r="B41" s="6" t="s">
        <v>127</v>
      </c>
      <c r="C41" s="6" t="str" cm="1">
        <f t="array" aca="1" ref="C41" ca="1">_xll.DBR($C$28,$B41,C$30)</f>
        <v>*KEY_ERR</v>
      </c>
      <c r="D41" s="6" t="str" cm="1">
        <f t="array" aca="1" ref="D41" ca="1">_xll.DBR($C$28,$B41,D$30)</f>
        <v>*KEY_ERR</v>
      </c>
      <c r="E41" s="6" t="str" cm="1">
        <f t="array" aca="1" ref="E41" ca="1">_xll.DBR($C$28,$B41,E$30)</f>
        <v>*KEY_ERR</v>
      </c>
      <c r="F41" s="6" t="str" cm="1">
        <f t="array" aca="1" ref="F41" ca="1">_xll.DBR($C$28,$B41,F$30)</f>
        <v>*KEY_ERR</v>
      </c>
      <c r="G41" s="6" t="str" cm="1">
        <f t="array" aca="1" ref="G41" ca="1">_xll.DBR($C$28,$B41,G$30)</f>
        <v>*KEY_ERR</v>
      </c>
      <c r="H41" s="6" t="str" cm="1">
        <f t="array" aca="1" ref="H41" ca="1">_xll.DBR($C$28,$B41,H$30)</f>
        <v>*KEY_ERR</v>
      </c>
    </row>
    <row r="42" spans="2:50" hidden="1" outlineLevel="1" x14ac:dyDescent="0.3">
      <c r="B42" s="6" t="s">
        <v>128</v>
      </c>
      <c r="C42" s="6" t="str" cm="1">
        <f t="array" aca="1" ref="C42" ca="1">_xll.DBR($C$28,$B42,C$30)</f>
        <v>*KEY_ERR</v>
      </c>
      <c r="D42" s="6" t="str" cm="1">
        <f t="array" aca="1" ref="D42" ca="1">_xll.DBR($C$28,$B42,D$30)</f>
        <v>*KEY_ERR</v>
      </c>
      <c r="E42" s="6" t="str" cm="1">
        <f t="array" aca="1" ref="E42" ca="1">_xll.DBR($C$28,$B42,E$30)</f>
        <v>*KEY_ERR</v>
      </c>
      <c r="F42" s="6" t="str" cm="1">
        <f t="array" aca="1" ref="F42" ca="1">_xll.DBR($C$28,$B42,F$30)</f>
        <v>*KEY_ERR</v>
      </c>
      <c r="G42" s="6" t="str" cm="1">
        <f t="array" aca="1" ref="G42" ca="1">_xll.DBR($C$28,$B42,G$30)</f>
        <v>*KEY_ERR</v>
      </c>
      <c r="H42" s="6" t="str" cm="1">
        <f t="array" aca="1" ref="H42" ca="1">_xll.DBR($C$28,$B42,H$30)</f>
        <v>*KEY_ERR</v>
      </c>
    </row>
    <row r="43" spans="2:50" hidden="1" outlineLevel="1" x14ac:dyDescent="0.3">
      <c r="B43" s="6" t="s">
        <v>129</v>
      </c>
      <c r="C43" s="6" t="str" cm="1">
        <f t="array" aca="1" ref="C43" ca="1">_xll.DBR($C$28,$B43,C$30)</f>
        <v>*KEY_ERR</v>
      </c>
      <c r="D43" s="6" t="str" cm="1">
        <f t="array" aca="1" ref="D43" ca="1">_xll.DBR($C$28,$B43,D$30)</f>
        <v>*KEY_ERR</v>
      </c>
      <c r="E43" s="6" t="str" cm="1">
        <f t="array" aca="1" ref="E43" ca="1">_xll.DBR($C$28,$B43,E$30)</f>
        <v>*KEY_ERR</v>
      </c>
      <c r="F43" s="6" t="str" cm="1">
        <f t="array" aca="1" ref="F43" ca="1">_xll.DBR($C$28,$B43,F$30)</f>
        <v>*KEY_ERR</v>
      </c>
      <c r="G43" s="6" t="str" cm="1">
        <f t="array" aca="1" ref="G43" ca="1">_xll.DBR($C$28,$B43,G$30)</f>
        <v>*KEY_ERR</v>
      </c>
      <c r="H43" s="6" t="str" cm="1">
        <f t="array" aca="1" ref="H43" ca="1">_xll.DBR($C$28,$B43,H$30)</f>
        <v>*KEY_ERR</v>
      </c>
    </row>
    <row r="44" spans="2:50" hidden="1" outlineLevel="1" x14ac:dyDescent="0.3">
      <c r="B44" s="6" t="s">
        <v>130</v>
      </c>
      <c r="C44" s="6" t="str" cm="1">
        <f t="array" aca="1" ref="C44" ca="1">_xll.DBR($C$28,$B44,C$30)</f>
        <v>*KEY_ERR</v>
      </c>
      <c r="D44" s="6" t="str" cm="1">
        <f t="array" aca="1" ref="D44" ca="1">_xll.DBR($C$28,$B44,D$30)</f>
        <v>*KEY_ERR</v>
      </c>
      <c r="E44" s="6" t="str" cm="1">
        <f t="array" aca="1" ref="E44" ca="1">_xll.DBR($C$28,$B44,E$30)</f>
        <v>*KEY_ERR</v>
      </c>
      <c r="F44" s="6" t="str" cm="1">
        <f t="array" aca="1" ref="F44" ca="1">_xll.DBR($C$28,$B44,F$30)</f>
        <v>*KEY_ERR</v>
      </c>
      <c r="G44" s="6" t="str" cm="1">
        <f t="array" aca="1" ref="G44" ca="1">_xll.DBR($C$28,$B44,G$30)</f>
        <v>*KEY_ERR</v>
      </c>
      <c r="H44" s="6" t="str" cm="1">
        <f t="array" aca="1" ref="H44" ca="1">_xll.DBR($C$28,$B44,H$30)</f>
        <v>*KEY_ERR</v>
      </c>
    </row>
    <row r="45" spans="2:50" hidden="1" outlineLevel="1" x14ac:dyDescent="0.3"/>
    <row r="46" spans="2:50" hidden="1" outlineLevel="1" x14ac:dyDescent="0.3">
      <c r="B46" s="66" t="s">
        <v>21</v>
      </c>
      <c r="C46" s="67"/>
      <c r="D46" s="68"/>
      <c r="K46" s="9" t="s">
        <v>38</v>
      </c>
      <c r="L46" s="9"/>
      <c r="M46" s="9"/>
      <c r="N46" s="9"/>
      <c r="P46" s="9"/>
      <c r="Q46" s="9"/>
      <c r="R46" s="9"/>
      <c r="S46" s="9"/>
      <c r="T46" s="9"/>
      <c r="U46" s="9"/>
      <c r="AE46" s="27" t="str" cm="1">
        <f t="array" aca="1" ref="AE46" ca="1">_xll.DBRW(db_name&amp;":}ElementAttributes_AE parameters and FE3 calculation measure",AE$49,"Desc")</f>
        <v>*KEY_ERR</v>
      </c>
      <c r="AF46" s="27" t="str" cm="1">
        <f t="array" aca="1" ref="AF46" ca="1">_xll.DBRW(db_name&amp;":}ElementAttributes_AE parameters and FE3 calculation measure",AF$49,"Desc")</f>
        <v>*KEY_ERR</v>
      </c>
      <c r="AG46" s="27" t="str" cm="1">
        <f t="array" aca="1" ref="AG46" ca="1">_xll.DBRW(db_name&amp;":}ElementAttributes_AE parameters and FE3 calculation measure",AG$49,"Desc")</f>
        <v>*KEY_ERR</v>
      </c>
    </row>
    <row r="47" spans="2:50" hidden="1" outlineLevel="1" x14ac:dyDescent="0.3">
      <c r="B47" s="2" t="s">
        <v>22</v>
      </c>
      <c r="C47" s="6" t="str">
        <f t="array" aca="1" ref="C47" ca="1">_xll.TM1RPTVIEW(db_name&amp;":AE parameters and FE3 calculation:1", 1, _xll.TM1RPTTITLE(db_name&amp;":spp",$C$54), _xll.TM1RPTTITLE(db_name&amp;":related entity",$C$55), _xll.TM1RPTTITLE(db_name&amp;":jurisdiction",$C$56), _xll.TM1RPTTITLE(db_name&amp;":appropriation item",$C$57), _xll.TM1RPTTITLE(db_name&amp;":measure code",$L$84), _xll.TM1RPTTITLE(db_name&amp;":id",$C$58),TM1RPTFMTRNG,TM1RPTFMTIDCOL)</f>
        <v>dcceew_geus:AE parameters and FE3 calculation:1</v>
      </c>
      <c r="D47" s="6"/>
      <c r="K47" s="10" t="str">
        <f ca="1">RIGHT(psHLYear,9)</f>
        <v>*KEY_ERR</v>
      </c>
      <c r="L47" s="14"/>
      <c r="M47" s="14"/>
      <c r="N47" s="14"/>
      <c r="P47" t="str" cm="1">
        <f t="array" aca="1" ref="P47" ca="1">_xll.DIMNM(db_name&amp;":period",_xll.DIMIX(db_name&amp;":period",$K$47)+P$48)</f>
        <v/>
      </c>
      <c r="Q47" t="str" cm="1">
        <f t="array" aca="1" ref="Q47" ca="1">_xll.DIMNM(db_name&amp;":period",_xll.DIMIX(db_name&amp;":period",$K$47)+Q$48)</f>
        <v/>
      </c>
      <c r="R47" t="str" cm="1">
        <f t="array" aca="1" ref="R47" ca="1">_xll.DIMNM(db_name&amp;":period",_xll.DIMIX(db_name&amp;":period",$K$47)+R$48)</f>
        <v/>
      </c>
      <c r="S47" t="str" cm="1">
        <f t="array" aca="1" ref="S47" ca="1">_xll.DIMNM(db_name&amp;":period",_xll.DIMIX(db_name&amp;":period",$K$47)+S$48)</f>
        <v/>
      </c>
      <c r="T47" t="str" cm="1">
        <f t="array" aca="1" ref="T47" ca="1">_xll.DIMNM(db_name&amp;":period",_xll.DIMIX(db_name&amp;":period",$K$47)+T$48)</f>
        <v/>
      </c>
      <c r="U47" s="14"/>
      <c r="V47" t="str" cm="1">
        <f t="array" aca="1" ref="V47" ca="1">_xll.DIMNM(db_name&amp;":period",_xll.DIMIX(db_name&amp;":period",$K$47)+V$48)</f>
        <v/>
      </c>
      <c r="W47" t="str" cm="1">
        <f t="array" aca="1" ref="W47" ca="1">_xll.DIMNM(db_name&amp;":period",_xll.DIMIX(db_name&amp;":period",$K$47)+W$48)</f>
        <v/>
      </c>
      <c r="X47" t="str" cm="1">
        <f t="array" aca="1" ref="X47" ca="1">_xll.DIMNM(db_name&amp;":period",_xll.DIMIX(db_name&amp;":period",$K$47)+X$48)</f>
        <v/>
      </c>
      <c r="Y47" t="str" cm="1">
        <f t="array" aca="1" ref="Y47" ca="1">_xll.DIMNM(db_name&amp;":period",_xll.DIMIX(db_name&amp;":period",$K$47)+Y$48)</f>
        <v/>
      </c>
      <c r="Z47" t="str" cm="1">
        <f t="array" aca="1" ref="Z47" ca="1">_xll.DIMNM(db_name&amp;":period",_xll.DIMIX(db_name&amp;":period",$K$47)+Z$48)</f>
        <v/>
      </c>
      <c r="AB47" t="str" cm="1">
        <f t="array" aca="1" ref="AB47" ca="1">_xll.DIMNM(db_name&amp;":period",_xll.DIMIX(db_name&amp;":period",$K$47)+AB$48)</f>
        <v/>
      </c>
      <c r="AC47" t="str" cm="1">
        <f t="array" aca="1" ref="AC47" ca="1">_xll.DIMNM(db_name&amp;":period",_xll.DIMIX(db_name&amp;":period",$K$47)+AC$48)</f>
        <v/>
      </c>
      <c r="AE47" t="str" cm="1">
        <f t="array" aca="1" ref="AE47" ca="1">_xll.DIMNM(db_name&amp;":period",_xll.DIMIX(db_name&amp;":period",$K$47)+AE$48)</f>
        <v/>
      </c>
      <c r="AF47" t="str" cm="1">
        <f t="array" aca="1" ref="AF47" ca="1">_xll.DIMNM(db_name&amp;":period",_xll.DIMIX(db_name&amp;":period",$K$47)+AF$48)</f>
        <v/>
      </c>
      <c r="AG47" t="str" cm="1">
        <f t="array" aca="1" ref="AG47" ca="1">_xll.DIMNM(db_name&amp;":period",_xll.DIMIX(db_name&amp;":period",$K$47)+AG$48)</f>
        <v/>
      </c>
      <c r="AH47" t="str" cm="1">
        <f t="array" aca="1" ref="AH47" ca="1">_xll.DIMNM(db_name&amp;":period",_xll.DIMIX(db_name&amp;":period",$K$47)+AH$48)</f>
        <v/>
      </c>
      <c r="AI47" t="str" cm="1">
        <f t="array" aca="1" ref="AI47" ca="1">_xll.DIMNM(db_name&amp;":period",_xll.DIMIX(db_name&amp;":period",$K$47)+AI$48)</f>
        <v/>
      </c>
      <c r="AJ47" t="str" cm="1">
        <f t="array" aca="1" ref="AJ47" ca="1">_xll.DIMNM(db_name&amp;":period",_xll.DIMIX(db_name&amp;":period",$K$47)+AJ$48)</f>
        <v/>
      </c>
      <c r="AK47" t="str" cm="1">
        <f t="array" aca="1" ref="AK47" ca="1">_xll.DIMNM(db_name&amp;":period",_xll.DIMIX(db_name&amp;":period",$K$47)+AK$48)</f>
        <v/>
      </c>
      <c r="AL47" t="str" cm="1">
        <f t="array" aca="1" ref="AL47" ca="1">_xll.DIMNM(db_name&amp;":period",_xll.DIMIX(db_name&amp;":period",$K$47)+AL$48)</f>
        <v/>
      </c>
      <c r="AN47" t="str" cm="1">
        <f t="array" aca="1" ref="AN47" ca="1">_xll.DIMNM(db_name&amp;":period",_xll.DIMIX(db_name&amp;":period",$K$47)+AN$48)</f>
        <v/>
      </c>
      <c r="AO47" t="str" cm="1">
        <f t="array" aca="1" ref="AO47" ca="1">_xll.DIMNM(db_name&amp;":period",_xll.DIMIX(db_name&amp;":period",$K$47)+AO$48)</f>
        <v/>
      </c>
      <c r="AP47" t="str" cm="1">
        <f t="array" aca="1" ref="AP47" ca="1">_xll.DIMNM(db_name&amp;":period",_xll.DIMIX(db_name&amp;":period",$K$47)+AP$48)</f>
        <v/>
      </c>
      <c r="AQ47" t="str" cm="1">
        <f t="array" aca="1" ref="AQ47" ca="1">_xll.DIMNM(db_name&amp;":period",_xll.DIMIX(db_name&amp;":period",$K$47)+AQ$48)</f>
        <v/>
      </c>
      <c r="AR47" t="str" cm="1">
        <f t="array" aca="1" ref="AR47" ca="1">_xll.DIMNM(db_name&amp;":period",_xll.DIMIX(db_name&amp;":period",$K$47)+AR$48)</f>
        <v/>
      </c>
      <c r="AT47" t="str" cm="1">
        <f t="array" aca="1" ref="AT47" ca="1">_xll.DIMNM(db_name&amp;":period",_xll.DIMIX(db_name&amp;":period",$K$47)+AT$48)</f>
        <v/>
      </c>
      <c r="AU47" t="str" cm="1">
        <f t="array" aca="1" ref="AU47" ca="1">_xll.DIMNM(db_name&amp;":period",_xll.DIMIX(db_name&amp;":period",$K$47)+AU$48)</f>
        <v/>
      </c>
      <c r="AV47" t="str" cm="1">
        <f t="array" aca="1" ref="AV47" ca="1">_xll.DIMNM(db_name&amp;":period",_xll.DIMIX(db_name&amp;":period",$K$47)+AV$48)</f>
        <v/>
      </c>
      <c r="AW47" t="str" cm="1">
        <f t="array" aca="1" ref="AW47" ca="1">_xll.DIMNM(db_name&amp;":period",_xll.DIMIX(db_name&amp;":period",$K$47)+AW$48)</f>
        <v/>
      </c>
      <c r="AX47" t="str" cm="1">
        <f t="array" aca="1" ref="AX47" ca="1">_xll.DIMNM(db_name&amp;":period",_xll.DIMIX(db_name&amp;":period",$K$47)+AX$48)</f>
        <v/>
      </c>
    </row>
    <row r="48" spans="2:50" hidden="1" outlineLevel="1" x14ac:dyDescent="0.3">
      <c r="B48" s="2" t="s">
        <v>23</v>
      </c>
      <c r="C48" s="6" t="str">
        <f t="array" aca="1" ref="C48" ca="1">_xll.VIEW(db_name&amp;":AE parameters and FE3 calculation","!",$C$54,"!","!",$C$55,$C$56,$C$57,$L$84,$C$58,"!","!")</f>
        <v>dcceew_geus:AE parameters and FE3 calculation</v>
      </c>
      <c r="D48" s="6"/>
      <c r="K48" s="10" t="s">
        <v>40</v>
      </c>
      <c r="L48" s="14"/>
      <c r="M48" s="14"/>
      <c r="N48" s="14"/>
      <c r="P48">
        <v>-1</v>
      </c>
      <c r="Q48">
        <v>0</v>
      </c>
      <c r="R48">
        <v>1</v>
      </c>
      <c r="S48">
        <v>2</v>
      </c>
      <c r="T48">
        <v>3</v>
      </c>
      <c r="U48" s="14"/>
      <c r="V48">
        <v>-1</v>
      </c>
      <c r="W48">
        <v>0</v>
      </c>
      <c r="X48">
        <v>1</v>
      </c>
      <c r="Y48">
        <v>2</v>
      </c>
      <c r="Z48">
        <v>3</v>
      </c>
      <c r="AB48">
        <v>2</v>
      </c>
      <c r="AC48">
        <v>3</v>
      </c>
      <c r="AE48">
        <v>3</v>
      </c>
      <c r="AF48">
        <v>3</v>
      </c>
      <c r="AG48">
        <v>3</v>
      </c>
      <c r="AH48">
        <v>-1</v>
      </c>
      <c r="AI48">
        <v>0</v>
      </c>
      <c r="AJ48">
        <v>1</v>
      </c>
      <c r="AK48">
        <v>2</v>
      </c>
      <c r="AL48">
        <v>3</v>
      </c>
      <c r="AN48">
        <v>-1</v>
      </c>
      <c r="AO48">
        <v>0</v>
      </c>
      <c r="AP48">
        <v>1</v>
      </c>
      <c r="AQ48">
        <v>2</v>
      </c>
      <c r="AR48">
        <v>3</v>
      </c>
      <c r="AT48">
        <v>-1</v>
      </c>
      <c r="AU48">
        <v>0</v>
      </c>
      <c r="AV48">
        <v>1</v>
      </c>
      <c r="AW48">
        <v>2</v>
      </c>
      <c r="AX48">
        <v>3</v>
      </c>
    </row>
    <row r="49" spans="2:50" hidden="1" outlineLevel="1" x14ac:dyDescent="0.3">
      <c r="B49" s="1">
        <v>2</v>
      </c>
      <c r="C49" s="19" t="s">
        <v>39</v>
      </c>
      <c r="D49" s="19" t="s">
        <v>50</v>
      </c>
      <c r="E49" s="19" t="s">
        <v>51</v>
      </c>
      <c r="K49" t="s">
        <v>83</v>
      </c>
      <c r="L49" t="s">
        <v>96</v>
      </c>
      <c r="M49" t="s">
        <v>97</v>
      </c>
      <c r="N49" t="s">
        <v>98</v>
      </c>
      <c r="O49" s="14"/>
      <c r="P49" s="16" t="s">
        <v>52</v>
      </c>
      <c r="Q49" s="16" t="s">
        <v>52</v>
      </c>
      <c r="R49" s="16" t="s">
        <v>52</v>
      </c>
      <c r="S49" s="16" t="s">
        <v>52</v>
      </c>
      <c r="T49" s="16" t="s">
        <v>52</v>
      </c>
      <c r="V49" s="16" t="s">
        <v>101</v>
      </c>
      <c r="W49" s="16" t="s">
        <v>101</v>
      </c>
      <c r="X49" s="16" t="s">
        <v>101</v>
      </c>
      <c r="Y49" s="16" t="s">
        <v>101</v>
      </c>
      <c r="Z49" s="16" t="s">
        <v>101</v>
      </c>
      <c r="AB49" s="16" t="s">
        <v>76</v>
      </c>
      <c r="AC49" s="16" t="s">
        <v>76</v>
      </c>
      <c r="AE49" s="16" t="s">
        <v>65</v>
      </c>
      <c r="AF49" s="16" t="s">
        <v>66</v>
      </c>
      <c r="AG49" s="16" t="s">
        <v>67</v>
      </c>
      <c r="AH49" s="16" t="s">
        <v>131</v>
      </c>
      <c r="AI49" s="16" t="s">
        <v>131</v>
      </c>
      <c r="AJ49" s="16" t="s">
        <v>131</v>
      </c>
      <c r="AK49" s="16" t="s">
        <v>131</v>
      </c>
      <c r="AL49" s="16" t="s">
        <v>131</v>
      </c>
      <c r="AN49" s="16" t="str" cm="1">
        <f t="array" aca="1" ref="AN49" ca="1">_xll.SUBNM(db_name&amp;":id","","New Adjustments")</f>
        <v/>
      </c>
      <c r="AO49" s="16" t="str" cm="1">
        <f t="array" aca="1" ref="AO49" ca="1">_xll.SUBNM(db_name&amp;":id","","New Adjustments")</f>
        <v/>
      </c>
      <c r="AP49" s="16" t="str" cm="1">
        <f t="array" aca="1" ref="AP49" ca="1">_xll.SUBNM(db_name&amp;":id","","New Adjustments")</f>
        <v/>
      </c>
      <c r="AQ49" s="16" t="str" cm="1">
        <f t="array" aca="1" ref="AQ49" ca="1">_xll.SUBNM(db_name&amp;":id","","New Adjustments")</f>
        <v/>
      </c>
      <c r="AR49" s="16" t="str" cm="1">
        <f t="array" aca="1" ref="AR49" ca="1">_xll.SUBNM(db_name&amp;":id","","New Adjustments")</f>
        <v/>
      </c>
      <c r="AT49" s="16" t="s">
        <v>6</v>
      </c>
      <c r="AU49" s="16" t="s">
        <v>6</v>
      </c>
      <c r="AV49" s="16" t="s">
        <v>6</v>
      </c>
      <c r="AW49" s="16" t="s">
        <v>6</v>
      </c>
      <c r="AX49" s="16" t="s">
        <v>6</v>
      </c>
    </row>
    <row r="50" spans="2:50" hidden="1" outlineLevel="1" x14ac:dyDescent="0.3">
      <c r="B50" s="6" t="s">
        <v>41</v>
      </c>
      <c r="C50" s="6" t="str">
        <f ca="1">IF($T$31="Collapse",$D50,$E50)</f>
        <v>{TM1DRILLDOWNMEMBER( {[programme].[]}, ALL, RECURSIVE )}</v>
      </c>
      <c r="D50" s="6" t="str">
        <f ca="1">"{TM1DRILLDOWNMEMBER( {[programme].[" &amp; $L$81 &amp; "]}, ALL, RECURSIVE )}"</f>
        <v>{TM1DRILLDOWNMEMBER( {[programme].[]}, ALL, RECURSIVE )}</v>
      </c>
      <c r="E50" s="6" t="str">
        <f ca="1">"{TM1DRILLDOWNMEMBER( {[programme].[" &amp; $L$81 &amp; "]}, ALL, RECURSIVE )}"</f>
        <v>{TM1DRILLDOWNMEMBER( {[programme].[]}, ALL, RECURSIVE )}</v>
      </c>
      <c r="P50" s="16" t="str">
        <f ca="1">P$47</f>
        <v/>
      </c>
      <c r="Q50" s="16" t="str">
        <f t="shared" ref="Q50:T50" ca="1" si="0">Q$47</f>
        <v/>
      </c>
      <c r="R50" s="16" t="str">
        <f t="shared" ca="1" si="0"/>
        <v/>
      </c>
      <c r="S50" s="16" t="str">
        <f t="shared" ca="1" si="0"/>
        <v/>
      </c>
      <c r="T50" s="16" t="str">
        <f t="shared" ca="1" si="0"/>
        <v/>
      </c>
      <c r="V50" s="16" t="str">
        <f ca="1">V$47</f>
        <v/>
      </c>
      <c r="W50" s="16" t="str">
        <f t="shared" ref="W50:AG50" ca="1" si="1">W$47</f>
        <v/>
      </c>
      <c r="X50" s="16" t="str">
        <f t="shared" ca="1" si="1"/>
        <v/>
      </c>
      <c r="Y50" s="16" t="str">
        <f t="shared" ca="1" si="1"/>
        <v/>
      </c>
      <c r="Z50" s="16" t="str">
        <f t="shared" ca="1" si="1"/>
        <v/>
      </c>
      <c r="AB50" s="16" t="str">
        <f t="shared" ca="1" si="1"/>
        <v/>
      </c>
      <c r="AC50" s="16" t="str">
        <f t="shared" ca="1" si="1"/>
        <v/>
      </c>
      <c r="AE50" s="16" t="str">
        <f t="shared" ca="1" si="1"/>
        <v/>
      </c>
      <c r="AF50" s="16" t="str">
        <f t="shared" ca="1" si="1"/>
        <v/>
      </c>
      <c r="AG50" s="16" t="str">
        <f t="shared" ca="1" si="1"/>
        <v/>
      </c>
      <c r="AH50" s="16" t="str">
        <f ca="1">AH$47</f>
        <v/>
      </c>
      <c r="AI50" s="16" t="str">
        <f t="shared" ref="AI50:AL50" ca="1" si="2">AI$47</f>
        <v/>
      </c>
      <c r="AJ50" s="16" t="str">
        <f t="shared" ca="1" si="2"/>
        <v/>
      </c>
      <c r="AK50" s="16" t="str">
        <f t="shared" ca="1" si="2"/>
        <v/>
      </c>
      <c r="AL50" s="16" t="str">
        <f t="shared" ca="1" si="2"/>
        <v/>
      </c>
      <c r="AN50" s="16" t="str">
        <f ca="1">AN$47</f>
        <v/>
      </c>
      <c r="AO50" s="16" t="str">
        <f t="shared" ref="AO50:AR50" ca="1" si="3">AO$47</f>
        <v/>
      </c>
      <c r="AP50" s="16" t="str">
        <f t="shared" ca="1" si="3"/>
        <v/>
      </c>
      <c r="AQ50" s="16" t="str">
        <f t="shared" ca="1" si="3"/>
        <v/>
      </c>
      <c r="AR50" s="16" t="str">
        <f t="shared" ca="1" si="3"/>
        <v/>
      </c>
      <c r="AT50" s="16" t="str">
        <f ca="1">AT$47</f>
        <v/>
      </c>
      <c r="AU50" s="16" t="str">
        <f t="shared" ref="AU50:AX50" ca="1" si="4">AU$47</f>
        <v/>
      </c>
      <c r="AV50" s="16" t="str">
        <f t="shared" ca="1" si="4"/>
        <v/>
      </c>
      <c r="AW50" s="16" t="str">
        <f t="shared" ca="1" si="4"/>
        <v/>
      </c>
      <c r="AX50" s="16" t="str">
        <f t="shared" ca="1" si="4"/>
        <v/>
      </c>
    </row>
    <row r="51" spans="2:50" hidden="1" outlineLevel="1" x14ac:dyDescent="0.3">
      <c r="B51" s="6" t="s">
        <v>42</v>
      </c>
      <c r="C51" s="6" t="str">
        <f ca="1">IF($T$31="Collapse",$D51,$E51)</f>
        <v>{[account].[]}</v>
      </c>
      <c r="D51" s="6" t="str">
        <f ca="1">"{[account].[" &amp; $L$82 &amp; "]}"</f>
        <v>{[account].[]}</v>
      </c>
      <c r="E51" s="6" t="str">
        <f ca="1">"{[account].[" &amp; $L$82 &amp; "]}"</f>
        <v>{[account].[]}</v>
      </c>
    </row>
    <row r="52" spans="2:50" hidden="1" outlineLevel="1" x14ac:dyDescent="0.3">
      <c r="B52" s="6" t="s">
        <v>43</v>
      </c>
      <c r="C52" s="6" t="str">
        <f ca="1">IF($T$31="Collapse",$D52,$E52)</f>
        <v>{[movement account].[]}</v>
      </c>
      <c r="D52" s="6" t="str">
        <f ca="1">"{[movement account].[" &amp; $L$83 &amp; "]}"</f>
        <v>{[movement account].[]}</v>
      </c>
      <c r="E52" s="6" t="str">
        <f ca="1">"{[movement account].[" &amp; $L$83 &amp; "]}"</f>
        <v>{[movement account].[]}</v>
      </c>
    </row>
    <row r="53" spans="2:50" hidden="1" outlineLevel="1" x14ac:dyDescent="0.3">
      <c r="B53" s="2" t="s">
        <v>0</v>
      </c>
      <c r="C53" s="6" t="str">
        <f t="array" aca="1" ref="C53" ca="1">_xll.SUBNM(db_name&amp;":}Clients","",psUser)</f>
        <v/>
      </c>
    </row>
    <row r="54" spans="2:50" hidden="1" outlineLevel="1" x14ac:dyDescent="0.3">
      <c r="B54" s="2" t="s">
        <v>1</v>
      </c>
      <c r="C54" s="6" t="str">
        <f t="array" aca="1" ref="C54" ca="1">_xll.SUBNM(db_name&amp;":spp","","Total SPP")</f>
        <v/>
      </c>
      <c r="S54" t="s">
        <v>63</v>
      </c>
      <c r="T54" cm="1">
        <f t="array" aca="1" ref="T54" ca="1">_xll.DIMIX(db_name&amp;":period",psFE2Year)</f>
        <v>0</v>
      </c>
    </row>
    <row r="55" spans="2:50" hidden="1" outlineLevel="1" x14ac:dyDescent="0.3">
      <c r="B55" s="2" t="s">
        <v>2</v>
      </c>
      <c r="C55" s="6" t="str">
        <f t="array" aca="1" ref="C55" ca="1">_xll.SUBNM(db_name&amp;":related entity","","Total related entity")</f>
        <v/>
      </c>
      <c r="S55" t="s">
        <v>64</v>
      </c>
      <c r="T55" cm="1">
        <f t="array" aca="1" ref="T55" ca="1">_xll.DIMIX(db_name&amp;":period",psFE3Year)</f>
        <v>0</v>
      </c>
    </row>
    <row r="56" spans="2:50" hidden="1" outlineLevel="1" x14ac:dyDescent="0.3">
      <c r="B56" s="2" t="s">
        <v>3</v>
      </c>
      <c r="C56" s="6" t="str">
        <f t="array" aca="1" ref="C56" ca="1">_xll.SUBNM(db_name&amp;":jurisdiction","","Total jurisdictions")</f>
        <v/>
      </c>
      <c r="T56" t="str">
        <f ca="1">IF(T55&gt;T54,"","Please select a valid FE3 period")</f>
        <v>Please select a valid FE3 period</v>
      </c>
    </row>
    <row r="57" spans="2:50" hidden="1" outlineLevel="1" x14ac:dyDescent="0.3">
      <c r="B57" s="2" t="s">
        <v>4</v>
      </c>
      <c r="C57" s="6" t="str">
        <f t="array" aca="1" ref="C57" ca="1">_xll.SUBNM(db_name&amp;":appropriation item","","Total approp item")</f>
        <v/>
      </c>
      <c r="S57" s="64" t="s">
        <v>62</v>
      </c>
      <c r="T57" s="65"/>
    </row>
    <row r="58" spans="2:50" hidden="1" outlineLevel="1" x14ac:dyDescent="0.3">
      <c r="B58" s="2" t="s">
        <v>5</v>
      </c>
      <c r="C58" s="6" t="str">
        <f t="array" aca="1" ref="C58" ca="1">_xll.SUBNM(db_name&amp;":id","","Total IDs")</f>
        <v/>
      </c>
      <c r="S58" s="11" t="s">
        <v>60</v>
      </c>
      <c r="T58" s="26" t="str" cm="1">
        <f t="array" aca="1" ref="T58" ca="1">_xll.SUBNM(db_name&amp;":period","",$S$50,)</f>
        <v/>
      </c>
    </row>
    <row r="59" spans="2:50" hidden="1" outlineLevel="1" x14ac:dyDescent="0.3">
      <c r="S59" s="11" t="s">
        <v>61</v>
      </c>
      <c r="T59" s="26" t="str" cm="1">
        <f t="array" aca="1" ref="T59" ca="1">_xll.SUBNM(db_name&amp;":period","",$T$50,)</f>
        <v/>
      </c>
    </row>
    <row r="60" spans="2:50" hidden="1" outlineLevel="1" x14ac:dyDescent="0.3">
      <c r="B60" s="2" t="s">
        <v>105</v>
      </c>
      <c r="C60" s="6" t="str">
        <f t="array" aca="1" ref="C60" ca="1">_xll.SUBNM(db_name&amp;":status","","data")</f>
        <v/>
      </c>
    </row>
    <row r="61" spans="2:50" hidden="1" outlineLevel="1" x14ac:dyDescent="0.3">
      <c r="B61" s="2" t="s">
        <v>106</v>
      </c>
      <c r="C61" s="6" t="str">
        <f t="array" aca="1" ref="C61" ca="1">_xll.SUBNM(db_name&amp;":outcome","","Total outcomes")</f>
        <v/>
      </c>
    </row>
    <row r="62" spans="2:50" hidden="1" outlineLevel="1" x14ac:dyDescent="0.3">
      <c r="B62" s="2" t="s">
        <v>107</v>
      </c>
      <c r="C62" s="6" t="str">
        <f t="array" aca="1" ref="C62" ca="1">_xll.SUBNM(db_name&amp;":function","","Total functions")</f>
        <v/>
      </c>
    </row>
    <row r="63" spans="2:50" hidden="1" outlineLevel="1" x14ac:dyDescent="0.3">
      <c r="B63" s="2" t="s">
        <v>108</v>
      </c>
      <c r="C63" s="6" t="str">
        <f t="array" aca="1" ref="C63" ca="1">_xll.SUBNM(db_name&amp;":reason","",$C$23,"CBMS code and description")</f>
        <v/>
      </c>
    </row>
    <row r="64" spans="2:50" hidden="1" outlineLevel="1" x14ac:dyDescent="0.3">
      <c r="B64" s="2" t="s">
        <v>109</v>
      </c>
      <c r="C64" s="6" t="str">
        <f t="array" aca="1" ref="C64" ca="1">_xll.SUBNM(db_name&amp;":appropriation type","","Total approp types")</f>
        <v/>
      </c>
    </row>
    <row r="65" spans="2:51" hidden="1" outlineLevel="1" x14ac:dyDescent="0.3"/>
    <row r="66" spans="2:51" hidden="1" outlineLevel="1" x14ac:dyDescent="0.3">
      <c r="B66" s="66" t="s">
        <v>79</v>
      </c>
      <c r="C66" s="67"/>
      <c r="D66" s="68"/>
    </row>
    <row r="67" spans="2:51" hidden="1" outlineLevel="1" x14ac:dyDescent="0.3">
      <c r="B67" s="2" t="s">
        <v>80</v>
      </c>
      <c r="C67" s="6" t="str" cm="1">
        <f t="array" aca="1" ref="C67" ca="1">_xll.VIEW(db_name&amp;":}ElementAttributes_measure code","!","!")</f>
        <v>dcceew_geus:}ElementAttributes_measure code</v>
      </c>
      <c r="D67" s="6"/>
    </row>
    <row r="68" spans="2:51" hidden="1" outlineLevel="1" x14ac:dyDescent="0.3">
      <c r="B68" s="2" t="s">
        <v>81</v>
      </c>
      <c r="C68" s="6" t="str">
        <f t="array" aca="1" ref="C68" ca="1">_xll.VIEW(db_name&amp;":programme details",psHLYear, psScenario,"!","!")</f>
        <v>dcceew_geus:programme details</v>
      </c>
    </row>
    <row r="69" spans="2:51" hidden="1" outlineLevel="1" x14ac:dyDescent="0.3">
      <c r="B69" s="2" t="s">
        <v>40</v>
      </c>
      <c r="C69" s="6" t="str" cm="1">
        <f t="array" aca="1" ref="C69" ca="1">_xll.VIEW(db_name&amp;":index",psHLYear, psScenario,"!","!","!")</f>
        <v>dcceew_geus:index</v>
      </c>
    </row>
    <row r="70" spans="2:51" hidden="1" outlineLevel="1" x14ac:dyDescent="0.3">
      <c r="B70" s="2" t="s">
        <v>104</v>
      </c>
      <c r="C70" s="6" t="str" cm="1">
        <f t="array" aca="1" ref="C70" ca="1">_xll.VIEW(db_name&amp;":AE adjustments",psHLYear, psScenario,$C$60,$C$61,$C$55,$C$62,$C$63,$C$54,$L$84,$C$64,"!",$C$57,"!",$L$82,"!",$C$56,"!")</f>
        <v>dcceew_geus:AE adjustments</v>
      </c>
    </row>
    <row r="71" spans="2:51" hidden="1" outlineLevel="1" x14ac:dyDescent="0.3"/>
    <row r="72" spans="2:51" hidden="1" outlineLevel="1" x14ac:dyDescent="0.3"/>
    <row r="73" spans="2:51" hidden="1" outlineLevel="1" x14ac:dyDescent="0.3"/>
    <row r="74" spans="2:51" hidden="1" outlineLevel="1" x14ac:dyDescent="0.3"/>
    <row r="75" spans="2:51" ht="39.75" customHeight="1" collapsed="1" x14ac:dyDescent="0.3"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 t="s">
        <v>95</v>
      </c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</row>
    <row r="76" spans="2:51" ht="4.5" customHeight="1" x14ac:dyDescent="0.3">
      <c r="R76" s="11"/>
      <c r="U76" s="11"/>
    </row>
    <row r="77" spans="2:51" ht="24" customHeight="1" x14ac:dyDescent="0.3">
      <c r="R77" s="11"/>
      <c r="U77" s="11"/>
    </row>
    <row r="78" spans="2:51" ht="1.5" customHeight="1" x14ac:dyDescent="0.3"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</row>
    <row r="79" spans="2:51" ht="4.5" customHeight="1" x14ac:dyDescent="0.3">
      <c r="R79" s="11"/>
      <c r="U79" s="11"/>
    </row>
    <row r="80" spans="2:51" x14ac:dyDescent="0.3">
      <c r="L80" s="64" t="s">
        <v>44</v>
      </c>
      <c r="M80" s="65"/>
      <c r="Q80" s="64" t="s">
        <v>126</v>
      </c>
      <c r="R80" s="65"/>
      <c r="U80" s="11"/>
    </row>
    <row r="81" spans="1:50" x14ac:dyDescent="0.3">
      <c r="K81" s="32" t="s">
        <v>47</v>
      </c>
      <c r="L81" s="70" t="str">
        <f ca="1">_xll.SUBNM(db_name&amp;":programme","","Administered Programmes","code and description")</f>
        <v/>
      </c>
      <c r="M81" s="70"/>
      <c r="N81" s="32"/>
      <c r="O81" s="11"/>
      <c r="Q81" s="11" t="s">
        <v>125</v>
      </c>
      <c r="R81" s="3" t="str">
        <f ca="1">_xll.SUBNM(db_name&amp;":sys_YesNo","","No",)</f>
        <v/>
      </c>
      <c r="U81" s="11"/>
    </row>
    <row r="82" spans="1:50" x14ac:dyDescent="0.3">
      <c r="K82" s="32" t="s">
        <v>45</v>
      </c>
      <c r="L82" s="70" t="str">
        <f ca="1">_xll.SUBNM(db_name&amp;":account","","2000000","code and description")</f>
        <v/>
      </c>
      <c r="M82" s="70"/>
      <c r="N82" s="32"/>
      <c r="O82" s="11"/>
      <c r="V82" s="69" t="str">
        <f ca="1">$T$56</f>
        <v>Please select a valid FE3 period</v>
      </c>
      <c r="W82" s="69"/>
    </row>
    <row r="83" spans="1:50" x14ac:dyDescent="0.3">
      <c r="K83" s="32" t="s">
        <v>46</v>
      </c>
      <c r="L83" s="70" t="str">
        <f ca="1">_xll.SUBNM(db_name&amp;":movement account","","Total movement","code and description")</f>
        <v/>
      </c>
      <c r="M83" s="70"/>
      <c r="N83" s="32"/>
      <c r="O83" s="11"/>
      <c r="P83" s="36" t="s">
        <v>102</v>
      </c>
    </row>
    <row r="84" spans="1:50" x14ac:dyDescent="0.3">
      <c r="K84" s="32" t="s">
        <v>59</v>
      </c>
      <c r="L84" s="70" t="str">
        <f ca="1">_xll.SUBNM(db_name&amp;":measure code","","Total Measures","CBMS code and description")</f>
        <v/>
      </c>
      <c r="M84" s="70"/>
      <c r="N84" s="32"/>
      <c r="O84" s="11"/>
      <c r="P84" s="36" t="s">
        <v>103</v>
      </c>
    </row>
    <row r="85" spans="1:50" ht="4.5" customHeight="1" x14ac:dyDescent="0.3"/>
    <row r="86" spans="1:50" x14ac:dyDescent="0.3">
      <c r="J86" s="71"/>
      <c r="K86" s="71"/>
      <c r="L86" s="71"/>
      <c r="M86" s="71"/>
      <c r="N86" s="71"/>
      <c r="P86" s="63" t="s">
        <v>113</v>
      </c>
      <c r="Q86" s="63"/>
      <c r="R86" s="63"/>
      <c r="S86" s="63"/>
      <c r="T86" s="63"/>
      <c r="V86" s="58" t="s">
        <v>114</v>
      </c>
      <c r="W86" s="58"/>
      <c r="X86" s="58"/>
      <c r="Y86" s="58"/>
      <c r="Z86" s="58"/>
      <c r="AB86" s="59" t="s">
        <v>77</v>
      </c>
      <c r="AC86" s="60"/>
      <c r="AE86" s="50" t="s">
        <v>78</v>
      </c>
      <c r="AF86" s="50"/>
      <c r="AG86" s="50"/>
      <c r="AH86" s="51" t="s">
        <v>110</v>
      </c>
      <c r="AI86" s="52"/>
      <c r="AJ86" s="52"/>
      <c r="AK86" s="52"/>
      <c r="AL86" s="53"/>
      <c r="AN86" s="63" t="s">
        <v>111</v>
      </c>
      <c r="AO86" s="63"/>
      <c r="AP86" s="63"/>
      <c r="AQ86" s="63"/>
      <c r="AR86" s="63"/>
      <c r="AT86" s="57" t="s">
        <v>112</v>
      </c>
      <c r="AU86" s="57"/>
      <c r="AV86" s="57"/>
      <c r="AW86" s="57"/>
      <c r="AX86" s="57"/>
    </row>
    <row r="87" spans="1:50" ht="18" customHeight="1" x14ac:dyDescent="0.3">
      <c r="J87" s="71"/>
      <c r="K87" s="71"/>
      <c r="L87" s="71"/>
      <c r="M87" s="71"/>
      <c r="N87" s="71"/>
      <c r="P87" s="63"/>
      <c r="Q87" s="63"/>
      <c r="R87" s="63"/>
      <c r="S87" s="63"/>
      <c r="T87" s="63"/>
      <c r="V87" s="58"/>
      <c r="W87" s="58"/>
      <c r="X87" s="58"/>
      <c r="Y87" s="58"/>
      <c r="Z87" s="58"/>
      <c r="AB87" s="61"/>
      <c r="AC87" s="62"/>
      <c r="AE87" s="28" t="str">
        <f ca="1">AE$46</f>
        <v>*KEY_ERR</v>
      </c>
      <c r="AF87" s="28" t="str">
        <f t="shared" ref="AF87:AG87" ca="1" si="5">AF$46</f>
        <v>*KEY_ERR</v>
      </c>
      <c r="AG87" s="28" t="str">
        <f t="shared" ca="1" si="5"/>
        <v>*KEY_ERR</v>
      </c>
      <c r="AH87" s="54"/>
      <c r="AI87" s="55"/>
      <c r="AJ87" s="55"/>
      <c r="AK87" s="55"/>
      <c r="AL87" s="56"/>
      <c r="AN87" s="63"/>
      <c r="AO87" s="63"/>
      <c r="AP87" s="63"/>
      <c r="AQ87" s="63"/>
      <c r="AR87" s="63"/>
      <c r="AT87" s="57"/>
      <c r="AU87" s="57"/>
      <c r="AV87" s="57"/>
      <c r="AW87" s="57"/>
      <c r="AX87" s="57"/>
    </row>
    <row r="88" spans="1:50" x14ac:dyDescent="0.3">
      <c r="J88" s="71"/>
      <c r="K88" s="71"/>
      <c r="L88" s="71"/>
      <c r="M88" s="71"/>
      <c r="N88" s="71"/>
      <c r="P88" s="39" t="s">
        <v>68</v>
      </c>
      <c r="Q88" s="39" t="s">
        <v>72</v>
      </c>
      <c r="R88" s="39" t="s">
        <v>69</v>
      </c>
      <c r="S88" s="39" t="s">
        <v>70</v>
      </c>
      <c r="T88" s="39" t="s">
        <v>71</v>
      </c>
      <c r="V88" s="40" t="s">
        <v>68</v>
      </c>
      <c r="W88" s="40" t="s">
        <v>72</v>
      </c>
      <c r="X88" s="40" t="s">
        <v>69</v>
      </c>
      <c r="Y88" s="40" t="s">
        <v>70</v>
      </c>
      <c r="Z88" s="40" t="s">
        <v>71</v>
      </c>
      <c r="AB88" s="29" t="s">
        <v>70</v>
      </c>
      <c r="AC88" s="29" t="s">
        <v>71</v>
      </c>
      <c r="AE88" s="29" t="s">
        <v>73</v>
      </c>
      <c r="AF88" s="29" t="s">
        <v>74</v>
      </c>
      <c r="AG88" s="29" t="s">
        <v>75</v>
      </c>
      <c r="AH88" s="30" t="s">
        <v>68</v>
      </c>
      <c r="AI88" s="30" t="s">
        <v>72</v>
      </c>
      <c r="AJ88" s="30" t="s">
        <v>69</v>
      </c>
      <c r="AK88" s="30" t="s">
        <v>70</v>
      </c>
      <c r="AL88" s="30" t="s">
        <v>71</v>
      </c>
      <c r="AN88" s="39" t="s">
        <v>68</v>
      </c>
      <c r="AO88" s="39" t="s">
        <v>72</v>
      </c>
      <c r="AP88" s="39" t="s">
        <v>69</v>
      </c>
      <c r="AQ88" s="39" t="s">
        <v>70</v>
      </c>
      <c r="AR88" s="39" t="s">
        <v>71</v>
      </c>
      <c r="AT88" s="31" t="s">
        <v>68</v>
      </c>
      <c r="AU88" s="31" t="s">
        <v>72</v>
      </c>
      <c r="AV88" s="31" t="s">
        <v>69</v>
      </c>
      <c r="AW88" s="31" t="s">
        <v>70</v>
      </c>
      <c r="AX88" s="31" t="s">
        <v>71</v>
      </c>
    </row>
    <row r="89" spans="1:50" ht="29.4" thickBot="1" x14ac:dyDescent="0.35">
      <c r="F89" t="s">
        <v>82</v>
      </c>
      <c r="J89" s="16" t="s">
        <v>58</v>
      </c>
      <c r="K89" s="16" t="s">
        <v>85</v>
      </c>
      <c r="L89" s="35" t="s">
        <v>99</v>
      </c>
      <c r="M89" s="35" t="s">
        <v>100</v>
      </c>
      <c r="N89" s="35" t="s">
        <v>132</v>
      </c>
      <c r="P89" s="39" t="str">
        <f ca="1">P$50</f>
        <v/>
      </c>
      <c r="Q89" s="39" t="str">
        <f t="shared" ref="Q89:T89" ca="1" si="6">Q$50</f>
        <v/>
      </c>
      <c r="R89" s="39" t="str">
        <f t="shared" ca="1" si="6"/>
        <v/>
      </c>
      <c r="S89" s="39" t="str">
        <f t="shared" ca="1" si="6"/>
        <v/>
      </c>
      <c r="T89" s="39" t="str">
        <f t="shared" ca="1" si="6"/>
        <v/>
      </c>
      <c r="V89" s="40" t="str">
        <f ca="1">V$50</f>
        <v/>
      </c>
      <c r="W89" s="40" t="str">
        <f t="shared" ref="W89:Z89" ca="1" si="7">W$50</f>
        <v/>
      </c>
      <c r="X89" s="40" t="str">
        <f t="shared" ca="1" si="7"/>
        <v/>
      </c>
      <c r="Y89" s="40" t="str">
        <f t="shared" ca="1" si="7"/>
        <v/>
      </c>
      <c r="Z89" s="40" t="str">
        <f t="shared" ca="1" si="7"/>
        <v/>
      </c>
      <c r="AB89" s="29" t="str">
        <f t="shared" ref="AB89:AC89" ca="1" si="8">AB$50</f>
        <v/>
      </c>
      <c r="AC89" s="29" t="str">
        <f t="shared" ca="1" si="8"/>
        <v/>
      </c>
      <c r="AE89" s="29" t="str">
        <f ca="1">AE$50</f>
        <v/>
      </c>
      <c r="AF89" s="29" t="str">
        <f t="shared" ref="AF89:AG89" ca="1" si="9">AF$50</f>
        <v/>
      </c>
      <c r="AG89" s="29" t="str">
        <f t="shared" ca="1" si="9"/>
        <v/>
      </c>
      <c r="AH89" s="30" t="str">
        <f ca="1">AH$50</f>
        <v/>
      </c>
      <c r="AI89" s="30" t="str">
        <f t="shared" ref="AI89:AL89" ca="1" si="10">AI$50</f>
        <v/>
      </c>
      <c r="AJ89" s="30" t="str">
        <f t="shared" ca="1" si="10"/>
        <v/>
      </c>
      <c r="AK89" s="30" t="str">
        <f t="shared" ca="1" si="10"/>
        <v/>
      </c>
      <c r="AL89" s="30" t="str">
        <f t="shared" ca="1" si="10"/>
        <v/>
      </c>
      <c r="AN89" s="39" t="str">
        <f ca="1">AN$50</f>
        <v/>
      </c>
      <c r="AO89" s="39" t="str">
        <f t="shared" ref="AO89:AR89" ca="1" si="11">AO$50</f>
        <v/>
      </c>
      <c r="AP89" s="39" t="str">
        <f t="shared" ca="1" si="11"/>
        <v/>
      </c>
      <c r="AQ89" s="39" t="str">
        <f t="shared" ca="1" si="11"/>
        <v/>
      </c>
      <c r="AR89" s="39" t="str">
        <f t="shared" ca="1" si="11"/>
        <v/>
      </c>
      <c r="AT89" s="31" t="str">
        <f ca="1">AT$50</f>
        <v/>
      </c>
      <c r="AU89" s="31" t="str">
        <f t="shared" ref="AU89:AX89" ca="1" si="12">AU$50</f>
        <v/>
      </c>
      <c r="AV89" s="31" t="str">
        <f t="shared" ca="1" si="12"/>
        <v/>
      </c>
      <c r="AW89" s="31" t="str">
        <f t="shared" ca="1" si="12"/>
        <v/>
      </c>
      <c r="AX89" s="31" t="str">
        <f t="shared" ca="1" si="12"/>
        <v/>
      </c>
    </row>
    <row r="90" spans="1:50" ht="15" thickBot="1" x14ac:dyDescent="0.35">
      <c r="A90" t="str" cm="1">
        <f t="array" aca="1" ref="A90" ca="1">IF(_xll.TM1RPTELISCONSOLIDATED($B$90,$B90),IF(_xll.TM1RPTELLEV($B$90,$B90)&lt;=3,_xll.TM1RPTELLEV($B$90,$B90),"D"),"N")</f>
        <v>N</v>
      </c>
      <c r="B90" s="48" t="str">
        <f t="array" aca="1" ref="B90" ca="1">_xll.TM1RPTROW($C$47,db_name&amp;":programme","","","code and description",0,$C$50)</f>
        <v/>
      </c>
      <c r="C90" s="49" t="str">
        <f t="array" aca="1" ref="C90" ca="1">_xll.TM1RPTROW($C$47,db_name&amp;":account","","","",0,$C$51)</f>
        <v/>
      </c>
      <c r="D90" s="49" t="str">
        <f t="array" aca="1" ref="D90" ca="1">_xll.TM1RPTROW($C$47,db_name&amp;":movement account","","","",0,$C$52)</f>
        <v/>
      </c>
      <c r="E90" s="6"/>
      <c r="F90" s="6"/>
      <c r="G90" s="6"/>
      <c r="H90" s="6"/>
      <c r="J90" s="22" t="str">
        <f ca="1">$B90</f>
        <v/>
      </c>
      <c r="K90" s="41" t="str" cm="1">
        <f t="array" aca="1" ref="K90" ca="1">_xll.DBR($C$68,psHLYear,psScenario,$B90,K$49)</f>
        <v>*KEY_ERR</v>
      </c>
      <c r="L90" s="45" t="str" cm="1">
        <f t="array" aca="1" ref="L90" ca="1">_xll.DBR($C$68,psHLYear,psScenario,$B90,L$49)</f>
        <v>*KEY_ERR</v>
      </c>
      <c r="M90" s="43" t="str" cm="1">
        <f t="array" aca="1" ref="M90" ca="1">_xll.DBR($C$68,psHLYear,psScenario,$B90,M$49)</f>
        <v>*KEY_ERR</v>
      </c>
      <c r="N90" s="33" t="str" cm="1">
        <f t="array" aca="1" ref="N90" ca="1">_xll.DBR($C$68,psHLYear,psScenario,$B90,N$49)</f>
        <v>*KEY_ERR</v>
      </c>
      <c r="P90" s="20" t="str" cm="1">
        <f t="array" aca="1" ref="P90" ca="1">_xll.DBRW($C$47,$B90,$C$54,$C90,$D90,$C$55,$C$56,$C$57,$L$84,$C$58,P$50,P$49)</f>
        <v/>
      </c>
      <c r="Q90" s="20" t="str" cm="1">
        <f t="array" aca="1" ref="Q90" ca="1">_xll.DBRW($C$47,$B90,$C$54,$C90,$D90,$C$55,$C$56,$C$57,$L$84,$C$58,Q$50,Q$49)</f>
        <v/>
      </c>
      <c r="R90" s="20" t="str" cm="1">
        <f t="array" aca="1" ref="R90" ca="1">_xll.DBRW($C$47,$B90,$C$54,$C90,$D90,$C$55,$C$56,$C$57,$L$84,$C$58,R$50,R$49)</f>
        <v/>
      </c>
      <c r="S90" s="20" t="str" cm="1">
        <f t="array" aca="1" ref="S90" ca="1">_xll.DBRW($C$47,$B90,$C$54,$C90,$D90,$C$55,$C$56,$C$57,$L$84,$C$58,S$50,S$49)</f>
        <v/>
      </c>
      <c r="T90" s="20" t="str" cm="1">
        <f t="array" aca="1" ref="T90" ca="1">_xll.DBRW($C$47,$B90,$C$54,$C90,$D90,$C$55,$C$56,$C$57,$L$84,$C$58,T$50,T$49)</f>
        <v/>
      </c>
      <c r="V90" s="37" t="str" cm="1">
        <f t="array" aca="1" ref="V90" ca="1">IF($K90="",0,_xll.DBR($C$69,psHLYear,psScenario,$K90,V$49,V$50))</f>
        <v>*KEY_ERR</v>
      </c>
      <c r="W90" s="37" t="str" cm="1">
        <f t="array" aca="1" ref="W90" ca="1">IF($K90="",0,_xll.DBR($C$69,psHLYear,psScenario,$K90,W$49,W$50))</f>
        <v>*KEY_ERR</v>
      </c>
      <c r="X90" s="37" t="str" cm="1">
        <f t="array" aca="1" ref="X90" ca="1">IF($K90="",0,_xll.DBR($C$69,psHLYear,psScenario,$K90,X$49,X$50))</f>
        <v>*KEY_ERR</v>
      </c>
      <c r="Y90" s="37" t="str" cm="1">
        <f t="array" aca="1" ref="Y90" ca="1">IF($K90="",0,_xll.DBR($C$69,psHLYear,psScenario,$K90,Y$49,Y$50))</f>
        <v>*KEY_ERR</v>
      </c>
      <c r="Z90" s="37" t="str" cm="1">
        <f t="array" aca="1" ref="Z90" ca="1">IF($K90="",0,_xll.DBR($C$69,psHLYear,psScenario,$K90,Z$49,Z$50))</f>
        <v>*KEY_ERR</v>
      </c>
      <c r="AA90" s="1"/>
      <c r="AB90" s="20" t="str" cm="1">
        <f t="array" aca="1" ref="AB90" ca="1">_xll.DBRW($C$47,$B90,$C$54,$C90,$D90,$C$55,$C$56,$C$57,$L$84,$C$58,AB$50,AB$49)</f>
        <v/>
      </c>
      <c r="AC90" s="20" t="str" cm="1">
        <f t="array" aca="1" ref="AC90" ca="1">_xll.DBRW($C$47,$B90,$C$54,$C90,$D90,$C$55,$C$56,$C$57,$L$84,$C$58,AC$50,AC$49)</f>
        <v/>
      </c>
      <c r="AD90" s="1"/>
      <c r="AE90" s="20" t="str" cm="1">
        <f t="array" aca="1" ref="AE90" ca="1">_xll.DBRW($C$47,$B90,$C$54,$C90,$D90,$C$55,$C$56,$C$57,$L$84,$C$58,AE$50,AE$49)</f>
        <v/>
      </c>
      <c r="AF90" s="20" t="str" cm="1">
        <f t="array" aca="1" ref="AF90" ca="1">_xll.DBRW($C$47,$B90,$C$54,$C90,$D90,$C$55,$C$56,$C$57,$L$84,$C$58,AF$50,AF$49)</f>
        <v/>
      </c>
      <c r="AG90" s="20" t="str" cm="1">
        <f t="array" aca="1" ref="AG90" ca="1">_xll.DBRW($C$47,$B90,$C$54,$C90,$D90,$C$55,$C$56,$C$57,$L$84,$C$58,AG$50,AG$49)</f>
        <v/>
      </c>
      <c r="AH90" s="20" t="str" cm="1">
        <f t="array" aca="1" ref="AH90" ca="1">_xll.DBRW($C$47,$B90,$C$54,$C90,$D90,$C$55,$C$56,$C$57,$L$84,$C$58,AH$50,AH$49)</f>
        <v/>
      </c>
      <c r="AI90" s="20" t="str" cm="1">
        <f t="array" aca="1" ref="AI90" ca="1">_xll.DBRW($C$47,$B90,$C$54,$C90,$D90,$C$55,$C$56,$C$57,$L$84,$C$58,AI$50,AI$49)</f>
        <v/>
      </c>
      <c r="AJ90" s="20" t="str" cm="1">
        <f t="array" aca="1" ref="AJ90" ca="1">_xll.DBRW($C$47,$B90,$C$54,$C90,$D90,$C$55,$C$56,$C$57,$L$84,$C$58,AJ$50,AJ$49)</f>
        <v/>
      </c>
      <c r="AK90" s="20" t="str" cm="1">
        <f t="array" aca="1" ref="AK90" ca="1">_xll.DBRW($C$47,$B90,$C$54,$C90,$D90,$C$55,$C$56,$C$57,$L$84,$C$58,AK$50,AK$49)</f>
        <v/>
      </c>
      <c r="AL90" s="20" t="str" cm="1">
        <f t="array" aca="1" ref="AL90" ca="1">_xll.DBRW($C$47,$B90,$C$54,$C90,$D90,$C$55,$C$56,$C$57,$L$84,$C$58,AL$50,AL$49)</f>
        <v/>
      </c>
      <c r="AM90" s="1"/>
      <c r="AN90" s="20" t="str" cm="1">
        <f t="array" aca="1" ref="AN90" ca="1">_xll.DBR($C$70,psHLYear, psScenario,$C$60,$C$61,$C$55,$C$62,$C$63,$C$54,$L$84,$C$64,$D90,$C$57,$B90,$L$82,AN$49,$C$56,AN$50)</f>
        <v>*KEY_ERR</v>
      </c>
      <c r="AO90" s="20" t="str" cm="1">
        <f t="array" aca="1" ref="AO90" ca="1">_xll.DBR($C$70,psHLYear, psScenario,$C$60,$C$61,$C$55,$C$62,$C$63,$C$54,$L$84,$C$64,$D90,$C$57,$B90,$L$82,AO$49,$C$56,AO$50)</f>
        <v>*KEY_ERR</v>
      </c>
      <c r="AP90" s="20" t="str" cm="1">
        <f t="array" aca="1" ref="AP90" ca="1">_xll.DBR($C$70,psHLYear, psScenario,$C$60,$C$61,$C$55,$C$62,$C$63,$C$54,$L$84,$C$64,$D90,$C$57,$B90,$L$82,AP$49,$C$56,AP$50)</f>
        <v>*KEY_ERR</v>
      </c>
      <c r="AQ90" s="20" t="str" cm="1">
        <f t="array" aca="1" ref="AQ90" ca="1">_xll.DBR($C$70,psHLYear, psScenario,$C$60,$C$61,$C$55,$C$62,$C$63,$C$54,$L$84,$C$64,$D90,$C$57,$B90,$L$82,AQ$49,$C$56,AQ$50)</f>
        <v>*KEY_ERR</v>
      </c>
      <c r="AR90" s="20" t="str" cm="1">
        <f t="array" aca="1" ref="AR90" ca="1">_xll.DBR($C$70,psHLYear, psScenario,$C$60,$C$61,$C$55,$C$62,$C$63,$C$54,$L$84,$C$64,$D90,$C$57,$B90,$L$82,AR$49,$C$56,AR$50)</f>
        <v>*KEY_ERR</v>
      </c>
      <c r="AS90" s="1"/>
      <c r="AT90" s="20" t="e">
        <f ca="1">AN90-AH90</f>
        <v>#VALUE!</v>
      </c>
      <c r="AU90" s="20" t="e">
        <f t="shared" ref="AU90:AX90" ca="1" si="13">AO90-AI90</f>
        <v>#VALUE!</v>
      </c>
      <c r="AV90" s="20" t="e">
        <f t="shared" ca="1" si="13"/>
        <v>#VALUE!</v>
      </c>
      <c r="AW90" s="20" t="e">
        <f t="shared" ca="1" si="13"/>
        <v>#VALUE!</v>
      </c>
      <c r="AX90" s="20" t="e">
        <f t="shared" ca="1" si="13"/>
        <v>#VALUE!</v>
      </c>
    </row>
  </sheetData>
  <sheetProtection sheet="1" objects="1" scenarios="1"/>
  <mergeCells count="23">
    <mergeCell ref="J88:N88"/>
    <mergeCell ref="B11:D11"/>
    <mergeCell ref="B19:D19"/>
    <mergeCell ref="B46:D46"/>
    <mergeCell ref="B27:D27"/>
    <mergeCell ref="S57:T57"/>
    <mergeCell ref="P86:T87"/>
    <mergeCell ref="B66:D66"/>
    <mergeCell ref="V82:W82"/>
    <mergeCell ref="L80:M80"/>
    <mergeCell ref="L81:M81"/>
    <mergeCell ref="L82:M82"/>
    <mergeCell ref="L83:M83"/>
    <mergeCell ref="L84:M84"/>
    <mergeCell ref="Q80:R80"/>
    <mergeCell ref="J86:N86"/>
    <mergeCell ref="J87:N87"/>
    <mergeCell ref="AE86:AG86"/>
    <mergeCell ref="AH86:AL87"/>
    <mergeCell ref="AT86:AX87"/>
    <mergeCell ref="V86:Z87"/>
    <mergeCell ref="AB86:AC87"/>
    <mergeCell ref="AN86:AR87"/>
  </mergeCells>
  <pageMargins left="0.70866141732283472" right="0.70866141732283472" top="0.74803149606299213" bottom="0.74803149606299213" header="0.31496062992125984" footer="0.31496062992125984"/>
  <pageSetup paperSize="9" scale="28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41" r:id="rId4" name="TIButton4">
          <controlPr defaultSize="0" print="0" autoLine="0" autoPict="0" r:id="rId5">
            <anchor moveWithCells="1" sizeWithCells="1">
              <from>
                <xdr:col>9</xdr:col>
                <xdr:colOff>3528060</xdr:colOff>
                <xdr:row>76</xdr:row>
                <xdr:rowOff>7620</xdr:rowOff>
              </from>
              <to>
                <xdr:col>10</xdr:col>
                <xdr:colOff>228600</xdr:colOff>
                <xdr:row>76</xdr:row>
                <xdr:rowOff>259080</xdr:rowOff>
              </to>
            </anchor>
          </controlPr>
        </control>
      </mc:Choice>
      <mc:Fallback>
        <control shapeId="1041" r:id="rId4" name="TIButton4"/>
      </mc:Fallback>
    </mc:AlternateContent>
    <mc:AlternateContent xmlns:mc="http://schemas.openxmlformats.org/markup-compatibility/2006">
      <mc:Choice Requires="x14">
        <control shapeId="1039" r:id="rId6" name="TIButton12">
          <controlPr defaultSize="0" print="0" autoLine="0" autoPict="0" r:id="rId7">
            <anchor moveWithCells="1" sizeWithCells="1">
              <from>
                <xdr:col>17</xdr:col>
                <xdr:colOff>175260</xdr:colOff>
                <xdr:row>76</xdr:row>
                <xdr:rowOff>7620</xdr:rowOff>
              </from>
              <to>
                <xdr:col>18</xdr:col>
                <xdr:colOff>365760</xdr:colOff>
                <xdr:row>76</xdr:row>
                <xdr:rowOff>259080</xdr:rowOff>
              </to>
            </anchor>
          </controlPr>
        </control>
      </mc:Choice>
      <mc:Fallback>
        <control shapeId="1039" r:id="rId6" name="TIButton12"/>
      </mc:Fallback>
    </mc:AlternateContent>
    <mc:AlternateContent xmlns:mc="http://schemas.openxmlformats.org/markup-compatibility/2006">
      <mc:Choice Requires="x14">
        <control shapeId="1032" r:id="rId8" name="TIButton6">
          <controlPr defaultSize="0" print="0" autoLine="0" r:id="rId9">
            <anchor moveWithCells="1" sizeWithCells="1">
              <from>
                <xdr:col>9</xdr:col>
                <xdr:colOff>2468880</xdr:colOff>
                <xdr:row>76</xdr:row>
                <xdr:rowOff>7620</xdr:rowOff>
              </from>
              <to>
                <xdr:col>9</xdr:col>
                <xdr:colOff>3512820</xdr:colOff>
                <xdr:row>76</xdr:row>
                <xdr:rowOff>259080</xdr:rowOff>
              </to>
            </anchor>
          </controlPr>
        </control>
      </mc:Choice>
      <mc:Fallback>
        <control shapeId="1032" r:id="rId8" name="TIButton6"/>
      </mc:Fallback>
    </mc:AlternateContent>
    <mc:AlternateContent xmlns:mc="http://schemas.openxmlformats.org/markup-compatibility/2006">
      <mc:Choice Requires="x14">
        <control shapeId="1029" r:id="rId10" name="TIButton5">
          <controlPr defaultSize="0" print="0" autoLine="0" r:id="rId11">
            <anchor moveWithCells="1" sizeWithCells="1">
              <from>
                <xdr:col>25</xdr:col>
                <xdr:colOff>518160</xdr:colOff>
                <xdr:row>75</xdr:row>
                <xdr:rowOff>30480</xdr:rowOff>
              </from>
              <to>
                <xdr:col>25</xdr:col>
                <xdr:colOff>830580</xdr:colOff>
                <xdr:row>76</xdr:row>
                <xdr:rowOff>289560</xdr:rowOff>
              </to>
            </anchor>
          </controlPr>
        </control>
      </mc:Choice>
      <mc:Fallback>
        <control shapeId="1029" r:id="rId10" name="TIButton5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r:id="rId13">
            <anchor moveWithCells="1" sizeWithCells="1">
              <from>
                <xdr:col>8</xdr:col>
                <xdr:colOff>38100</xdr:colOff>
                <xdr:row>76</xdr:row>
                <xdr:rowOff>7620</xdr:rowOff>
              </from>
              <to>
                <xdr:col>9</xdr:col>
                <xdr:colOff>617220</xdr:colOff>
                <xdr:row>76</xdr:row>
                <xdr:rowOff>259080</xdr:rowOff>
              </to>
            </anchor>
          </controlPr>
        </control>
      </mc:Choice>
      <mc:Fallback>
        <control shapeId="1025" r:id="rId12" name="TIButton1"/>
      </mc:Fallback>
    </mc:AlternateContent>
    <mc:AlternateContent xmlns:mc="http://schemas.openxmlformats.org/markup-compatibility/2006">
      <mc:Choice Requires="x14">
        <control shapeId="1027" r:id="rId14" name="TIButton3">
          <controlPr defaultSize="0" print="0" autoLine="0" r:id="rId15">
            <anchor moveWithCells="1" sizeWithCells="1">
              <from>
                <xdr:col>9</xdr:col>
                <xdr:colOff>1684020</xdr:colOff>
                <xdr:row>76</xdr:row>
                <xdr:rowOff>7620</xdr:rowOff>
              </from>
              <to>
                <xdr:col>9</xdr:col>
                <xdr:colOff>2446020</xdr:colOff>
                <xdr:row>76</xdr:row>
                <xdr:rowOff>259080</xdr:rowOff>
              </to>
            </anchor>
          </controlPr>
        </control>
      </mc:Choice>
      <mc:Fallback>
        <control shapeId="1027" r:id="rId14" name="TIButton3"/>
      </mc:Fallback>
    </mc:AlternateContent>
    <mc:AlternateContent xmlns:mc="http://schemas.openxmlformats.org/markup-compatibility/2006">
      <mc:Choice Requires="x14">
        <control shapeId="1033" r:id="rId16" name="TIButton2">
          <controlPr defaultSize="0" print="0" autoLine="0" r:id="rId17">
            <anchor moveWithCells="1" sizeWithCells="1">
              <from>
                <xdr:col>18</xdr:col>
                <xdr:colOff>388620</xdr:colOff>
                <xdr:row>76</xdr:row>
                <xdr:rowOff>7620</xdr:rowOff>
              </from>
              <to>
                <xdr:col>19</xdr:col>
                <xdr:colOff>259080</xdr:colOff>
                <xdr:row>76</xdr:row>
                <xdr:rowOff>259080</xdr:rowOff>
              </to>
            </anchor>
          </controlPr>
        </control>
      </mc:Choice>
      <mc:Fallback>
        <control shapeId="1033" r:id="rId16" name="TIButton2"/>
      </mc:Fallback>
    </mc:AlternateContent>
    <mc:AlternateContent xmlns:mc="http://schemas.openxmlformats.org/markup-compatibility/2006">
      <mc:Choice Requires="x14">
        <control shapeId="1034" r:id="rId18" name="TIButton7">
          <controlPr defaultSize="0" print="0" autoLine="0" autoPict="0" r:id="rId19">
            <anchor moveWithCells="1" sizeWithCells="1">
              <from>
                <xdr:col>12</xdr:col>
                <xdr:colOff>441960</xdr:colOff>
                <xdr:row>76</xdr:row>
                <xdr:rowOff>7620</xdr:rowOff>
              </from>
              <to>
                <xdr:col>13</xdr:col>
                <xdr:colOff>708660</xdr:colOff>
                <xdr:row>76</xdr:row>
                <xdr:rowOff>259080</xdr:rowOff>
              </to>
            </anchor>
          </controlPr>
        </control>
      </mc:Choice>
      <mc:Fallback>
        <control shapeId="1034" r:id="rId18" name="TIButton7"/>
      </mc:Fallback>
    </mc:AlternateContent>
    <mc:AlternateContent xmlns:mc="http://schemas.openxmlformats.org/markup-compatibility/2006">
      <mc:Choice Requires="x14">
        <control shapeId="1035" r:id="rId20" name="TIButton8">
          <controlPr defaultSize="0" print="0" autoLine="0" r:id="rId21">
            <anchor moveWithCells="1" sizeWithCells="1">
              <from>
                <xdr:col>10</xdr:col>
                <xdr:colOff>266700</xdr:colOff>
                <xdr:row>76</xdr:row>
                <xdr:rowOff>7620</xdr:rowOff>
              </from>
              <to>
                <xdr:col>11</xdr:col>
                <xdr:colOff>441960</xdr:colOff>
                <xdr:row>76</xdr:row>
                <xdr:rowOff>259080</xdr:rowOff>
              </to>
            </anchor>
          </controlPr>
        </control>
      </mc:Choice>
      <mc:Fallback>
        <control shapeId="1035" r:id="rId20" name="TIButton8"/>
      </mc:Fallback>
    </mc:AlternateContent>
    <mc:AlternateContent xmlns:mc="http://schemas.openxmlformats.org/markup-compatibility/2006">
      <mc:Choice Requires="x14">
        <control shapeId="1036" r:id="rId22" name="TIButton9">
          <controlPr defaultSize="0" print="0" autoLine="0" r:id="rId23">
            <anchor moveWithCells="1" sizeWithCells="1">
              <from>
                <xdr:col>11</xdr:col>
                <xdr:colOff>457200</xdr:colOff>
                <xdr:row>76</xdr:row>
                <xdr:rowOff>7620</xdr:rowOff>
              </from>
              <to>
                <xdr:col>12</xdr:col>
                <xdr:colOff>419100</xdr:colOff>
                <xdr:row>76</xdr:row>
                <xdr:rowOff>259080</xdr:rowOff>
              </to>
            </anchor>
          </controlPr>
        </control>
      </mc:Choice>
      <mc:Fallback>
        <control shapeId="1036" r:id="rId22" name="TIButton9"/>
      </mc:Fallback>
    </mc:AlternateContent>
    <mc:AlternateContent xmlns:mc="http://schemas.openxmlformats.org/markup-compatibility/2006">
      <mc:Choice Requires="x14">
        <control shapeId="1037" r:id="rId24" name="TIButton10">
          <controlPr defaultSize="0" print="0" autoLine="0" r:id="rId25">
            <anchor moveWithCells="1" sizeWithCells="1">
              <from>
                <xdr:col>15</xdr:col>
                <xdr:colOff>60960</xdr:colOff>
                <xdr:row>76</xdr:row>
                <xdr:rowOff>7620</xdr:rowOff>
              </from>
              <to>
                <xdr:col>16</xdr:col>
                <xdr:colOff>99060</xdr:colOff>
                <xdr:row>76</xdr:row>
                <xdr:rowOff>259080</xdr:rowOff>
              </to>
            </anchor>
          </controlPr>
        </control>
      </mc:Choice>
      <mc:Fallback>
        <control shapeId="1037" r:id="rId24" name="TIButton10"/>
      </mc:Fallback>
    </mc:AlternateContent>
    <mc:AlternateContent xmlns:mc="http://schemas.openxmlformats.org/markup-compatibility/2006">
      <mc:Choice Requires="x14">
        <control shapeId="1038" r:id="rId26" name="TIButton11">
          <controlPr defaultSize="0" print="0" autoLine="0" r:id="rId27">
            <anchor moveWithCells="1" sizeWithCells="1">
              <from>
                <xdr:col>16</xdr:col>
                <xdr:colOff>114300</xdr:colOff>
                <xdr:row>76</xdr:row>
                <xdr:rowOff>7620</xdr:rowOff>
              </from>
              <to>
                <xdr:col>17</xdr:col>
                <xdr:colOff>152400</xdr:colOff>
                <xdr:row>76</xdr:row>
                <xdr:rowOff>259080</xdr:rowOff>
              </to>
            </anchor>
          </controlPr>
        </control>
      </mc:Choice>
      <mc:Fallback>
        <control shapeId="1038" r:id="rId26" name="TIButton11"/>
      </mc:Fallback>
    </mc:AlternateContent>
    <mc:AlternateContent xmlns:mc="http://schemas.openxmlformats.org/markup-compatibility/2006">
      <mc:Choice Requires="x14">
        <control shapeId="1040" r:id="rId28" name="TIButton13">
          <controlPr defaultSize="0" print="0" autoLine="0" r:id="rId29">
            <anchor moveWithCells="1" sizeWithCells="1">
              <from>
                <xdr:col>9</xdr:col>
                <xdr:colOff>640080</xdr:colOff>
                <xdr:row>76</xdr:row>
                <xdr:rowOff>7620</xdr:rowOff>
              </from>
              <to>
                <xdr:col>9</xdr:col>
                <xdr:colOff>1661160</xdr:colOff>
                <xdr:row>76</xdr:row>
                <xdr:rowOff>259080</xdr:rowOff>
              </to>
            </anchor>
          </controlPr>
        </control>
      </mc:Choice>
      <mc:Fallback>
        <control shapeId="1040" r:id="rId28" name="TIButton1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4"/>
  <sheetViews>
    <sheetView workbookViewId="0"/>
  </sheetViews>
  <sheetFormatPr defaultRowHeight="14.4" x14ac:dyDescent="0.3"/>
  <sheetData>
    <row r="1" spans="1:1" x14ac:dyDescent="0.3">
      <c r="A1" t="s">
        <v>133</v>
      </c>
    </row>
    <row r="2" spans="1:1" x14ac:dyDescent="0.3">
      <c r="A2" t="s">
        <v>86</v>
      </c>
    </row>
    <row r="3" spans="1:1" x14ac:dyDescent="0.3">
      <c r="A3" t="s">
        <v>87</v>
      </c>
    </row>
    <row r="4" spans="1:1" x14ac:dyDescent="0.3">
      <c r="A4" t="s">
        <v>88</v>
      </c>
    </row>
    <row r="5" spans="1:1" x14ac:dyDescent="0.3">
      <c r="A5" t="s">
        <v>90</v>
      </c>
    </row>
    <row r="6" spans="1:1" x14ac:dyDescent="0.3">
      <c r="A6" t="s">
        <v>84</v>
      </c>
    </row>
    <row r="7" spans="1:1" x14ac:dyDescent="0.3">
      <c r="A7" t="s">
        <v>88</v>
      </c>
    </row>
    <row r="8" spans="1:1" x14ac:dyDescent="0.3">
      <c r="A8" t="s">
        <v>89</v>
      </c>
    </row>
    <row r="9" spans="1:1" x14ac:dyDescent="0.3">
      <c r="A9" t="s">
        <v>90</v>
      </c>
    </row>
    <row r="10" spans="1:1" x14ac:dyDescent="0.3">
      <c r="A10" t="s">
        <v>91</v>
      </c>
    </row>
    <row r="11" spans="1:1" x14ac:dyDescent="0.3">
      <c r="A11" t="s">
        <v>92</v>
      </c>
    </row>
    <row r="12" spans="1:1" x14ac:dyDescent="0.3">
      <c r="A12" t="s">
        <v>93</v>
      </c>
    </row>
    <row r="13" spans="1:1" x14ac:dyDescent="0.3">
      <c r="A13" t="s">
        <v>84</v>
      </c>
    </row>
    <row r="14" spans="1:1" x14ac:dyDescent="0.3">
      <c r="A1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53</vt:i4>
      </vt:variant>
    </vt:vector>
  </HeadingPairs>
  <TitlesOfParts>
    <vt:vector size="55" baseType="lpstr">
      <vt:lpstr>parameters</vt:lpstr>
      <vt:lpstr>{PL}PickLst</vt:lpstr>
      <vt:lpstr>db_name</vt:lpstr>
      <vt:lpstr>Freeze_here</vt:lpstr>
      <vt:lpstr>psAdjType</vt:lpstr>
      <vt:lpstr>psApp</vt:lpstr>
      <vt:lpstr>psCreateAdjByMeasures</vt:lpstr>
      <vt:lpstr>psFE2Year</vt:lpstr>
      <vt:lpstr>psFE3Year</vt:lpstr>
      <vt:lpstr>psHLYear</vt:lpstr>
      <vt:lpstr>psProg</vt:lpstr>
      <vt:lpstr>psScenario</vt:lpstr>
      <vt:lpstr>psUser</vt:lpstr>
      <vt:lpstr>TM1AdjIDListCAP</vt:lpstr>
      <vt:lpstr>TM1AdjIDListWB</vt:lpstr>
      <vt:lpstr>TM1AdjIDListWS</vt:lpstr>
      <vt:lpstr>TM1EDCAP</vt:lpstr>
      <vt:lpstr>TM1EDWB</vt:lpstr>
      <vt:lpstr>TM1EDWS</vt:lpstr>
      <vt:lpstr>TM1FE3CAP</vt:lpstr>
      <vt:lpstr>TM1FE3WB</vt:lpstr>
      <vt:lpstr>TM1FE3WS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TM1IndexCAP</vt:lpstr>
      <vt:lpstr>TM1IndexFE3MapCAP</vt:lpstr>
      <vt:lpstr>TM1IndexFE3MapWB</vt:lpstr>
      <vt:lpstr>TM1IndexFE3MapWS</vt:lpstr>
      <vt:lpstr>TM1IndexFinCAP</vt:lpstr>
      <vt:lpstr>TM1IndexFinDCBCAP</vt:lpstr>
      <vt:lpstr>TM1IndexFinDCBWB</vt:lpstr>
      <vt:lpstr>TM1IndexFinDCBWS</vt:lpstr>
      <vt:lpstr>TM1IndexFinSubsetCAP</vt:lpstr>
      <vt:lpstr>TM1IndexFinSubsetWB</vt:lpstr>
      <vt:lpstr>TM1IndexFinSubsetWS</vt:lpstr>
      <vt:lpstr>TM1IndexFinWB</vt:lpstr>
      <vt:lpstr>TM1IndexFinWS</vt:lpstr>
      <vt:lpstr>TM1IndexRatesCAP</vt:lpstr>
      <vt:lpstr>TM1IndexRatesWB</vt:lpstr>
      <vt:lpstr>TM1IndexRatesWS</vt:lpstr>
      <vt:lpstr>TM1IndexRecoCAP</vt:lpstr>
      <vt:lpstr>TM1IndexRecoWB</vt:lpstr>
      <vt:lpstr>TM1IndexRecoWS</vt:lpstr>
      <vt:lpstr>TM1IndexWB</vt:lpstr>
      <vt:lpstr>TM1IndexWS</vt:lpstr>
      <vt:lpstr>parameters!TM1RPTDATARNG1</vt:lpstr>
      <vt:lpstr>parameters!TM1RPTFMTIDCOL</vt:lpstr>
      <vt:lpstr>parameters!TM1RPTFMTRNG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cp:lastPrinted>2019-08-19T05:28:01Z</cp:lastPrinted>
  <dcterms:created xsi:type="dcterms:W3CDTF">2019-08-12T04:26:51Z</dcterms:created>
  <dcterms:modified xsi:type="dcterms:W3CDTF">2023-02-14T22:32:06Z</dcterms:modified>
</cp:coreProperties>
</file>