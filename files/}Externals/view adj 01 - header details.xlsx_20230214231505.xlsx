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B7A96C2-2918-43DD-9E8E-7D939EAD91F5}" xr6:coauthVersionLast="47" xr6:coauthVersionMax="47" xr10:uidLastSave="{00000000-0000-0000-0000-000000000000}"/>
  <bookViews>
    <workbookView xWindow="29580" yWindow="780" windowWidth="21600" windowHeight="11385" xr2:uid="{782DB6DE-6A9C-49E6-AA4E-7C567EE8EAE5}"/>
  </bookViews>
  <sheets>
    <sheet name="header" sheetId="1" r:id="rId1"/>
  </sheets>
  <definedNames>
    <definedName name="db_name">header!$B$2</definedName>
    <definedName name="psApp">header!$B$17</definedName>
    <definedName name="psHLYear">header!$B$56</definedName>
    <definedName name="psID">header!$B$60</definedName>
    <definedName name="psScenario">header!$B$58</definedName>
    <definedName name="psUser">header!$B$7</definedName>
    <definedName name="TM1AdjEntryWB">header!$E$34</definedName>
    <definedName name="TM1AdjEntryWS">header!$G$34</definedName>
    <definedName name="TM1AdjIDListCAP">header!$C$22</definedName>
    <definedName name="TM1AdjIDListWB">header!$E$22</definedName>
    <definedName name="TM1AdjIDListWS">header!$G$22</definedName>
    <definedName name="TM1EditAdj01CAP">header!$C$24</definedName>
    <definedName name="TM1EditAdj01WB">header!$E$24</definedName>
    <definedName name="TM1EditAdj01WS">header!$G$24</definedName>
    <definedName name="TM1EditAdjWB">header!$E$40</definedName>
    <definedName name="TM1EditAdjWS">header!$G$40</definedName>
    <definedName name="TM1GrpEditAdj01CAP">header!$C$27</definedName>
    <definedName name="TM1GrpEditAdj01WB">header!$E$27</definedName>
    <definedName name="TM1GrpEditAdj01WS">header!$G$27</definedName>
    <definedName name="TM1GrpNewAdj01HeaderCAP">header!$C$28</definedName>
    <definedName name="TM1GrpNewAdj01HeaderWB">header!$E$28</definedName>
    <definedName name="TM1GrpNewAdj01HeaderWS">header!$G$28</definedName>
    <definedName name="TM1GrpNewAdj02ExpDataEntryCAP">header!$C$29</definedName>
    <definedName name="TM1GrpNewAdj02ExpDataEntryWB">header!$E$29</definedName>
    <definedName name="TM1GrpNewAdj02ExpDataEntryWS">header!$G$29</definedName>
    <definedName name="TM1GrpNewAdj08RecogDataEntryCAP">header!$C$31</definedName>
    <definedName name="TM1GrpNewAdj08RecogDataEntryWB">header!$E$31</definedName>
    <definedName name="TM1GrpNewAdj08RecogDataEntryWS">header!$G$31</definedName>
    <definedName name="TM1GrpViewAdj01HeaderCAP">header!$C$30</definedName>
    <definedName name="TM1GrpViewAdj01HeaderWB">header!$E$30</definedName>
    <definedName name="TM1GrpViewAdj01HeaderWS">header!$G$30</definedName>
    <definedName name="TM1HomeAECAP">header!$C$20</definedName>
    <definedName name="TM1HomeAEDataEntryCAP">header!$C$21</definedName>
    <definedName name="TM1HomeAEDataEntryWB">header!$E$21</definedName>
    <definedName name="TM1HomeAEDataEntryWS">header!$G$21</definedName>
    <definedName name="TM1HomeAEWB">header!$E$20</definedName>
    <definedName name="TM1HomeAEWS">header!$G$20</definedName>
    <definedName name="TM1HomeCAP">header!$C$19</definedName>
    <definedName name="TM1HomeWB">header!$E$19</definedName>
    <definedName name="TM1HomeWS">header!$G$19</definedName>
    <definedName name="TM1NewAdj02DataEntryCAP">header!$C$23</definedName>
    <definedName name="TM1NewAdj02DataEntryWB">header!$E$23</definedName>
    <definedName name="TM1NewAdj02DataEntryWS">header!$G$23</definedName>
    <definedName name="TM1NewAdj96ExtractCAP">header!$C$25</definedName>
    <definedName name="TM1NewAdj96ExtractWB">header!$E$25</definedName>
    <definedName name="TM1NewAdj96ExtractWS">header!$G$25</definedName>
    <definedName name="TM1REBUILDOPTION">1</definedName>
    <definedName name="TM1ViewAdj01HeaderCAP">header!$C$26</definedName>
    <definedName name="TM1ViewAdj01HeaderWB">header!$E$26</definedName>
    <definedName name="TM1ViewAdj01HeaderWS">header!$G$26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 a="1"/>
  <c r="B16" i="1"/>
  <c r="B64" i="1" a="1"/>
  <c r="B64" i="1"/>
  <c r="B56" i="1" a="1"/>
  <c r="B56" i="1"/>
  <c r="B58" i="1" a="1"/>
  <c r="B60" i="1" a="1"/>
  <c r="B58" i="1"/>
  <c r="B60" i="1"/>
  <c r="B81" i="1" a="1"/>
  <c r="B81" i="1"/>
  <c r="G23" i="1" a="1"/>
  <c r="G23" i="1"/>
  <c r="G37" i="1"/>
  <c r="G34" i="1"/>
  <c r="E23" i="1" a="1"/>
  <c r="E23" i="1"/>
  <c r="E37" i="1"/>
  <c r="E34" i="1"/>
  <c r="B82" i="1" a="1"/>
  <c r="B82" i="1"/>
  <c r="G31" i="1" a="1"/>
  <c r="G31" i="1"/>
  <c r="G36" i="1"/>
  <c r="E31" i="1" a="1"/>
  <c r="E31" i="1"/>
  <c r="E36" i="1"/>
  <c r="F31" i="1" a="1"/>
  <c r="F31" i="1"/>
  <c r="D31" i="1" a="1"/>
  <c r="D31" i="1"/>
  <c r="C31" i="1" a="1"/>
  <c r="C31" i="1"/>
  <c r="B31" i="1" a="1"/>
  <c r="B31" i="1"/>
  <c r="B103" i="1" a="1"/>
  <c r="B103" i="1"/>
  <c r="B71" i="1" a="1"/>
  <c r="B71" i="1"/>
  <c r="B105" i="1" a="1"/>
  <c r="B105" i="1"/>
  <c r="B104" i="1" a="1"/>
  <c r="B104" i="1"/>
  <c r="B10" i="1" a="1"/>
  <c r="B10" i="1"/>
  <c r="B11" i="1" a="1"/>
  <c r="B11" i="1"/>
  <c r="B12" i="1" a="1"/>
  <c r="B12" i="1"/>
  <c r="B93" i="1" a="1"/>
  <c r="B93" i="1"/>
  <c r="B69" i="1" a="1"/>
  <c r="B69" i="1"/>
  <c r="B100" i="1" a="1"/>
  <c r="B100" i="1"/>
  <c r="E99" i="1" a="1"/>
  <c r="E99" i="1"/>
  <c r="B99" i="1" a="1"/>
  <c r="B99" i="1"/>
  <c r="C99" i="1" a="1"/>
  <c r="C99" i="1"/>
  <c r="E98" i="1" a="1"/>
  <c r="E98" i="1"/>
  <c r="B98" i="1" a="1"/>
  <c r="B98" i="1"/>
  <c r="C98" i="1" a="1"/>
  <c r="C98" i="1"/>
  <c r="E97" i="1" a="1"/>
  <c r="E97" i="1"/>
  <c r="B97" i="1" a="1"/>
  <c r="B97" i="1"/>
  <c r="C97" i="1" a="1"/>
  <c r="C97" i="1"/>
  <c r="E96" i="1" a="1"/>
  <c r="E96" i="1"/>
  <c r="B96" i="1" a="1"/>
  <c r="B96" i="1"/>
  <c r="C96" i="1" a="1"/>
  <c r="C96" i="1"/>
  <c r="E95" i="1" a="1"/>
  <c r="E95" i="1"/>
  <c r="B95" i="1" a="1"/>
  <c r="B95" i="1"/>
  <c r="C95" i="1" a="1"/>
  <c r="C95" i="1"/>
  <c r="E94" i="1" a="1"/>
  <c r="E94" i="1"/>
  <c r="B94" i="1" a="1"/>
  <c r="B94" i="1"/>
  <c r="C94" i="1" a="1"/>
  <c r="C94" i="1"/>
  <c r="B90" i="1" a="1"/>
  <c r="B90" i="1"/>
  <c r="B89" i="1" a="1"/>
  <c r="B89" i="1"/>
  <c r="B88" i="1" a="1"/>
  <c r="B88" i="1"/>
  <c r="B87" i="1" a="1"/>
  <c r="B87" i="1"/>
  <c r="B86" i="1" a="1"/>
  <c r="B86" i="1"/>
  <c r="B85" i="1" a="1"/>
  <c r="B85" i="1"/>
  <c r="B84" i="1" a="1"/>
  <c r="B84" i="1"/>
  <c r="B83" i="1" a="1"/>
  <c r="B83" i="1"/>
  <c r="B80" i="1" a="1"/>
  <c r="B80" i="1"/>
  <c r="B79" i="1" a="1"/>
  <c r="B79" i="1"/>
  <c r="B78" i="1" a="1"/>
  <c r="B78" i="1"/>
  <c r="B77" i="1" a="1"/>
  <c r="B77" i="1"/>
  <c r="B76" i="1" a="1"/>
  <c r="B76" i="1"/>
  <c r="B75" i="1" a="1"/>
  <c r="B75" i="1"/>
  <c r="E74" i="1" a="1"/>
  <c r="E74" i="1"/>
  <c r="B74" i="1" a="1"/>
  <c r="B74" i="1"/>
  <c r="E73" i="1" a="1"/>
  <c r="E73" i="1"/>
  <c r="B73" i="1" a="1"/>
  <c r="B73" i="1"/>
  <c r="E72" i="1" a="1"/>
  <c r="E72" i="1"/>
  <c r="B72" i="1" a="1"/>
  <c r="B72" i="1"/>
  <c r="E71" i="1" a="1"/>
  <c r="E71" i="1"/>
  <c r="E70" i="1" a="1"/>
  <c r="E70" i="1"/>
  <c r="B70" i="1" a="1"/>
  <c r="B70" i="1"/>
  <c r="E69" i="1" a="1"/>
  <c r="E69" i="1"/>
  <c r="E68" i="1" a="1"/>
  <c r="E68" i="1"/>
  <c r="B68" i="1" a="1"/>
  <c r="B68" i="1"/>
  <c r="E67" i="1" a="1"/>
  <c r="E67" i="1"/>
  <c r="B67" i="1" a="1"/>
  <c r="B67" i="1"/>
  <c r="E66" i="1" a="1"/>
  <c r="E66" i="1"/>
  <c r="B66" i="1" a="1"/>
  <c r="B66" i="1"/>
  <c r="E65" i="1" a="1"/>
  <c r="E65" i="1"/>
  <c r="B65" i="1" a="1"/>
  <c r="B65" i="1"/>
  <c r="B51" i="1" a="1"/>
  <c r="B51" i="1"/>
  <c r="B3" i="1" a="1"/>
  <c r="B3" i="1"/>
  <c r="B4" i="1" a="1"/>
  <c r="B4" i="1"/>
  <c r="B5" i="1" a="1"/>
  <c r="B5" i="1"/>
  <c r="B7" i="1"/>
  <c r="C61" i="1" a="1"/>
  <c r="C61" i="1"/>
  <c r="B61" i="1" a="1"/>
  <c r="B61" i="1"/>
  <c r="E60" i="1" a="1"/>
  <c r="E60" i="1"/>
  <c r="C59" i="1" a="1"/>
  <c r="C59" i="1"/>
  <c r="B59" i="1" a="1"/>
  <c r="B59" i="1"/>
  <c r="E58" i="1" a="1"/>
  <c r="E58" i="1"/>
  <c r="C57" i="1" a="1"/>
  <c r="C57" i="1"/>
  <c r="B57" i="1" a="1"/>
  <c r="B57" i="1"/>
  <c r="E56" i="1" a="1"/>
  <c r="E56" i="1"/>
  <c r="C55" i="1" a="1"/>
  <c r="C55" i="1"/>
  <c r="B55" i="1" a="1"/>
  <c r="B55" i="1"/>
  <c r="B54" i="1" a="1"/>
  <c r="B54" i="1"/>
  <c r="B53" i="1" a="1"/>
  <c r="B53" i="1"/>
  <c r="G30" i="1" a="1"/>
  <c r="G30" i="1"/>
  <c r="F30" i="1" a="1"/>
  <c r="F30" i="1"/>
  <c r="E30" i="1" a="1"/>
  <c r="E30" i="1"/>
  <c r="D30" i="1" a="1"/>
  <c r="D30" i="1"/>
  <c r="C30" i="1" a="1"/>
  <c r="C30" i="1"/>
  <c r="B30" i="1" a="1"/>
  <c r="B30" i="1"/>
  <c r="G29" i="1" a="1"/>
  <c r="G29" i="1"/>
  <c r="F29" i="1" a="1"/>
  <c r="F29" i="1"/>
  <c r="E29" i="1" a="1"/>
  <c r="E29" i="1"/>
  <c r="D29" i="1" a="1"/>
  <c r="D29" i="1"/>
  <c r="C29" i="1" a="1"/>
  <c r="C29" i="1"/>
  <c r="B29" i="1" a="1"/>
  <c r="B29" i="1"/>
  <c r="G28" i="1" a="1"/>
  <c r="G28" i="1"/>
  <c r="F28" i="1" a="1"/>
  <c r="F28" i="1"/>
  <c r="E28" i="1" a="1"/>
  <c r="E28" i="1"/>
  <c r="D28" i="1" a="1"/>
  <c r="D28" i="1"/>
  <c r="C28" i="1" a="1"/>
  <c r="C28" i="1"/>
  <c r="B28" i="1" a="1"/>
  <c r="B28" i="1"/>
  <c r="G27" i="1" a="1"/>
  <c r="G27" i="1"/>
  <c r="F27" i="1" a="1"/>
  <c r="F27" i="1"/>
  <c r="E27" i="1" a="1"/>
  <c r="E27" i="1"/>
  <c r="D27" i="1" a="1"/>
  <c r="D27" i="1"/>
  <c r="C27" i="1" a="1"/>
  <c r="C27" i="1"/>
  <c r="B27" i="1" a="1"/>
  <c r="B27" i="1"/>
  <c r="G26" i="1" a="1"/>
  <c r="G26" i="1"/>
  <c r="F26" i="1" a="1"/>
  <c r="F26" i="1"/>
  <c r="E26" i="1" a="1"/>
  <c r="E26" i="1"/>
  <c r="D26" i="1" a="1"/>
  <c r="D26" i="1"/>
  <c r="C26" i="1" a="1"/>
  <c r="C26" i="1"/>
  <c r="B26" i="1" a="1"/>
  <c r="B26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G24" i="1" a="1"/>
  <c r="G24" i="1"/>
  <c r="F24" i="1" a="1"/>
  <c r="F24" i="1"/>
  <c r="E24" i="1" a="1"/>
  <c r="E24" i="1"/>
  <c r="D24" i="1" a="1"/>
  <c r="D24" i="1"/>
  <c r="C24" i="1" a="1"/>
  <c r="C24" i="1"/>
  <c r="B24" i="1" a="1"/>
  <c r="B24" i="1"/>
  <c r="F23" i="1" a="1"/>
  <c r="F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B13" i="1" a="1"/>
  <c r="B13" i="1"/>
  <c r="B6" i="1" a="1"/>
  <c r="B6" i="1"/>
  <c r="M156" i="1"/>
  <c r="R116" i="1"/>
  <c r="E42" i="1"/>
  <c r="E43" i="1"/>
  <c r="E41" i="1"/>
  <c r="E40" i="1"/>
  <c r="G35" i="1"/>
  <c r="E35" i="1"/>
  <c r="R114" i="1"/>
  <c r="O114" i="1"/>
  <c r="M114" i="1"/>
  <c r="O154" i="1"/>
  <c r="O152" i="1"/>
  <c r="M154" i="1"/>
  <c r="M152" i="1"/>
  <c r="M148" i="1"/>
  <c r="M146" i="1"/>
  <c r="M144" i="1"/>
  <c r="M142" i="1"/>
  <c r="M140" i="1"/>
  <c r="O134" i="1"/>
  <c r="M134" i="1"/>
  <c r="M132" i="1"/>
  <c r="M130" i="1"/>
  <c r="M126" i="1"/>
  <c r="M122" i="1"/>
  <c r="M120" i="1"/>
  <c r="M118" i="1"/>
  <c r="O116" i="1"/>
  <c r="M116" i="1"/>
  <c r="G42" i="1"/>
  <c r="G43" i="1"/>
  <c r="G41" i="1"/>
  <c r="G40" i="1"/>
  <c r="G45" i="1"/>
  <c r="G46" i="1"/>
  <c r="G44" i="1"/>
  <c r="E45" i="1"/>
  <c r="E46" i="1"/>
  <c r="E44" i="1"/>
  <c r="F51" i="1"/>
  <c r="C100" i="1"/>
  <c r="M13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<sst xmlns="http://schemas.openxmlformats.org/spreadsheetml/2006/main" count="162" uniqueCount="137">
  <si>
    <t>headline year</t>
  </si>
  <si>
    <t>programme code</t>
  </si>
  <si>
    <t>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</si>
  <si>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</si>
  <si>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</si>
  <si>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</si>
  <si>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</si>
  <si>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</si>
  <si>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</si>
  <si>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</si>
  <si>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</si>
  <si>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</si>
  <si>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</si>
  <si>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</si>
  <si>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</si>
  <si>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</si>
  <si>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</si>
  <si>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</si>
  <si>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</si>
  <si>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AE ID Details</t>
  </si>
  <si>
    <t>Programme</t>
  </si>
  <si>
    <t>Slice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</si>
  <si>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</si>
  <si>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</si>
  <si>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</si>
  <si>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</si>
  <si>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</si>
  <si>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</si>
  <si>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</si>
  <si>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</si>
  <si>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</si>
  <si>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</si>
  <si>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</si>
  <si>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</si>
  <si>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reason description</t>
  </si>
  <si>
    <t>Homepage - Annual Estimates - Data Entry</t>
  </si>
  <si>
    <t>Current Workbook</t>
  </si>
  <si>
    <t>Adjustment - ID List</t>
  </si>
  <si>
    <t>Reason :</t>
  </si>
  <si>
    <t>Control Type  :</t>
  </si>
  <si>
    <t>Subsets To Use In Data Entry</t>
  </si>
  <si>
    <t>Title :</t>
  </si>
  <si>
    <t>Description :</t>
  </si>
  <si>
    <t>Appropriation Type :</t>
  </si>
  <si>
    <t>Appropriation Item :</t>
  </si>
  <si>
    <t>Outcome  :</t>
  </si>
  <si>
    <t>Function  :</t>
  </si>
  <si>
    <t>SPP  :</t>
  </si>
  <si>
    <t>CBMS Program Code :</t>
  </si>
  <si>
    <t>sys_client preference measure</t>
  </si>
  <si>
    <t>Programme Details</t>
  </si>
  <si>
    <t>programme</t>
  </si>
  <si>
    <t>function</t>
  </si>
  <si>
    <t>outcome</t>
  </si>
  <si>
    <t>appropriation type</t>
  </si>
  <si>
    <t>appropriation item</t>
  </si>
  <si>
    <t>SPP</t>
  </si>
  <si>
    <t>default favourite template</t>
  </si>
  <si>
    <t>Attribute Cubes</t>
  </si>
  <si>
    <t>TO SEND TO CLIENT</t>
  </si>
  <si>
    <t>Reason Code Attributes</t>
  </si>
  <si>
    <t>reason</t>
  </si>
  <si>
    <t>measure required</t>
  </si>
  <si>
    <t>Adjustment Details</t>
  </si>
  <si>
    <t>Data Entry - View Adj 01 - Header Details</t>
  </si>
  <si>
    <t>geus hl year (SUBNM)</t>
  </si>
  <si>
    <t>geus scenario (SUBNM)</t>
  </si>
  <si>
    <t>geus adj (SUBNM)</t>
  </si>
  <si>
    <t>HL Year To Send</t>
  </si>
  <si>
    <t>Scenario To Send</t>
  </si>
  <si>
    <t>ID Send</t>
  </si>
  <si>
    <t>status</t>
  </si>
  <si>
    <t>title</t>
  </si>
  <si>
    <t>description</t>
  </si>
  <si>
    <t>comments</t>
  </si>
  <si>
    <t>programme description</t>
  </si>
  <si>
    <t>measure</t>
  </si>
  <si>
    <t>CBMS measure code</t>
  </si>
  <si>
    <t>Control Type</t>
  </si>
  <si>
    <t>Adjustment Type</t>
  </si>
  <si>
    <t>Created By</t>
  </si>
  <si>
    <t>Created Date</t>
  </si>
  <si>
    <t>Submitted By</t>
  </si>
  <si>
    <t>Submitted Date</t>
  </si>
  <si>
    <t>Authorised By</t>
  </si>
  <si>
    <t>Authorised Date</t>
  </si>
  <si>
    <t>Attachment 01</t>
  </si>
  <si>
    <t>Attachment 02</t>
  </si>
  <si>
    <t>Attachment 03</t>
  </si>
  <si>
    <t>Attachment 04</t>
  </si>
  <si>
    <t>Attachment 05</t>
  </si>
  <si>
    <t>Attachment 06</t>
  </si>
  <si>
    <t>Attachment 07</t>
  </si>
  <si>
    <t>Attachment 08</t>
  </si>
  <si>
    <t>Attachment 09</t>
  </si>
  <si>
    <t>Attachment 10</t>
  </si>
  <si>
    <t>adj_editable</t>
  </si>
  <si>
    <t>Data Entry - New Adj 96 - Extract</t>
  </si>
  <si>
    <t>Data Entry - Edit Adj 01 - Header Details</t>
  </si>
  <si>
    <t>Adjustment Type (FINANCIALS)</t>
  </si>
  <si>
    <t>All others</t>
  </si>
  <si>
    <t>To Use</t>
  </si>
  <si>
    <t>Group Data Entry - Edit Adj 01 - Header Details</t>
  </si>
  <si>
    <t>Group Data Entry - New Adj 01 - Header Details</t>
  </si>
  <si>
    <t>Group Data Entry - New Adj 02 - Expense Data Entry</t>
  </si>
  <si>
    <t>Group</t>
  </si>
  <si>
    <t>Used For Worksheet (EDIT)</t>
  </si>
  <si>
    <t>TO USE</t>
  </si>
  <si>
    <t>All Others</t>
  </si>
  <si>
    <t>Y</t>
  </si>
  <si>
    <t>Group Data Entry - View Adj 01 - Header Details</t>
  </si>
  <si>
    <t>CBMS ID :</t>
  </si>
  <si>
    <t>GEUS ID :</t>
  </si>
  <si>
    <t>CBMS ID</t>
  </si>
  <si>
    <t>Comments : (GEUS ONLY)</t>
  </si>
  <si>
    <t>CBMS code and description</t>
  </si>
  <si>
    <t>CBMS Measure Code :</t>
  </si>
  <si>
    <t>GEUS Measure Code :</t>
  </si>
  <si>
    <t>Program Details</t>
  </si>
  <si>
    <t>spp</t>
  </si>
  <si>
    <t>Created By :</t>
  </si>
  <si>
    <t>Created Date :</t>
  </si>
  <si>
    <t>Authorised By :</t>
  </si>
  <si>
    <t>Authorised Date :</t>
  </si>
  <si>
    <t>Attachments :</t>
  </si>
  <si>
    <t>Headline Year :</t>
  </si>
  <si>
    <t>Scenario :</t>
  </si>
  <si>
    <t>current budget round</t>
  </si>
  <si>
    <t>Current Budget Round :</t>
  </si>
  <si>
    <t>Status :</t>
  </si>
  <si>
    <t>approver comments</t>
  </si>
  <si>
    <t>Approver Comments :</t>
  </si>
  <si>
    <t>GEUS Program :</t>
  </si>
  <si>
    <t>Group Data Entry - New Adj 08 - Recognition</t>
  </si>
  <si>
    <t>Group Adj Type</t>
  </si>
  <si>
    <t>Compliance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</si>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</sst>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D2022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3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right" vertical="center" indent="1"/>
    </xf>
    <xf numFmtId="0" fontId="1" fillId="2" borderId="4" xfId="0" applyFont="1" applyFill="1" applyBorder="1" applyAlignment="1">
      <alignment horizontal="center"/>
    </xf>
    <xf numFmtId="0" fontId="0" fillId="5" borderId="4" xfId="0" applyFill="1" applyBorder="1"/>
    <xf numFmtId="0" fontId="1" fillId="2" borderId="4" xfId="0" applyFont="1" applyFill="1" applyBorder="1"/>
    <xf numFmtId="0" fontId="1" fillId="6" borderId="4" xfId="0" applyFont="1" applyFill="1" applyBorder="1"/>
    <xf numFmtId="0" fontId="5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left" indent="1"/>
    </xf>
    <xf numFmtId="0" fontId="0" fillId="4" borderId="4" xfId="0" applyFill="1" applyBorder="1" applyAlignment="1" applyProtection="1">
      <alignment horizontal="left" indent="1"/>
      <protection locked="0"/>
    </xf>
    <xf numFmtId="0" fontId="6" fillId="7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 applyProtection="1">
      <alignment horizontal="left" vertical="top" wrapText="1" indent="1"/>
      <protection locked="0"/>
    </xf>
    <xf numFmtId="0" fontId="0" fillId="4" borderId="1" xfId="0" applyFill="1" applyBorder="1" applyAlignment="1" applyProtection="1">
      <alignment horizontal="left" indent="1"/>
      <protection locked="0"/>
    </xf>
    <xf numFmtId="0" fontId="0" fillId="4" borderId="2" xfId="0" applyFill="1" applyBorder="1" applyAlignment="1" applyProtection="1">
      <alignment horizontal="left" indent="1"/>
      <protection locked="0"/>
    </xf>
    <xf numFmtId="0" fontId="0" fillId="4" borderId="3" xfId="0" applyFill="1" applyBorder="1" applyAlignment="1" applyProtection="1">
      <alignment horizontal="left" indent="1"/>
      <protection locked="0"/>
    </xf>
    <xf numFmtId="0" fontId="3" fillId="0" borderId="0" xfId="0" applyFont="1" applyAlignment="1">
      <alignment horizontal="left"/>
    </xf>
    <xf numFmtId="0" fontId="0" fillId="4" borderId="1" xfId="0" applyFill="1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0" fillId="4" borderId="3" xfId="0" applyFill="1" applyBorder="1" applyAlignment="1">
      <alignment horizontal="left" indent="1"/>
    </xf>
  </cellXfs>
  <cellStyles count="1">
    <cellStyle name="Normal" xfId="0" builtinId="0"/>
  </cellStyles>
  <dxfs count="3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82"/>
  <ax:ocxPr ax:name="_ExtentY" ax:value="15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-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23"/>
  <ax:ocxPr ax:name="_ExtentY" ax:value="15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67"/>
  <ax:ocxPr ax:name="_ExtentY" ax:value="15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110</xdr:row>
          <xdr:rowOff>0</xdr:rowOff>
        </xdr:from>
        <xdr:to>
          <xdr:col>9</xdr:col>
          <xdr:colOff>685800</xdr:colOff>
          <xdr:row>110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723900</xdr:colOff>
          <xdr:row>110</xdr:row>
          <xdr:rowOff>0</xdr:rowOff>
        </xdr:from>
        <xdr:to>
          <xdr:col>10</xdr:col>
          <xdr:colOff>819150</xdr:colOff>
          <xdr:row>110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2247900</xdr:colOff>
          <xdr:row>109</xdr:row>
          <xdr:rowOff>47625</xdr:rowOff>
        </xdr:from>
        <xdr:to>
          <xdr:col>13</xdr:col>
          <xdr:colOff>314325</xdr:colOff>
          <xdr:row>110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866775</xdr:colOff>
          <xdr:row>110</xdr:row>
          <xdr:rowOff>0</xdr:rowOff>
        </xdr:from>
        <xdr:to>
          <xdr:col>10</xdr:col>
          <xdr:colOff>1685925</xdr:colOff>
          <xdr:row>110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0</xdr:row>
      <xdr:rowOff>0</xdr:rowOff>
    </xdr:from>
    <xdr:to>
      <xdr:col>9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108</xdr:row>
      <xdr:rowOff>19050</xdr:rowOff>
    </xdr:from>
    <xdr:to>
      <xdr:col>10</xdr:col>
      <xdr:colOff>741045</xdr:colOff>
      <xdr:row>108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1743075</xdr:colOff>
          <xdr:row>110</xdr:row>
          <xdr:rowOff>0</xdr:rowOff>
        </xdr:from>
        <xdr:to>
          <xdr:col>12</xdr:col>
          <xdr:colOff>457200</xdr:colOff>
          <xdr:row>110</xdr:row>
          <xdr:rowOff>247650</xdr:rowOff>
        </xdr:to>
        <xdr:sp macro="" textlink="">
          <xdr:nvSpPr>
            <xdr:cNvPr id="1041" name="TIButton8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1371600</xdr:colOff>
          <xdr:row>110</xdr:row>
          <xdr:rowOff>0</xdr:rowOff>
        </xdr:from>
        <xdr:to>
          <xdr:col>12</xdr:col>
          <xdr:colOff>2190750</xdr:colOff>
          <xdr:row>110</xdr:row>
          <xdr:rowOff>247650</xdr:rowOff>
        </xdr:to>
        <xdr:sp macro="" textlink="">
          <xdr:nvSpPr>
            <xdr:cNvPr id="1042" name="TIButton9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495300</xdr:colOff>
          <xdr:row>110</xdr:row>
          <xdr:rowOff>0</xdr:rowOff>
        </xdr:from>
        <xdr:to>
          <xdr:col>12</xdr:col>
          <xdr:colOff>1314450</xdr:colOff>
          <xdr:row>110</xdr:row>
          <xdr:rowOff>247650</xdr:rowOff>
        </xdr:to>
        <xdr:sp macro="" textlink="">
          <xdr:nvSpPr>
            <xdr:cNvPr id="1043" name="TIButton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2089-635E-46CD-B383-328948FD46F5}">
  <sheetPr codeName="Sheet1">
    <outlinePr showOutlineSymbols="0"/>
    <pageSetUpPr fitToPage="1"/>
  </sheetPr>
  <dimension ref="A1:S158"/>
  <sheetViews>
    <sheetView showGridLines="0" showRowColHeaders="0" tabSelected="1" showOutlineSymbols="0" topLeftCell="A109" workbookViewId="0">
      <pane ySplit="5" topLeftCell="A114" activePane="bottomLeft" state="frozen"/>
      <selection activeCell="I109" sqref="I109"/>
      <selection pane="bottomLeft" sqref="A1:C1"/>
    </sheetView>
  </sheetViews>
  <sheetFormatPr defaultRowHeight="15" outlineLevelRow="1" outlineLevelCol="1" x14ac:dyDescent="0.25"/>
  <cols>
    <col min="1" max="1" width="42.42578125" hidden="1" customWidth="1" outlineLevel="1"/>
    <col min="2" max="8" width="20.140625" hidden="1" customWidth="1" outlineLevel="1"/>
    <col min="9" max="9" width="0.85546875" customWidth="1" collapsed="1"/>
    <col min="10" max="10" width="15.42578125" customWidth="1"/>
    <col min="11" max="11" width="30.7109375" customWidth="1"/>
    <col min="12" max="12" width="0.85546875" customWidth="1"/>
    <col min="13" max="13" width="40.7109375" customWidth="1"/>
    <col min="14" max="14" width="22.7109375" customWidth="1"/>
    <col min="15" max="15" width="40.7109375" customWidth="1"/>
    <col min="16" max="16" width="0.85546875" customWidth="1"/>
    <col min="17" max="17" width="23.42578125" customWidth="1"/>
    <col min="18" max="18" width="20.7109375" customWidth="1"/>
  </cols>
  <sheetData>
    <row r="1" spans="1:3" hidden="1" outlineLevel="1" x14ac:dyDescent="0.25">
      <c r="A1" s="23" t="s">
        <v>3</v>
      </c>
      <c r="B1" s="24"/>
      <c r="C1" s="25"/>
    </row>
    <row r="2" spans="1:3" hidden="1" outlineLevel="1" x14ac:dyDescent="0.25">
      <c r="A2" s="2" t="s">
        <v>4</v>
      </c>
      <c r="B2" s="3" t="s">
        <v>136</v>
      </c>
      <c r="C2" s="4"/>
    </row>
    <row r="3" spans="1:3" hidden="1" outlineLevel="1" x14ac:dyDescent="0.25">
      <c r="A3" s="2" t="s">
        <v>5</v>
      </c>
      <c r="B3" s="5" t="str" cm="1">
        <f t="array" aca="1" ref="B3" ca="1">_xll.VIEW(db_name&amp;":}ElementAttributes_}Clients","!","!")</f>
        <v>dcceew_geus:}ElementAttributes_}Clients</v>
      </c>
      <c r="C3" s="4"/>
    </row>
    <row r="4" spans="1:3" hidden="1" outlineLevel="1" x14ac:dyDescent="0.25">
      <c r="A4" s="2" t="s">
        <v>6</v>
      </c>
      <c r="B4" s="3" t="str" cm="1">
        <f t="array" aca="1" ref="B4" ca="1">_xll.TM1USER(db_name)</f>
        <v/>
      </c>
      <c r="C4" s="4"/>
    </row>
    <row r="5" spans="1:3" hidden="1" outlineLevel="1" x14ac:dyDescent="0.25">
      <c r="A5" s="2" t="s">
        <v>7</v>
      </c>
      <c r="B5" s="3" t="str" cm="1">
        <f t="array" aca="1" ref="B5" ca="1">_xll.DBR($B$3,$B$4,$A5)</f>
        <v>*KEY_ERR</v>
      </c>
      <c r="C5" s="4"/>
    </row>
    <row r="6" spans="1:3" hidden="1" outlineLevel="1" x14ac:dyDescent="0.25">
      <c r="A6" s="2" t="s">
        <v>8</v>
      </c>
      <c r="B6" s="3" t="str" cm="1">
        <f t="array" aca="1" ref="B6" ca="1">_xll.DBR($B$3,$B$4,$A6)</f>
        <v>*KEY_ERR</v>
      </c>
      <c r="C6" s="4"/>
    </row>
    <row r="7" spans="1:3" hidden="1" outlineLevel="1" x14ac:dyDescent="0.25">
      <c r="A7" s="2" t="s">
        <v>9</v>
      </c>
      <c r="B7" s="3" t="str">
        <f ca="1">IF(LEFT($B$5,6)="CAM_AD",$B$6,$B$5)</f>
        <v>*KEY_ERR</v>
      </c>
      <c r="C7" s="6"/>
    </row>
    <row r="8" spans="1:3" hidden="1" outlineLevel="1" x14ac:dyDescent="0.25"/>
    <row r="9" spans="1:3" hidden="1" outlineLevel="1" x14ac:dyDescent="0.25">
      <c r="A9" s="23" t="s">
        <v>10</v>
      </c>
      <c r="B9" s="24"/>
      <c r="C9" s="25"/>
    </row>
    <row r="10" spans="1:3" hidden="1" outlineLevel="1" x14ac:dyDescent="0.25">
      <c r="A10" s="2" t="s">
        <v>11</v>
      </c>
      <c r="B10" s="6" t="str" cm="1">
        <f t="array" aca="1" ref="B10" ca="1">_xll.VIEW(db_name&amp;":}ElementAttributes_variables","!","!")</f>
        <v>dcceew_geus:}ElementAttributes_variables</v>
      </c>
      <c r="C10" s="6"/>
    </row>
    <row r="11" spans="1:3" hidden="1" outlineLevel="1" x14ac:dyDescent="0.25">
      <c r="A11" s="2" t="s">
        <v>0</v>
      </c>
      <c r="B11" s="6" t="str" cm="1">
        <f t="array" aca="1" ref="B11" ca="1">_xll.DBR($B$10,$A11,"value")</f>
        <v>*KEY_ERR</v>
      </c>
      <c r="C11" s="6"/>
    </row>
    <row r="12" spans="1:3" hidden="1" outlineLevel="1" x14ac:dyDescent="0.25">
      <c r="A12" s="2" t="s">
        <v>12</v>
      </c>
      <c r="B12" s="6" t="str" cm="1">
        <f t="array" aca="1" ref="B12" ca="1">_xll.DBR($B$10,$A12,"value")</f>
        <v>*KEY_ERR</v>
      </c>
      <c r="C12" s="6"/>
    </row>
    <row r="13" spans="1:3" hidden="1" outlineLevel="1" x14ac:dyDescent="0.25">
      <c r="A13" s="1" t="s">
        <v>127</v>
      </c>
      <c r="B13" s="6" t="str" cm="1">
        <f t="array" aca="1" ref="B13" ca="1">_xll.DBR($B$10,$A13,"value")</f>
        <v>*KEY_ERR</v>
      </c>
    </row>
    <row r="14" spans="1:3" hidden="1" outlineLevel="1" x14ac:dyDescent="0.25"/>
    <row r="15" spans="1:3" hidden="1" outlineLevel="1" x14ac:dyDescent="0.25">
      <c r="A15" s="23" t="s">
        <v>22</v>
      </c>
      <c r="B15" s="24"/>
      <c r="C15" s="25"/>
    </row>
    <row r="16" spans="1:3" hidden="1" outlineLevel="1" x14ac:dyDescent="0.25">
      <c r="A16" s="6" t="s">
        <v>23</v>
      </c>
      <c r="B16" s="6" t="str">
        <f t="array" aca="1" ref="B16" ca="1">_xll.VIEW(db_name&amp;":sys_application","!","!")</f>
        <v>dcceew_geus:sys_application</v>
      </c>
    </row>
    <row r="17" spans="1:7" hidden="1" outlineLevel="1" x14ac:dyDescent="0.25">
      <c r="A17" s="6" t="s">
        <v>36</v>
      </c>
      <c r="B17" s="6" t="s">
        <v>64</v>
      </c>
    </row>
    <row r="18" spans="1:7" hidden="1" outlineLevel="1" x14ac:dyDescent="0.25">
      <c r="A18" s="8" t="s">
        <v>26</v>
      </c>
      <c r="B18" s="9" t="s">
        <v>27</v>
      </c>
      <c r="C18" s="9" t="s">
        <v>28</v>
      </c>
      <c r="D18" s="9" t="s">
        <v>29</v>
      </c>
      <c r="E18" s="9" t="s">
        <v>30</v>
      </c>
      <c r="F18" s="9" t="s">
        <v>31</v>
      </c>
      <c r="G18" s="9" t="s">
        <v>32</v>
      </c>
    </row>
    <row r="19" spans="1:7" hidden="1" outlineLevel="1" x14ac:dyDescent="0.25">
      <c r="A19" s="6" t="s">
        <v>24</v>
      </c>
      <c r="B19" s="6" t="str" cm="1">
        <f t="array" aca="1" ref="B19" ca="1">_xll.DBR($B$16,$A19,B$18)</f>
        <v>*KEY_ERR</v>
      </c>
      <c r="C19" s="6" t="str" cm="1">
        <f t="array" aca="1" ref="C19" ca="1">_xll.DBR($B$16,$A19,C$18)</f>
        <v>*KEY_ERR</v>
      </c>
      <c r="D19" s="6" t="str" cm="1">
        <f t="array" aca="1" ref="D19" ca="1">_xll.DBR($B$16,$A19,D$18)</f>
        <v>*KEY_ERR</v>
      </c>
      <c r="E19" s="6" t="str" cm="1">
        <f t="array" aca="1" ref="E19" ca="1">_xll.DBR($B$16,$A19,E$18)</f>
        <v>*KEY_ERR</v>
      </c>
      <c r="F19" s="6" t="str" cm="1">
        <f t="array" aca="1" ref="F19" ca="1">_xll.DBR($B$16,$A19,F$18)</f>
        <v>*KEY_ERR</v>
      </c>
      <c r="G19" s="6" t="str" cm="1">
        <f t="array" aca="1" ref="G19" ca="1">_xll.DBR($B$16,$A19,G$18)</f>
        <v>*KEY_ERR</v>
      </c>
    </row>
    <row r="20" spans="1:7" hidden="1" outlineLevel="1" x14ac:dyDescent="0.25">
      <c r="A20" s="6" t="s">
        <v>25</v>
      </c>
      <c r="B20" s="6" t="str" cm="1">
        <f t="array" aca="1" ref="B20" ca="1">_xll.DBR($B$16,$A20,B$18)</f>
        <v>*KEY_ERR</v>
      </c>
      <c r="C20" s="6" t="str" cm="1">
        <f t="array" aca="1" ref="C20" ca="1">_xll.DBR($B$16,$A20,C$18)</f>
        <v>*KEY_ERR</v>
      </c>
      <c r="D20" s="6" t="str" cm="1">
        <f t="array" aca="1" ref="D20" ca="1">_xll.DBR($B$16,$A20,D$18)</f>
        <v>*KEY_ERR</v>
      </c>
      <c r="E20" s="6" t="str" cm="1">
        <f t="array" aca="1" ref="E20" ca="1">_xll.DBR($B$16,$A20,E$18)</f>
        <v>*KEY_ERR</v>
      </c>
      <c r="F20" s="6" t="str" cm="1">
        <f t="array" aca="1" ref="F20" ca="1">_xll.DBR($B$16,$A20,F$18)</f>
        <v>*KEY_ERR</v>
      </c>
      <c r="G20" s="6" t="str" cm="1">
        <f t="array" aca="1" ref="G20" ca="1">_xll.DBR($B$16,$A20,G$18)</f>
        <v>*KEY_ERR</v>
      </c>
    </row>
    <row r="21" spans="1:7" hidden="1" outlineLevel="1" x14ac:dyDescent="0.25">
      <c r="A21" s="6" t="s">
        <v>35</v>
      </c>
      <c r="B21" s="6" t="str" cm="1">
        <f t="array" aca="1" ref="B21" ca="1">_xll.DBR($B$16,$A21,B$18)</f>
        <v>*KEY_ERR</v>
      </c>
      <c r="C21" s="6" t="str" cm="1">
        <f t="array" aca="1" ref="C21" ca="1">_xll.DBR($B$16,$A21,C$18)</f>
        <v>*KEY_ERR</v>
      </c>
      <c r="D21" s="6" t="str" cm="1">
        <f t="array" aca="1" ref="D21" ca="1">_xll.DBR($B$16,$A21,D$18)</f>
        <v>*KEY_ERR</v>
      </c>
      <c r="E21" s="6" t="str" cm="1">
        <f t="array" aca="1" ref="E21" ca="1">_xll.DBR($B$16,$A21,E$18)</f>
        <v>*KEY_ERR</v>
      </c>
      <c r="F21" s="6" t="str" cm="1">
        <f t="array" aca="1" ref="F21" ca="1">_xll.DBR($B$16,$A21,F$18)</f>
        <v>*KEY_ERR</v>
      </c>
      <c r="G21" s="6" t="str" cm="1">
        <f t="array" aca="1" ref="G21" ca="1">_xll.DBR($B$16,$A21,G$18)</f>
        <v>*KEY_ERR</v>
      </c>
    </row>
    <row r="22" spans="1:7" hidden="1" outlineLevel="1" x14ac:dyDescent="0.25">
      <c r="A22" s="6" t="s">
        <v>37</v>
      </c>
      <c r="B22" s="6" t="str" cm="1">
        <f t="array" aca="1" ref="B22" ca="1">_xll.DBR($B$16,$A22,B$18)</f>
        <v>*KEY_ERR</v>
      </c>
      <c r="C22" s="6" t="str" cm="1">
        <f t="array" aca="1" ref="C22" ca="1">_xll.DBR($B$16,$A22,C$18)</f>
        <v>*KEY_ERR</v>
      </c>
      <c r="D22" s="6" t="str" cm="1">
        <f t="array" aca="1" ref="D22" ca="1">_xll.DBR($B$16,$A22,D$18)</f>
        <v>*KEY_ERR</v>
      </c>
      <c r="E22" s="6" t="str" cm="1">
        <f t="array" aca="1" ref="E22" ca="1">_xll.DBR($B$16,$A22,E$18)</f>
        <v>*KEY_ERR</v>
      </c>
      <c r="F22" s="6" t="str" cm="1">
        <f t="array" aca="1" ref="F22" ca="1">_xll.DBR($B$16,$A22,F$18)</f>
        <v>*KEY_ERR</v>
      </c>
      <c r="G22" s="6" t="str" cm="1">
        <f t="array" aca="1" ref="G22" ca="1">_xll.DBR($B$16,$A22,G$18)</f>
        <v>*KEY_ERR</v>
      </c>
    </row>
    <row r="23" spans="1:7" hidden="1" outlineLevel="1" x14ac:dyDescent="0.25">
      <c r="A23" s="6" t="s">
        <v>33</v>
      </c>
      <c r="B23" s="6" t="str" cm="1">
        <f t="array" aca="1" ref="B23" ca="1">_xll.DBR($B$16,$A23,B$18)</f>
        <v>*KEY_ERR</v>
      </c>
      <c r="C23" s="6" t="str" cm="1">
        <f t="array" aca="1" ref="C23" ca="1">_xll.DBR($B$16,$A23,C$18)</f>
        <v>*KEY_ERR</v>
      </c>
      <c r="D23" s="6" t="str" cm="1">
        <f t="array" aca="1" ref="D23" ca="1">_xll.DBR($B$16,$A23,D$18)</f>
        <v>*KEY_ERR</v>
      </c>
      <c r="E23" s="6" t="str" cm="1">
        <f t="array" aca="1" ref="E23" ca="1">_xll.DBR($B$16,$A23,E$18)</f>
        <v>*KEY_ERR</v>
      </c>
      <c r="F23" s="6" t="str" cm="1">
        <f t="array" aca="1" ref="F23" ca="1">_xll.DBR($B$16,$A23,F$18)</f>
        <v>*KEY_ERR</v>
      </c>
      <c r="G23" s="6" t="str" cm="1">
        <f t="array" aca="1" ref="G23" ca="1">_xll.DBR($B$16,$A23,G$18)</f>
        <v>*KEY_ERR</v>
      </c>
    </row>
    <row r="24" spans="1:7" hidden="1" outlineLevel="1" x14ac:dyDescent="0.25">
      <c r="A24" s="6" t="s">
        <v>98</v>
      </c>
      <c r="B24" s="6" t="str" cm="1">
        <f t="array" aca="1" ref="B24" ca="1">_xll.DBR($B$16,$A24,B$18)</f>
        <v>*KEY_ERR</v>
      </c>
      <c r="C24" s="6" t="str" cm="1">
        <f t="array" aca="1" ref="C24" ca="1">_xll.DBR($B$16,$A24,C$18)</f>
        <v>*KEY_ERR</v>
      </c>
      <c r="D24" s="6" t="str" cm="1">
        <f t="array" aca="1" ref="D24" ca="1">_xll.DBR($B$16,$A24,D$18)</f>
        <v>*KEY_ERR</v>
      </c>
      <c r="E24" s="6" t="str" cm="1">
        <f t="array" aca="1" ref="E24" ca="1">_xll.DBR($B$16,$A24,E$18)</f>
        <v>*KEY_ERR</v>
      </c>
      <c r="F24" s="6" t="str" cm="1">
        <f t="array" aca="1" ref="F24" ca="1">_xll.DBR($B$16,$A24,F$18)</f>
        <v>*KEY_ERR</v>
      </c>
      <c r="G24" s="6" t="str" cm="1">
        <f t="array" aca="1" ref="G24" ca="1">_xll.DBR($B$16,$A24,G$18)</f>
        <v>*KEY_ERR</v>
      </c>
    </row>
    <row r="25" spans="1:7" hidden="1" outlineLevel="1" x14ac:dyDescent="0.25">
      <c r="A25" s="6" t="s">
        <v>97</v>
      </c>
      <c r="B25" s="6" t="str" cm="1">
        <f t="array" aca="1" ref="B25" ca="1">_xll.DBR($B$16,$A25,B$18)</f>
        <v>*KEY_ERR</v>
      </c>
      <c r="C25" s="6" t="str" cm="1">
        <f t="array" aca="1" ref="C25" ca="1">_xll.DBR($B$16,$A25,C$18)</f>
        <v>*KEY_ERR</v>
      </c>
      <c r="D25" s="6" t="str" cm="1">
        <f t="array" aca="1" ref="D25" ca="1">_xll.DBR($B$16,$A25,D$18)</f>
        <v>*KEY_ERR</v>
      </c>
      <c r="E25" s="6" t="str" cm="1">
        <f t="array" aca="1" ref="E25" ca="1">_xll.DBR($B$16,$A25,E$18)</f>
        <v>*KEY_ERR</v>
      </c>
      <c r="F25" s="6" t="str" cm="1">
        <f t="array" aca="1" ref="F25" ca="1">_xll.DBR($B$16,$A25,F$18)</f>
        <v>*KEY_ERR</v>
      </c>
      <c r="G25" s="6" t="str" cm="1">
        <f t="array" aca="1" ref="G25" ca="1">_xll.DBR($B$16,$A25,G$18)</f>
        <v>*KEY_ERR</v>
      </c>
    </row>
    <row r="26" spans="1:7" ht="15.75" hidden="1" customHeight="1" outlineLevel="1" x14ac:dyDescent="0.25">
      <c r="A26" s="6" t="s">
        <v>64</v>
      </c>
      <c r="B26" s="6" t="str" cm="1">
        <f t="array" aca="1" ref="B26" ca="1">_xll.DBR($B$16,$A26,B$18)</f>
        <v>*KEY_ERR</v>
      </c>
      <c r="C26" s="6" t="str" cm="1">
        <f t="array" aca="1" ref="C26" ca="1">_xll.DBR($B$16,$A26,C$18)</f>
        <v>*KEY_ERR</v>
      </c>
      <c r="D26" s="6" t="str" cm="1">
        <f t="array" aca="1" ref="D26" ca="1">_xll.DBR($B$16,$A26,D$18)</f>
        <v>*KEY_ERR</v>
      </c>
      <c r="E26" s="6" t="str" cm="1">
        <f t="array" aca="1" ref="E26" ca="1">_xll.DBR($B$16,$A26,E$18)</f>
        <v>*KEY_ERR</v>
      </c>
      <c r="F26" s="6" t="str" cm="1">
        <f t="array" aca="1" ref="F26" ca="1">_xll.DBR($B$16,$A26,F$18)</f>
        <v>*KEY_ERR</v>
      </c>
      <c r="G26" s="6" t="str" cm="1">
        <f t="array" aca="1" ref="G26" ca="1">_xll.DBR($B$16,$A26,G$18)</f>
        <v>*KEY_ERR</v>
      </c>
    </row>
    <row r="27" spans="1:7" hidden="1" outlineLevel="1" x14ac:dyDescent="0.25">
      <c r="A27" s="6" t="s">
        <v>102</v>
      </c>
      <c r="B27" s="6" t="str" cm="1">
        <f t="array" aca="1" ref="B27" ca="1">_xll.DBR($B$16,$A27,B$18)</f>
        <v>*KEY_ERR</v>
      </c>
      <c r="C27" s="6" t="str" cm="1">
        <f t="array" aca="1" ref="C27" ca="1">_xll.DBR($B$16,$A27,C$18)</f>
        <v>*KEY_ERR</v>
      </c>
      <c r="D27" s="6" t="str" cm="1">
        <f t="array" aca="1" ref="D27" ca="1">_xll.DBR($B$16,$A27,D$18)</f>
        <v>*KEY_ERR</v>
      </c>
      <c r="E27" s="6" t="str" cm="1">
        <f t="array" aca="1" ref="E27" ca="1">_xll.DBR($B$16,$A27,E$18)</f>
        <v>*KEY_ERR</v>
      </c>
      <c r="F27" s="6" t="str" cm="1">
        <f t="array" aca="1" ref="F27" ca="1">_xll.DBR($B$16,$A27,F$18)</f>
        <v>*KEY_ERR</v>
      </c>
      <c r="G27" s="6" t="str" cm="1">
        <f t="array" aca="1" ref="G27" ca="1">_xll.DBR($B$16,$A27,G$18)</f>
        <v>*KEY_ERR</v>
      </c>
    </row>
    <row r="28" spans="1:7" hidden="1" outlineLevel="1" x14ac:dyDescent="0.25">
      <c r="A28" s="6" t="s">
        <v>103</v>
      </c>
      <c r="B28" s="6" t="str" cm="1">
        <f t="array" aca="1" ref="B28" ca="1">_xll.DBR($B$16,$A28,B$18)</f>
        <v>*KEY_ERR</v>
      </c>
      <c r="C28" s="6" t="str" cm="1">
        <f t="array" aca="1" ref="C28" ca="1">_xll.DBR($B$16,$A28,C$18)</f>
        <v>*KEY_ERR</v>
      </c>
      <c r="D28" s="6" t="str" cm="1">
        <f t="array" aca="1" ref="D28" ca="1">_xll.DBR($B$16,$A28,D$18)</f>
        <v>*KEY_ERR</v>
      </c>
      <c r="E28" s="6" t="str" cm="1">
        <f t="array" aca="1" ref="E28" ca="1">_xll.DBR($B$16,$A28,E$18)</f>
        <v>*KEY_ERR</v>
      </c>
      <c r="F28" s="6" t="str" cm="1">
        <f t="array" aca="1" ref="F28" ca="1">_xll.DBR($B$16,$A28,F$18)</f>
        <v>*KEY_ERR</v>
      </c>
      <c r="G28" s="6" t="str" cm="1">
        <f t="array" aca="1" ref="G28" ca="1">_xll.DBR($B$16,$A28,G$18)</f>
        <v>*KEY_ERR</v>
      </c>
    </row>
    <row r="29" spans="1:7" hidden="1" outlineLevel="1" x14ac:dyDescent="0.25">
      <c r="A29" s="6" t="s">
        <v>104</v>
      </c>
      <c r="B29" s="6" t="str" cm="1">
        <f t="array" aca="1" ref="B29" ca="1">_xll.DBR($B$16,$A29,B$18)</f>
        <v>*KEY_ERR</v>
      </c>
      <c r="C29" s="6" t="str" cm="1">
        <f t="array" aca="1" ref="C29" ca="1">_xll.DBR($B$16,$A29,C$18)</f>
        <v>*KEY_ERR</v>
      </c>
      <c r="D29" s="6" t="str" cm="1">
        <f t="array" aca="1" ref="D29" ca="1">_xll.DBR($B$16,$A29,D$18)</f>
        <v>*KEY_ERR</v>
      </c>
      <c r="E29" s="6" t="str" cm="1">
        <f t="array" aca="1" ref="E29" ca="1">_xll.DBR($B$16,$A29,E$18)</f>
        <v>*KEY_ERR</v>
      </c>
      <c r="F29" s="6" t="str" cm="1">
        <f t="array" aca="1" ref="F29" ca="1">_xll.DBR($B$16,$A29,F$18)</f>
        <v>*KEY_ERR</v>
      </c>
      <c r="G29" s="6" t="str" cm="1">
        <f t="array" aca="1" ref="G29" ca="1">_xll.DBR($B$16,$A29,G$18)</f>
        <v>*KEY_ERR</v>
      </c>
    </row>
    <row r="30" spans="1:7" ht="15.75" hidden="1" customHeight="1" outlineLevel="1" x14ac:dyDescent="0.25">
      <c r="A30" s="6" t="s">
        <v>110</v>
      </c>
      <c r="B30" s="6" t="str" cm="1">
        <f t="array" aca="1" ref="B30" ca="1">_xll.DBR($B$16,$A30,B$18)</f>
        <v>*KEY_ERR</v>
      </c>
      <c r="C30" s="6" t="str" cm="1">
        <f t="array" aca="1" ref="C30" ca="1">_xll.DBR($B$16,$A30,C$18)</f>
        <v>*KEY_ERR</v>
      </c>
      <c r="D30" s="6" t="str" cm="1">
        <f t="array" aca="1" ref="D30" ca="1">_xll.DBR($B$16,$A30,D$18)</f>
        <v>*KEY_ERR</v>
      </c>
      <c r="E30" s="6" t="str" cm="1">
        <f t="array" aca="1" ref="E30" ca="1">_xll.DBR($B$16,$A30,E$18)</f>
        <v>*KEY_ERR</v>
      </c>
      <c r="F30" s="6" t="str" cm="1">
        <f t="array" aca="1" ref="F30" ca="1">_xll.DBR($B$16,$A30,F$18)</f>
        <v>*KEY_ERR</v>
      </c>
      <c r="G30" s="6" t="str" cm="1">
        <f t="array" aca="1" ref="G30" ca="1">_xll.DBR($B$16,$A30,G$18)</f>
        <v>*KEY_ERR</v>
      </c>
    </row>
    <row r="31" spans="1:7" hidden="1" outlineLevel="1" x14ac:dyDescent="0.25">
      <c r="A31" s="6" t="s">
        <v>133</v>
      </c>
      <c r="B31" s="6" t="str" cm="1">
        <f t="array" aca="1" ref="B31" ca="1">_xll.DBR($B$16,$A31,B$18)</f>
        <v>*KEY_ERR</v>
      </c>
      <c r="C31" s="6" t="str" cm="1">
        <f t="array" aca="1" ref="C31" ca="1">_xll.DBR($B$16,$A31,C$18)</f>
        <v>*KEY_ERR</v>
      </c>
      <c r="D31" s="6" t="str" cm="1">
        <f t="array" aca="1" ref="D31" ca="1">_xll.DBR($B$16,$A31,D$18)</f>
        <v>*KEY_ERR</v>
      </c>
      <c r="E31" s="6" t="str" cm="1">
        <f t="array" aca="1" ref="E31" ca="1">_xll.DBR($B$16,$A31,E$18)</f>
        <v>*KEY_ERR</v>
      </c>
      <c r="F31" s="6" t="str" cm="1">
        <f t="array" aca="1" ref="F31" ca="1">_xll.DBR($B$16,$A31,F$18)</f>
        <v>*KEY_ERR</v>
      </c>
      <c r="G31" s="6" t="str" cm="1">
        <f t="array" aca="1" ref="G31" ca="1">_xll.DBR($B$16,$A31,G$18)</f>
        <v>*KEY_ERR</v>
      </c>
    </row>
    <row r="32" spans="1:7" hidden="1" outlineLevel="1" x14ac:dyDescent="0.25"/>
    <row r="33" spans="1:7" hidden="1" outlineLevel="1" x14ac:dyDescent="0.25">
      <c r="A33" s="17" t="s">
        <v>99</v>
      </c>
      <c r="B33" s="9" t="s">
        <v>27</v>
      </c>
      <c r="C33" s="9" t="s">
        <v>28</v>
      </c>
      <c r="D33" s="9" t="s">
        <v>29</v>
      </c>
      <c r="E33" s="9" t="s">
        <v>30</v>
      </c>
      <c r="F33" s="9" t="s">
        <v>31</v>
      </c>
      <c r="G33" s="9" t="s">
        <v>32</v>
      </c>
    </row>
    <row r="34" spans="1:7" hidden="1" outlineLevel="1" x14ac:dyDescent="0.25">
      <c r="A34" s="2" t="s">
        <v>101</v>
      </c>
      <c r="B34" s="6"/>
      <c r="C34" s="6"/>
      <c r="D34" s="6"/>
      <c r="E34" s="16" t="str">
        <f ca="1">TRIM(IF($B$81=$A$35,IF($B$82=$A$36,$E$36,$E35),$E37))</f>
        <v>*KEY_ERR</v>
      </c>
      <c r="F34" s="6"/>
      <c r="G34" s="16" t="str">
        <f ca="1">TRIM(IF($B$81=$A$35,IF($B$82=$A$36,$G$36,$G35),$G37))</f>
        <v>*KEY_ERR</v>
      </c>
    </row>
    <row r="35" spans="1:7" hidden="1" outlineLevel="1" x14ac:dyDescent="0.25">
      <c r="A35" s="6" t="s">
        <v>105</v>
      </c>
      <c r="B35" s="6"/>
      <c r="C35" s="6"/>
      <c r="D35" s="6"/>
      <c r="E35" s="6" t="str">
        <f ca="1">TM1GrpNewAdj02ExpDataEntryWB</f>
        <v>*KEY_ERR</v>
      </c>
      <c r="F35" s="6"/>
      <c r="G35" s="6" t="str">
        <f ca="1">TM1GrpNewAdj02ExpDataEntryWS</f>
        <v>*KEY_ERR</v>
      </c>
    </row>
    <row r="36" spans="1:7" hidden="1" outlineLevel="1" x14ac:dyDescent="0.25">
      <c r="A36" s="6" t="s">
        <v>135</v>
      </c>
      <c r="B36" s="6"/>
      <c r="C36" s="6"/>
      <c r="D36" s="6"/>
      <c r="E36" s="6" t="str">
        <f ca="1">TM1GrpNewAdj08RecogDataEntryWB</f>
        <v>*KEY_ERR</v>
      </c>
      <c r="F36" s="6"/>
      <c r="G36" s="6" t="str">
        <f ca="1">TM1GrpNewAdj08RecogDataEntryWS</f>
        <v>*KEY_ERR</v>
      </c>
    </row>
    <row r="37" spans="1:7" hidden="1" outlineLevel="1" x14ac:dyDescent="0.25">
      <c r="A37" s="6" t="s">
        <v>100</v>
      </c>
      <c r="B37" s="6"/>
      <c r="C37" s="6"/>
      <c r="D37" s="6"/>
      <c r="E37" s="6" t="str">
        <f ca="1">TM1NewAdj02DataEntryWB</f>
        <v>*KEY_ERR</v>
      </c>
      <c r="F37" s="6"/>
      <c r="G37" s="6" t="str">
        <f ca="1">TM1NewAdj02DataEntryWS</f>
        <v>*KEY_ERR</v>
      </c>
    </row>
    <row r="38" spans="1:7" hidden="1" outlineLevel="1" x14ac:dyDescent="0.25"/>
    <row r="39" spans="1:7" hidden="1" outlineLevel="1" x14ac:dyDescent="0.25">
      <c r="A39" s="17" t="s">
        <v>106</v>
      </c>
      <c r="B39" s="9" t="s">
        <v>27</v>
      </c>
      <c r="C39" s="9" t="s">
        <v>28</v>
      </c>
      <c r="D39" s="9" t="s">
        <v>29</v>
      </c>
      <c r="E39" s="9" t="s">
        <v>30</v>
      </c>
      <c r="F39" s="9" t="s">
        <v>31</v>
      </c>
      <c r="G39" s="9" t="s">
        <v>32</v>
      </c>
    </row>
    <row r="40" spans="1:7" hidden="1" outlineLevel="1" x14ac:dyDescent="0.25">
      <c r="A40" s="2" t="s">
        <v>107</v>
      </c>
      <c r="B40" s="6"/>
      <c r="C40" s="6"/>
      <c r="D40" s="6"/>
      <c r="E40" s="16" t="str">
        <f ca="1">TRIM(IF($B$81=$A$35,$E44,$E41))</f>
        <v>*KEY_ERR</v>
      </c>
      <c r="F40" s="6"/>
      <c r="G40" s="16" t="str">
        <f ca="1">TRIM(IF($B$81=$A$35,$G44,$G41))</f>
        <v>*KEY_ERR</v>
      </c>
    </row>
    <row r="41" spans="1:7" hidden="1" outlineLevel="1" x14ac:dyDescent="0.25">
      <c r="A41" s="18" t="s">
        <v>108</v>
      </c>
      <c r="B41" s="18"/>
      <c r="C41" s="18"/>
      <c r="D41" s="18"/>
      <c r="E41" s="18" t="str">
        <f ca="1">IF($B$61=$A$42,$E42,$E43)</f>
        <v>*KEY_ERR</v>
      </c>
      <c r="F41" s="18"/>
      <c r="G41" s="18" t="str">
        <f ca="1">IF($B$61=$A$42,$G42,$G43)</f>
        <v>*KEY_ERR</v>
      </c>
    </row>
    <row r="42" spans="1:7" hidden="1" outlineLevel="1" x14ac:dyDescent="0.25">
      <c r="A42" s="6" t="s">
        <v>109</v>
      </c>
      <c r="B42" s="6"/>
      <c r="C42" s="6"/>
      <c r="D42" s="6"/>
      <c r="E42" s="6" t="str">
        <f ca="1">TM1EditAdj01WB</f>
        <v>*KEY_ERR</v>
      </c>
      <c r="F42" s="6"/>
      <c r="G42" s="6" t="str">
        <f ca="1">TM1EditAdj01WS</f>
        <v>*KEY_ERR</v>
      </c>
    </row>
    <row r="43" spans="1:7" hidden="1" outlineLevel="1" x14ac:dyDescent="0.25">
      <c r="A43" s="6" t="s">
        <v>2</v>
      </c>
      <c r="B43" s="6"/>
      <c r="C43" s="6"/>
      <c r="D43" s="6"/>
      <c r="E43" s="6" t="str">
        <f ca="1">TM1ViewAdj01HeaderWB</f>
        <v>*KEY_ERR</v>
      </c>
      <c r="F43" s="6"/>
      <c r="G43" s="6" t="str">
        <f ca="1">TM1ViewAdj01HeaderWS</f>
        <v>*KEY_ERR</v>
      </c>
    </row>
    <row r="44" spans="1:7" hidden="1" outlineLevel="1" x14ac:dyDescent="0.25">
      <c r="A44" s="18" t="s">
        <v>105</v>
      </c>
      <c r="B44" s="18"/>
      <c r="C44" s="18"/>
      <c r="D44" s="18"/>
      <c r="E44" s="18" t="str">
        <f ca="1">IF($B$61=$A$45,$E45,$E46)</f>
        <v>*KEY_ERR</v>
      </c>
      <c r="F44" s="18"/>
      <c r="G44" s="18" t="str">
        <f ca="1">IF($B$61=$A$45,$G45,$G46)</f>
        <v>*KEY_ERR</v>
      </c>
    </row>
    <row r="45" spans="1:7" hidden="1" outlineLevel="1" x14ac:dyDescent="0.25">
      <c r="A45" s="6" t="s">
        <v>109</v>
      </c>
      <c r="B45" s="6"/>
      <c r="C45" s="6"/>
      <c r="D45" s="6"/>
      <c r="E45" s="6" t="str">
        <f ca="1">TM1GrpEditAdj01WB</f>
        <v>*KEY_ERR</v>
      </c>
      <c r="F45" s="6"/>
      <c r="G45" s="6" t="str">
        <f ca="1">TM1GrpEditAdj01WS</f>
        <v>*KEY_ERR</v>
      </c>
    </row>
    <row r="46" spans="1:7" hidden="1" outlineLevel="1" x14ac:dyDescent="0.25">
      <c r="A46" s="6" t="s">
        <v>2</v>
      </c>
      <c r="B46" s="6"/>
      <c r="C46" s="6"/>
      <c r="D46" s="6"/>
      <c r="E46" s="6" t="str">
        <f ca="1">TM1GrpViewAdj01HeaderWB</f>
        <v>*KEY_ERR</v>
      </c>
      <c r="F46" s="6"/>
      <c r="G46" s="6" t="str">
        <f ca="1">TM1GrpViewAdj01HeaderWS</f>
        <v>*KEY_ERR</v>
      </c>
    </row>
    <row r="47" spans="1:7" hidden="1" outlineLevel="1" x14ac:dyDescent="0.25"/>
    <row r="48" spans="1:7" hidden="1" outlineLevel="1" x14ac:dyDescent="0.25"/>
    <row r="49" spans="1:7" hidden="1" outlineLevel="1" x14ac:dyDescent="0.25"/>
    <row r="50" spans="1:7" hidden="1" outlineLevel="1" x14ac:dyDescent="0.25">
      <c r="A50" s="23" t="s">
        <v>13</v>
      </c>
      <c r="B50" s="24"/>
      <c r="C50" s="25"/>
      <c r="E50" s="23" t="s">
        <v>40</v>
      </c>
      <c r="F50" s="24"/>
      <c r="G50" s="25"/>
    </row>
    <row r="51" spans="1:7" hidden="1" outlineLevel="1" x14ac:dyDescent="0.25">
      <c r="A51" s="2" t="s">
        <v>11</v>
      </c>
      <c r="B51" s="6" t="str" cm="1">
        <f t="array" aca="1" ref="B51" ca="1">_xll.VIEW(db_name&amp;":sys_client preference","!","!","!")</f>
        <v>dcceew_geus:sys_client preference</v>
      </c>
      <c r="C51" s="6"/>
      <c r="E51" s="6" t="s">
        <v>20</v>
      </c>
      <c r="F51" s="6" t="e">
        <f>"sys_ae_"&amp;#REF!</f>
        <v>#REF!</v>
      </c>
      <c r="G51" s="6"/>
    </row>
    <row r="52" spans="1:7" hidden="1" outlineLevel="1" x14ac:dyDescent="0.25">
      <c r="A52" s="2"/>
      <c r="B52" s="7" t="s">
        <v>14</v>
      </c>
      <c r="C52" s="7" t="s">
        <v>15</v>
      </c>
    </row>
    <row r="53" spans="1:7" hidden="1" outlineLevel="1" x14ac:dyDescent="0.25">
      <c r="A53" s="2" t="s">
        <v>49</v>
      </c>
      <c r="B53" s="6" t="str" cm="1">
        <f t="array" aca="1" ref="B53" ca="1">_xll.SUBNM(db_name&amp;":sys_client preference measure","","value")</f>
        <v/>
      </c>
      <c r="C53" s="7"/>
    </row>
    <row r="54" spans="1:7" hidden="1" outlineLevel="1" x14ac:dyDescent="0.25">
      <c r="A54" s="2" t="s">
        <v>49</v>
      </c>
      <c r="B54" s="6" t="str" cm="1">
        <f t="array" aca="1" ref="B54" ca="1">_xll.SUBNM(db_name&amp;":sys_client preference measure","","validate")</f>
        <v/>
      </c>
      <c r="C54" s="7"/>
    </row>
    <row r="55" spans="1:7" hidden="1" outlineLevel="1" x14ac:dyDescent="0.25">
      <c r="A55" s="2" t="s">
        <v>16</v>
      </c>
      <c r="B55" s="6" t="str" cm="1">
        <f t="array" aca="1" ref="B55" ca="1">_xll.DBR($B$51,psUser,$A55,"value")</f>
        <v>*KEY_ERR</v>
      </c>
      <c r="C55" s="6" t="str" cm="1">
        <f t="array" aca="1" ref="C55" ca="1">_xll.DBR($B$51,psUser,$A55,"value")</f>
        <v>*KEY_ERR</v>
      </c>
    </row>
    <row r="56" spans="1:7" hidden="1" outlineLevel="1" x14ac:dyDescent="0.25">
      <c r="A56" s="2" t="s">
        <v>65</v>
      </c>
      <c r="B56" s="6" t="str" cm="1">
        <f t="array" aca="1" ref="B56" ca="1">_xll.SUBNM(db_name&amp;":headline year","","HL2018-2019")</f>
        <v/>
      </c>
      <c r="C56" s="6"/>
      <c r="D56" t="s">
        <v>68</v>
      </c>
      <c r="E56" s="16" t="str" cm="1">
        <f t="array" aca="1" ref="E56" ca="1">IF(psHLYear="",_xll.DBSS("",$B$51,psUser,$A$55,$B$52),_xll.DBSS($B$56,$B$51,psUser,$A$55,$B$52))</f>
        <v>*KEY_ERR</v>
      </c>
    </row>
    <row r="57" spans="1:7" hidden="1" outlineLevel="1" x14ac:dyDescent="0.25">
      <c r="A57" s="2" t="s">
        <v>17</v>
      </c>
      <c r="B57" s="6" t="str" cm="1">
        <f t="array" aca="1" ref="B57" ca="1">_xll.DBR($B$51,psUser,$A57,"value")</f>
        <v>*KEY_ERR</v>
      </c>
      <c r="C57" s="6" t="str" cm="1">
        <f t="array" aca="1" ref="C57" ca="1">_xll.DBR($B$51,psUser,$A57,"value")</f>
        <v>*KEY_ERR</v>
      </c>
    </row>
    <row r="58" spans="1:7" hidden="1" outlineLevel="1" x14ac:dyDescent="0.25">
      <c r="A58" s="2" t="s">
        <v>66</v>
      </c>
      <c r="B58" s="6" t="str" cm="1">
        <f t="array" aca="1" ref="B58" ca="1">_xll.SUBNM(db_name&amp;":scenario","","current")</f>
        <v/>
      </c>
      <c r="C58" s="6"/>
      <c r="D58" t="s">
        <v>69</v>
      </c>
      <c r="E58" s="16" t="str" cm="1">
        <f t="array" aca="1" ref="E58" ca="1">IF(psScenario="",_xll.DBSS("",$B$51,psUser,$A$57,$B$52),_xll.DBSS($B$58,$B$51,psUser,$A$57,$B$52))</f>
        <v>*KEY_ERR</v>
      </c>
    </row>
    <row r="59" spans="1:7" hidden="1" outlineLevel="1" x14ac:dyDescent="0.25">
      <c r="A59" s="2" t="s">
        <v>18</v>
      </c>
      <c r="B59" s="6" t="str" cm="1">
        <f t="array" aca="1" ref="B59" ca="1">_xll.DBR($B$51,psUser,$A59,"value")</f>
        <v>*KEY_ERR</v>
      </c>
      <c r="C59" s="6" t="str" cm="1">
        <f t="array" aca="1" ref="C59" ca="1">_xll.DBR($B$51,psUser,$A59,"value")</f>
        <v>*KEY_ERR</v>
      </c>
    </row>
    <row r="60" spans="1:7" hidden="1" outlineLevel="1" x14ac:dyDescent="0.25">
      <c r="A60" s="2" t="s">
        <v>67</v>
      </c>
      <c r="B60" s="6" t="str" cm="1">
        <f t="array" aca="1" ref="B60" ca="1">_xll.SUBNM(db_name&amp;":id","","")</f>
        <v/>
      </c>
      <c r="C60" s="6"/>
      <c r="D60" t="s">
        <v>70</v>
      </c>
      <c r="E60" s="16" t="str" cm="1">
        <f t="array" aca="1" ref="E60" ca="1">IF(psID="",_xll.DBSS("",$B$51,psUser,$A$59,$B$52),_xll.DBSS($B$60,$B$51,psUser,$A$59,$B$52))</f>
        <v>*KEY_ERR</v>
      </c>
    </row>
    <row r="61" spans="1:7" hidden="1" outlineLevel="1" x14ac:dyDescent="0.25">
      <c r="A61" s="2" t="s">
        <v>96</v>
      </c>
      <c r="B61" s="16" t="str" cm="1">
        <f t="array" aca="1" ref="B61" ca="1">_xll.DBR($B$51,psUser,$A61,B$52)</f>
        <v>*KEY_ERR</v>
      </c>
      <c r="C61" s="16" t="str" cm="1">
        <f t="array" aca="1" ref="C61" ca="1">_xll.DBR($B$51,psUser,$A61,C$52)</f>
        <v>*KEY_ERR</v>
      </c>
    </row>
    <row r="62" spans="1:7" hidden="1" outlineLevel="1" x14ac:dyDescent="0.25"/>
    <row r="63" spans="1:7" hidden="1" outlineLevel="1" x14ac:dyDescent="0.25">
      <c r="A63" s="23" t="s">
        <v>19</v>
      </c>
      <c r="B63" s="24"/>
      <c r="C63" s="25"/>
    </row>
    <row r="64" spans="1:7" hidden="1" outlineLevel="1" x14ac:dyDescent="0.25">
      <c r="A64" s="2" t="s">
        <v>21</v>
      </c>
      <c r="B64" s="6" t="str" cm="1">
        <f t="array" aca="1" ref="B64" ca="1">_xll.VIEW(db_name&amp;":AE id details",#REF!,#REF!,"!","!")</f>
        <v>dcceew_geus:AE id details</v>
      </c>
      <c r="C64" s="6"/>
    </row>
    <row r="65" spans="1:5" hidden="1" outlineLevel="1" x14ac:dyDescent="0.25">
      <c r="A65" s="2" t="s">
        <v>71</v>
      </c>
      <c r="B65" s="6" t="str" cm="1">
        <f t="array" aca="1" ref="B65" ca="1">_xll.DBR($B$64,psHLYear,psScenario,psID,$A65)</f>
        <v>*KEY_ERR</v>
      </c>
      <c r="C65" s="6"/>
      <c r="D65" s="6" t="s">
        <v>86</v>
      </c>
      <c r="E65" s="6" t="str" cm="1">
        <f t="array" aca="1" ref="E65" ca="1">_xll.DBR($B$64,psHLYear,psScenario,psID,$D65)</f>
        <v>*KEY_ERR</v>
      </c>
    </row>
    <row r="66" spans="1:5" hidden="1" outlineLevel="1" x14ac:dyDescent="0.25">
      <c r="A66" s="2" t="s">
        <v>72</v>
      </c>
      <c r="B66" s="6" t="str" cm="1">
        <f t="array" aca="1" ref="B66" ca="1">_xll.DBR($B$64,psHLYear,psScenario,psID,$A66)</f>
        <v>*KEY_ERR</v>
      </c>
      <c r="C66" s="6"/>
      <c r="D66" s="6" t="s">
        <v>87</v>
      </c>
      <c r="E66" s="6" t="str" cm="1">
        <f t="array" aca="1" ref="E66" ca="1">_xll.DBR($B$64,psHLYear,psScenario,psID,$D66)</f>
        <v>*KEY_ERR</v>
      </c>
    </row>
    <row r="67" spans="1:5" hidden="1" outlineLevel="1" x14ac:dyDescent="0.25">
      <c r="A67" s="2" t="s">
        <v>73</v>
      </c>
      <c r="B67" s="6" t="str" cm="1">
        <f t="array" aca="1" ref="B67" ca="1">_xll.DBR($B$64,psHLYear,psScenario,psID,$A67)</f>
        <v>*KEY_ERR</v>
      </c>
      <c r="C67" s="6"/>
      <c r="D67" s="6" t="s">
        <v>88</v>
      </c>
      <c r="E67" s="6" t="str" cm="1">
        <f t="array" aca="1" ref="E67" ca="1">_xll.DBR($B$64,psHLYear,psScenario,psID,$D67)</f>
        <v>*KEY_ERR</v>
      </c>
    </row>
    <row r="68" spans="1:5" hidden="1" outlineLevel="1" x14ac:dyDescent="0.25">
      <c r="A68" s="2" t="s">
        <v>74</v>
      </c>
      <c r="B68" s="6" t="str" cm="1">
        <f t="array" aca="1" ref="B68" ca="1">_xll.DBR($B$64,psHLYear,psScenario,psID,$A68)</f>
        <v>*KEY_ERR</v>
      </c>
      <c r="C68" s="6"/>
      <c r="D68" s="6" t="s">
        <v>89</v>
      </c>
      <c r="E68" s="6" t="str" cm="1">
        <f t="array" aca="1" ref="E68" ca="1">_xll.DBR($B$64,psHLYear,psScenario,psID,$D68)</f>
        <v>*KEY_ERR</v>
      </c>
    </row>
    <row r="69" spans="1:5" hidden="1" outlineLevel="1" x14ac:dyDescent="0.25">
      <c r="A69" s="2" t="s">
        <v>1</v>
      </c>
      <c r="B69" s="6" t="str" cm="1">
        <f t="array" aca="1" ref="B69" ca="1">_xll.DBR($B$64,psHLYear,psScenario,psID,$A69)</f>
        <v>*KEY_ERR</v>
      </c>
      <c r="C69" s="6"/>
      <c r="D69" s="6" t="s">
        <v>90</v>
      </c>
      <c r="E69" s="6" t="str" cm="1">
        <f t="array" aca="1" ref="E69" ca="1">_xll.DBR($B$64,psHLYear,psScenario,psID,$D69)</f>
        <v>*KEY_ERR</v>
      </c>
    </row>
    <row r="70" spans="1:5" hidden="1" outlineLevel="1" x14ac:dyDescent="0.25">
      <c r="A70" s="2" t="s">
        <v>75</v>
      </c>
      <c r="B70" s="6" t="str" cm="1">
        <f t="array" aca="1" ref="B70" ca="1">_xll.DBR($B$64,psHLYear,psScenario,psID,$A70)</f>
        <v>*KEY_ERR</v>
      </c>
      <c r="C70" s="6"/>
      <c r="D70" s="6" t="s">
        <v>91</v>
      </c>
      <c r="E70" s="6" t="str" cm="1">
        <f t="array" aca="1" ref="E70" ca="1">_xll.DBR($B$64,psHLYear,psScenario,psID,$D70)</f>
        <v>*KEY_ERR</v>
      </c>
    </row>
    <row r="71" spans="1:5" hidden="1" outlineLevel="1" x14ac:dyDescent="0.25">
      <c r="A71" s="2" t="s">
        <v>61</v>
      </c>
      <c r="B71" s="6" t="str" cm="1">
        <f t="array" aca="1" ref="B71" ca="1">_xll.DBR($B$64,psHLYear,psScenario,psID,$A71)</f>
        <v>*KEY_ERR</v>
      </c>
      <c r="C71" s="6"/>
      <c r="D71" s="6" t="s">
        <v>92</v>
      </c>
      <c r="E71" s="6" t="str" cm="1">
        <f t="array" aca="1" ref="E71" ca="1">_xll.DBR($B$64,psHLYear,psScenario,psID,$D71)</f>
        <v>*KEY_ERR</v>
      </c>
    </row>
    <row r="72" spans="1:5" hidden="1" outlineLevel="1" x14ac:dyDescent="0.25">
      <c r="A72" s="2" t="s">
        <v>34</v>
      </c>
      <c r="B72" s="6" t="str" cm="1">
        <f t="array" aca="1" ref="B72" ca="1">_xll.DBR($B$64,psHLYear,psScenario,psID,$A72)</f>
        <v>*KEY_ERR</v>
      </c>
      <c r="C72" s="6"/>
      <c r="D72" s="6" t="s">
        <v>93</v>
      </c>
      <c r="E72" s="6" t="str" cm="1">
        <f t="array" aca="1" ref="E72" ca="1">_xll.DBR($B$64,psHLYear,psScenario,psID,$D72)</f>
        <v>*KEY_ERR</v>
      </c>
    </row>
    <row r="73" spans="1:5" hidden="1" outlineLevel="1" x14ac:dyDescent="0.25">
      <c r="A73" s="2" t="s">
        <v>53</v>
      </c>
      <c r="B73" s="6" t="str" cm="1">
        <f t="array" aca="1" ref="B73" ca="1">_xll.DBR($B$64,psHLYear,psScenario,psID,$A73)</f>
        <v>*KEY_ERR</v>
      </c>
      <c r="C73" s="6"/>
      <c r="D73" s="6" t="s">
        <v>94</v>
      </c>
      <c r="E73" s="6" t="str" cm="1">
        <f t="array" aca="1" ref="E73" ca="1">_xll.DBR($B$64,psHLYear,psScenario,psID,$D73)</f>
        <v>*KEY_ERR</v>
      </c>
    </row>
    <row r="74" spans="1:5" hidden="1" outlineLevel="1" x14ac:dyDescent="0.25">
      <c r="A74" s="2" t="s">
        <v>76</v>
      </c>
      <c r="B74" s="6" t="str" cm="1">
        <f t="array" aca="1" ref="B74" ca="1">_xll.DBR($B$64,psHLYear,psScenario,psID,$A74)</f>
        <v>*KEY_ERR</v>
      </c>
      <c r="C74" s="6"/>
      <c r="D74" s="6" t="s">
        <v>95</v>
      </c>
      <c r="E74" s="6" t="str" cm="1">
        <f t="array" aca="1" ref="E74" ca="1">_xll.DBR($B$64,psHLYear,psScenario,psID,$D74)</f>
        <v>*KEY_ERR</v>
      </c>
    </row>
    <row r="75" spans="1:5" hidden="1" outlineLevel="1" x14ac:dyDescent="0.25">
      <c r="A75" s="2" t="s">
        <v>77</v>
      </c>
      <c r="B75" s="6" t="str" cm="1">
        <f t="array" aca="1" ref="B75" ca="1">_xll.DBR($B$64,psHLYear,psScenario,psID,$A75)</f>
        <v>*KEY_ERR</v>
      </c>
      <c r="C75" s="6"/>
    </row>
    <row r="76" spans="1:5" hidden="1" outlineLevel="1" x14ac:dyDescent="0.25">
      <c r="A76" s="2" t="s">
        <v>52</v>
      </c>
      <c r="B76" s="6" t="str" cm="1">
        <f t="array" aca="1" ref="B76" ca="1">_xll.DBR($B$64,psHLYear,psScenario,psID,$A76)</f>
        <v>*KEY_ERR</v>
      </c>
      <c r="C76" s="6"/>
    </row>
    <row r="77" spans="1:5" hidden="1" outlineLevel="1" x14ac:dyDescent="0.25">
      <c r="A77" s="2" t="s">
        <v>54</v>
      </c>
      <c r="B77" s="6" t="str" cm="1">
        <f t="array" aca="1" ref="B77" ca="1">_xll.DBR($B$64,psHLYear,psScenario,psID,$A77)</f>
        <v>*KEY_ERR</v>
      </c>
      <c r="C77" s="6"/>
    </row>
    <row r="78" spans="1:5" hidden="1" outlineLevel="1" x14ac:dyDescent="0.25">
      <c r="A78" s="2" t="s">
        <v>55</v>
      </c>
      <c r="B78" s="6" t="str" cm="1">
        <f t="array" aca="1" ref="B78" ca="1">_xll.DBR($B$64,psHLYear,psScenario,psID,$A78)</f>
        <v>*KEY_ERR</v>
      </c>
      <c r="C78" s="6"/>
    </row>
    <row r="79" spans="1:5" hidden="1" outlineLevel="1" x14ac:dyDescent="0.25">
      <c r="A79" s="2" t="s">
        <v>119</v>
      </c>
      <c r="B79" s="6" t="str" cm="1">
        <f t="array" aca="1" ref="B79" ca="1">_xll.DBR($B$64,psHLYear,psScenario,psID,$A79)</f>
        <v>*KEY_ERR</v>
      </c>
      <c r="C79" s="6"/>
    </row>
    <row r="80" spans="1:5" hidden="1" outlineLevel="1" x14ac:dyDescent="0.25">
      <c r="A80" s="2" t="s">
        <v>78</v>
      </c>
      <c r="B80" s="6" t="str" cm="1">
        <f t="array" aca="1" ref="B80" ca="1">_xll.DBR($B$64,psHLYear,psScenario,psID,$A80)</f>
        <v>*KEY_ERR</v>
      </c>
      <c r="C80" s="6"/>
    </row>
    <row r="81" spans="1:5" hidden="1" outlineLevel="1" x14ac:dyDescent="0.25">
      <c r="A81" s="2" t="s">
        <v>79</v>
      </c>
      <c r="B81" s="6" t="str" cm="1">
        <f t="array" aca="1" ref="B81" ca="1">_xll.DBR($B$64,psHLYear,psScenario,psID,$A81)</f>
        <v>*KEY_ERR</v>
      </c>
      <c r="C81" s="6"/>
    </row>
    <row r="82" spans="1:5" hidden="1" outlineLevel="1" x14ac:dyDescent="0.25">
      <c r="A82" s="2" t="s">
        <v>134</v>
      </c>
      <c r="B82" s="6" t="str" cm="1">
        <f t="array" aca="1" ref="B82" ca="1">_xll.DBR($B$64,psHLYear,psScenario,psID,$A82)</f>
        <v>*KEY_ERR</v>
      </c>
      <c r="C82" s="6"/>
    </row>
    <row r="83" spans="1:5" hidden="1" outlineLevel="1" x14ac:dyDescent="0.25">
      <c r="A83" s="2" t="s">
        <v>113</v>
      </c>
      <c r="B83" s="6" t="str" cm="1">
        <f t="array" aca="1" ref="B83" ca="1">_xll.DBR($B$64,psHLYear,psScenario,psID,$A83)</f>
        <v>*KEY_ERR</v>
      </c>
      <c r="C83" s="6"/>
    </row>
    <row r="84" spans="1:5" hidden="1" outlineLevel="1" x14ac:dyDescent="0.25">
      <c r="A84" s="2" t="s">
        <v>80</v>
      </c>
      <c r="B84" s="6" t="str" cm="1">
        <f t="array" aca="1" ref="B84" ca="1">_xll.DBR($B$64,psHLYear,psScenario,psID,$A84)</f>
        <v>*KEY_ERR</v>
      </c>
      <c r="C84" s="6"/>
    </row>
    <row r="85" spans="1:5" hidden="1" outlineLevel="1" x14ac:dyDescent="0.25">
      <c r="A85" s="2" t="s">
        <v>81</v>
      </c>
      <c r="B85" s="6" t="str" cm="1">
        <f t="array" aca="1" ref="B85" ca="1">_xll.DBR($B$64,psHLYear,psScenario,psID,$A85)</f>
        <v>*KEY_ERR</v>
      </c>
      <c r="C85" s="6"/>
    </row>
    <row r="86" spans="1:5" hidden="1" outlineLevel="1" x14ac:dyDescent="0.25">
      <c r="A86" s="2" t="s">
        <v>82</v>
      </c>
      <c r="B86" s="6" t="str" cm="1">
        <f t="array" aca="1" ref="B86" ca="1">_xll.DBR($B$64,psHLYear,psScenario,psID,$A86)</f>
        <v>*KEY_ERR</v>
      </c>
      <c r="C86" s="6"/>
    </row>
    <row r="87" spans="1:5" hidden="1" outlineLevel="1" x14ac:dyDescent="0.25">
      <c r="A87" s="2" t="s">
        <v>83</v>
      </c>
      <c r="B87" s="6" t="str" cm="1">
        <f t="array" aca="1" ref="B87" ca="1">_xll.DBR($B$64,psHLYear,psScenario,psID,$A87)</f>
        <v>*KEY_ERR</v>
      </c>
      <c r="C87" s="6"/>
    </row>
    <row r="88" spans="1:5" hidden="1" outlineLevel="1" x14ac:dyDescent="0.25">
      <c r="A88" s="2" t="s">
        <v>84</v>
      </c>
      <c r="B88" s="6" t="str" cm="1">
        <f t="array" aca="1" ref="B88" ca="1">_xll.DBR($B$64,psHLYear,psScenario,psID,$A88)</f>
        <v>*KEY_ERR</v>
      </c>
      <c r="C88" s="6"/>
    </row>
    <row r="89" spans="1:5" hidden="1" outlineLevel="1" x14ac:dyDescent="0.25">
      <c r="A89" s="2" t="s">
        <v>85</v>
      </c>
      <c r="B89" s="6" t="str" cm="1">
        <f t="array" aca="1" ref="B89" ca="1">_xll.DBR($B$64,psHLYear,psScenario,psID,$A89)</f>
        <v>*KEY_ERR</v>
      </c>
      <c r="C89" s="6"/>
    </row>
    <row r="90" spans="1:5" hidden="1" outlineLevel="1" x14ac:dyDescent="0.25">
      <c r="A90" s="2" t="s">
        <v>130</v>
      </c>
      <c r="B90" s="6" t="str" cm="1">
        <f t="array" aca="1" ref="B90" ca="1">_xll.DBR($B$64,psHLYear,psScenario,psID,$A90)</f>
        <v>*KEY_ERR</v>
      </c>
      <c r="C90" s="6"/>
    </row>
    <row r="91" spans="1:5" hidden="1" outlineLevel="1" x14ac:dyDescent="0.25"/>
    <row r="92" spans="1:5" hidden="1" outlineLevel="1" x14ac:dyDescent="0.25">
      <c r="A92" s="23" t="s">
        <v>50</v>
      </c>
      <c r="B92" s="24"/>
      <c r="C92" s="25"/>
      <c r="D92" s="15" t="s">
        <v>59</v>
      </c>
      <c r="E92" s="15" t="s">
        <v>58</v>
      </c>
    </row>
    <row r="93" spans="1:5" hidden="1" outlineLevel="1" x14ac:dyDescent="0.25">
      <c r="A93" s="2" t="s">
        <v>21</v>
      </c>
      <c r="B93" s="6" t="str" cm="1">
        <f t="array" aca="1" ref="B93" ca="1">_xll.VIEW(db_name&amp;":programme details",$B$11,$B$12,"!","!")</f>
        <v>dcceew_geus:programme details</v>
      </c>
      <c r="C93" s="6"/>
    </row>
    <row r="94" spans="1:5" hidden="1" outlineLevel="1" x14ac:dyDescent="0.25">
      <c r="A94" s="6" t="s">
        <v>51</v>
      </c>
      <c r="B94" s="6" t="str" cm="1">
        <f t="array" aca="1" ref="B94" ca="1">_xll.DBR($B$93,psHLYear,psScenario,$B$69,$A94)</f>
        <v>*KEY_ERR</v>
      </c>
      <c r="C94" s="6" t="str" cm="1">
        <f t="array" aca="1" ref="C94" ca="1">_xll.DBRA(db_name&amp;":"&amp;$A94,$B94,"code and description")</f>
        <v/>
      </c>
      <c r="E94" t="str" cm="1">
        <f t="array" aca="1" ref="E94" ca="1">_xll.VIEW(db_name&amp;":}ElementAttributes_"&amp;$A94,"!","!")</f>
        <v>dcceew_geus:}ElementAttributes_programme</v>
      </c>
    </row>
    <row r="95" spans="1:5" hidden="1" outlineLevel="1" x14ac:dyDescent="0.25">
      <c r="A95" s="6" t="s">
        <v>52</v>
      </c>
      <c r="B95" s="6" t="str" cm="1">
        <f t="array" aca="1" ref="B95" ca="1">_xll.DBR($B$93,psHLYear,psScenario,$B$69,$A95)</f>
        <v>*KEY_ERR</v>
      </c>
      <c r="C95" s="6" t="str" cm="1">
        <f t="array" aca="1" ref="C95" ca="1">_xll.DBRA(db_name&amp;":"&amp;$A95,$B95,"code and description")</f>
        <v/>
      </c>
      <c r="E95" t="str" cm="1">
        <f t="array" aca="1" ref="E95" ca="1">_xll.VIEW(db_name&amp;":}ElementAttributes_"&amp;$A95,"!","!")</f>
        <v>dcceew_geus:}ElementAttributes_function</v>
      </c>
    </row>
    <row r="96" spans="1:5" hidden="1" outlineLevel="1" x14ac:dyDescent="0.25">
      <c r="A96" s="6" t="s">
        <v>53</v>
      </c>
      <c r="B96" s="6" t="str" cm="1">
        <f t="array" aca="1" ref="B96" ca="1">_xll.DBR($B$93,psHLYear,psScenario,$B$69,$A96)</f>
        <v>*KEY_ERR</v>
      </c>
      <c r="C96" s="6" t="str" cm="1">
        <f t="array" aca="1" ref="C96" ca="1">_xll.DBRA(db_name&amp;":"&amp;$A96,$B96,"code and description")</f>
        <v/>
      </c>
      <c r="E96" t="str" cm="1">
        <f t="array" aca="1" ref="E96" ca="1">_xll.VIEW(db_name&amp;":}ElementAttributes_"&amp;$A96,"!","!")</f>
        <v>dcceew_geus:}ElementAttributes_outcome</v>
      </c>
    </row>
    <row r="97" spans="1:18" hidden="1" outlineLevel="1" x14ac:dyDescent="0.25">
      <c r="A97" s="6" t="s">
        <v>54</v>
      </c>
      <c r="B97" s="6" t="str" cm="1">
        <f t="array" aca="1" ref="B97" ca="1">_xll.DBR($B$93,psHLYear,psScenario,$B$69,$A97)</f>
        <v>*KEY_ERR</v>
      </c>
      <c r="C97" s="6" t="str" cm="1">
        <f t="array" aca="1" ref="C97" ca="1">_xll.DBRA(db_name&amp;":"&amp;$A97,$B97,"code and description")</f>
        <v/>
      </c>
      <c r="E97" t="str" cm="1">
        <f t="array" aca="1" ref="E97" ca="1">_xll.VIEW(db_name&amp;":}ElementAttributes_"&amp;$A97,"!","!")</f>
        <v>dcceew_geus:}ElementAttributes_appropriation type</v>
      </c>
    </row>
    <row r="98" spans="1:18" hidden="1" outlineLevel="1" x14ac:dyDescent="0.25">
      <c r="A98" s="6" t="s">
        <v>55</v>
      </c>
      <c r="B98" s="6" t="str" cm="1">
        <f t="array" aca="1" ref="B98" ca="1">_xll.DBR($B$93,psHLYear,psScenario,$B$69,$A98)</f>
        <v>*KEY_ERR</v>
      </c>
      <c r="C98" s="6" t="str" cm="1">
        <f t="array" aca="1" ref="C98" ca="1">_xll.DBRA(db_name&amp;":"&amp;$A98,$B98,"code and description")</f>
        <v/>
      </c>
      <c r="E98" t="str" cm="1">
        <f t="array" aca="1" ref="E98" ca="1">_xll.VIEW(db_name&amp;":}ElementAttributes_"&amp;$A98,"!","!")</f>
        <v>dcceew_geus:}ElementAttributes_appropriation item</v>
      </c>
    </row>
    <row r="99" spans="1:18" hidden="1" outlineLevel="1" x14ac:dyDescent="0.25">
      <c r="A99" s="6" t="s">
        <v>56</v>
      </c>
      <c r="B99" s="6" t="str" cm="1">
        <f t="array" aca="1" ref="B99" ca="1">_xll.DBR($B$93,psHLYear,psScenario,$B$69,$A99)</f>
        <v>*KEY_ERR</v>
      </c>
      <c r="C99" s="6" t="str" cm="1">
        <f t="array" aca="1" ref="C99" ca="1">_xll.DBRA(db_name&amp;":"&amp;$A99,$B99,"code and description")</f>
        <v/>
      </c>
      <c r="E99" t="str" cm="1">
        <f t="array" aca="1" ref="E99" ca="1">_xll.VIEW(db_name&amp;":}ElementAttributes_"&amp;$A99,"!","!")</f>
        <v>dcceew_geus:}ElementAttributes_SPP</v>
      </c>
    </row>
    <row r="100" spans="1:18" hidden="1" outlineLevel="1" x14ac:dyDescent="0.25">
      <c r="A100" s="6" t="s">
        <v>57</v>
      </c>
      <c r="B100" s="6" t="str" cm="1">
        <f t="array" aca="1" ref="B100" ca="1">_xll.DBR($B$93,psHLYear,psScenario,$B$69,$A100)</f>
        <v>*KEY_ERR</v>
      </c>
      <c r="C100" s="6" t="str">
        <f ca="1">TRIM(B100)</f>
        <v>*KEY_ERR</v>
      </c>
    </row>
    <row r="101" spans="1:18" hidden="1" outlineLevel="1" x14ac:dyDescent="0.25"/>
    <row r="102" spans="1:18" hidden="1" outlineLevel="1" x14ac:dyDescent="0.25">
      <c r="A102" s="26" t="s">
        <v>60</v>
      </c>
      <c r="B102" s="27"/>
    </row>
    <row r="103" spans="1:18" hidden="1" outlineLevel="1" x14ac:dyDescent="0.25">
      <c r="A103" s="6" t="s">
        <v>61</v>
      </c>
      <c r="B103" s="6" t="str" cm="1">
        <f t="array" aca="1" ref="B103" ca="1">_xll.VIEW(db_name&amp;":}ElementAttributes_"&amp; A103,"!","!")</f>
        <v>dcceew_geus:}ElementAttributes_reason</v>
      </c>
    </row>
    <row r="104" spans="1:18" hidden="1" outlineLevel="1" x14ac:dyDescent="0.25">
      <c r="A104" s="6" t="s">
        <v>62</v>
      </c>
      <c r="B104" s="6" t="str" cm="1">
        <f t="array" aca="1" ref="B104" ca="1">_xll.DBR($B$103,$B$71,$A104)</f>
        <v>*KEY_ERR</v>
      </c>
    </row>
    <row r="105" spans="1:18" hidden="1" outlineLevel="1" x14ac:dyDescent="0.25">
      <c r="A105" t="s">
        <v>115</v>
      </c>
      <c r="B105" s="6" t="str" cm="1">
        <f t="array" aca="1" ref="B105" ca="1">_xll.DBR($B$103,$B$71,$A105)</f>
        <v>*KEY_ERR</v>
      </c>
    </row>
    <row r="106" spans="1:18" hidden="1" outlineLevel="1" x14ac:dyDescent="0.25"/>
    <row r="107" spans="1:18" hidden="1" outlineLevel="1" x14ac:dyDescent="0.25"/>
    <row r="108" spans="1:18" hidden="1" outlineLevel="1" x14ac:dyDescent="0.25"/>
    <row r="109" spans="1:18" ht="39.75" customHeight="1" collapsed="1" x14ac:dyDescent="0.25">
      <c r="I109" s="10"/>
      <c r="J109" s="10"/>
      <c r="K109" s="10"/>
      <c r="L109" s="10"/>
      <c r="M109" s="10"/>
      <c r="N109" s="10"/>
      <c r="O109" s="10"/>
      <c r="P109" s="10"/>
      <c r="Q109" s="10"/>
      <c r="R109" s="14" t="s">
        <v>63</v>
      </c>
    </row>
    <row r="110" spans="1:18" ht="4.5" customHeight="1" x14ac:dyDescent="0.25"/>
    <row r="111" spans="1:18" ht="24" customHeight="1" x14ac:dyDescent="0.25"/>
    <row r="112" spans="1:18" ht="2.1" customHeight="1" x14ac:dyDescent="0.25"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1:19" ht="5.0999999999999996" customHeight="1" x14ac:dyDescent="0.25"/>
    <row r="114" spans="11:19" x14ac:dyDescent="0.25">
      <c r="K114" s="11" t="s">
        <v>125</v>
      </c>
      <c r="M114" s="22" t="str">
        <f ca="1">psHLYear</f>
        <v/>
      </c>
      <c r="N114" s="11" t="s">
        <v>126</v>
      </c>
      <c r="O114" s="22" t="str">
        <f ca="1">psScenario</f>
        <v/>
      </c>
      <c r="Q114" s="11" t="s">
        <v>128</v>
      </c>
      <c r="R114" s="22" t="str">
        <f ca="1">B13</f>
        <v>*KEY_ERR</v>
      </c>
    </row>
    <row r="115" spans="11:19" ht="5.0999999999999996" customHeight="1" x14ac:dyDescent="0.25"/>
    <row r="116" spans="11:19" x14ac:dyDescent="0.25">
      <c r="K116" s="11" t="s">
        <v>112</v>
      </c>
      <c r="M116" s="19" t="str">
        <f ca="1">psID</f>
        <v/>
      </c>
      <c r="N116" s="11" t="s">
        <v>111</v>
      </c>
      <c r="O116" s="19" t="str">
        <f ca="1">$B$83</f>
        <v>*KEY_ERR</v>
      </c>
      <c r="Q116" s="11" t="s">
        <v>129</v>
      </c>
      <c r="R116" s="22" t="str">
        <f ca="1">$B$65</f>
        <v>*KEY_ERR</v>
      </c>
    </row>
    <row r="117" spans="11:19" ht="5.0999999999999996" customHeight="1" x14ac:dyDescent="0.25">
      <c r="Q117" s="11"/>
      <c r="R117" s="11"/>
      <c r="S117" s="11"/>
    </row>
    <row r="118" spans="11:19" x14ac:dyDescent="0.25">
      <c r="K118" s="11" t="s">
        <v>39</v>
      </c>
      <c r="M118" s="29" t="str">
        <f ca="1">$B$80</f>
        <v>*KEY_ERR</v>
      </c>
      <c r="N118" s="30"/>
      <c r="O118" s="31"/>
      <c r="Q118" s="11"/>
      <c r="R118" s="11"/>
      <c r="S118" s="11"/>
    </row>
    <row r="119" spans="11:19" ht="4.5" customHeight="1" x14ac:dyDescent="0.25">
      <c r="Q119" s="11"/>
      <c r="R119" s="11"/>
      <c r="S119" s="11"/>
    </row>
    <row r="120" spans="11:19" x14ac:dyDescent="0.25">
      <c r="K120" s="11" t="s">
        <v>41</v>
      </c>
      <c r="M120" s="29" t="str">
        <f ca="1">$B$66</f>
        <v>*KEY_ERR</v>
      </c>
      <c r="N120" s="30"/>
      <c r="O120" s="31"/>
      <c r="Q120" s="11"/>
      <c r="R120" s="11"/>
      <c r="S120" s="11"/>
    </row>
    <row r="121" spans="11:19" ht="5.0999999999999996" customHeight="1" x14ac:dyDescent="0.25">
      <c r="Q121" s="11"/>
      <c r="R121" s="11"/>
      <c r="S121" s="11"/>
    </row>
    <row r="122" spans="11:19" x14ac:dyDescent="0.25">
      <c r="K122" s="11" t="s">
        <v>42</v>
      </c>
      <c r="M122" s="28" t="str">
        <f ca="1">$B$67</f>
        <v>*KEY_ERR</v>
      </c>
      <c r="N122" s="28"/>
      <c r="O122" s="28"/>
      <c r="Q122" s="11"/>
      <c r="R122" s="11"/>
      <c r="S122" s="11"/>
    </row>
    <row r="123" spans="11:19" x14ac:dyDescent="0.25">
      <c r="M123" s="28"/>
      <c r="N123" s="28"/>
      <c r="O123" s="28"/>
      <c r="Q123" s="11"/>
      <c r="R123" s="11"/>
      <c r="S123" s="11"/>
    </row>
    <row r="124" spans="11:19" x14ac:dyDescent="0.25">
      <c r="K124" s="1"/>
      <c r="L124" s="1"/>
      <c r="M124" s="28"/>
      <c r="N124" s="28"/>
      <c r="O124" s="28"/>
      <c r="Q124" s="11"/>
      <c r="R124" s="11"/>
      <c r="S124" s="11"/>
    </row>
    <row r="125" spans="11:19" ht="5.0999999999999996" customHeight="1" x14ac:dyDescent="0.25">
      <c r="Q125" s="11"/>
      <c r="R125" s="11"/>
      <c r="S125" s="11"/>
    </row>
    <row r="126" spans="11:19" x14ac:dyDescent="0.25">
      <c r="K126" s="11" t="s">
        <v>114</v>
      </c>
      <c r="M126" s="28" t="str">
        <f ca="1">$B$68</f>
        <v>*KEY_ERR</v>
      </c>
      <c r="N126" s="28"/>
      <c r="O126" s="28"/>
      <c r="R126" s="11"/>
      <c r="S126" s="11"/>
    </row>
    <row r="127" spans="11:19" x14ac:dyDescent="0.25">
      <c r="M127" s="28"/>
      <c r="N127" s="28"/>
      <c r="O127" s="28"/>
      <c r="R127" s="11"/>
      <c r="S127" s="11"/>
    </row>
    <row r="128" spans="11:19" x14ac:dyDescent="0.25">
      <c r="K128" s="1"/>
      <c r="L128" s="1"/>
      <c r="M128" s="28"/>
      <c r="N128" s="28"/>
      <c r="O128" s="28"/>
      <c r="R128" s="11"/>
      <c r="S128" s="11"/>
    </row>
    <row r="129" spans="11:19" ht="5.0999999999999996" customHeight="1" x14ac:dyDescent="0.25">
      <c r="Q129" s="11"/>
      <c r="R129" s="11"/>
      <c r="S129" s="11"/>
    </row>
    <row r="130" spans="11:19" x14ac:dyDescent="0.25">
      <c r="K130" s="11" t="s">
        <v>38</v>
      </c>
      <c r="M130" s="29" t="str">
        <f ca="1">$B$105</f>
        <v>*KEY_ERR</v>
      </c>
      <c r="N130" s="30"/>
      <c r="O130" s="31"/>
      <c r="Q130" s="1"/>
      <c r="R130" s="1"/>
      <c r="S130" s="1"/>
    </row>
    <row r="131" spans="11:19" ht="5.0999999999999996" customHeight="1" x14ac:dyDescent="0.25">
      <c r="Q131" s="1"/>
      <c r="R131" s="1"/>
      <c r="S131" s="1"/>
    </row>
    <row r="132" spans="11:19" x14ac:dyDescent="0.25">
      <c r="K132" s="11" t="s">
        <v>132</v>
      </c>
      <c r="M132" s="29" t="str">
        <f ca="1">$B$70</f>
        <v>*KEY_ERR</v>
      </c>
      <c r="N132" s="30"/>
      <c r="O132" s="31"/>
      <c r="Q132" s="1"/>
      <c r="R132" s="1"/>
      <c r="S132" s="1"/>
    </row>
    <row r="133" spans="11:19" ht="5.0999999999999996" customHeight="1" x14ac:dyDescent="0.25">
      <c r="Q133" s="1"/>
      <c r="R133" s="1"/>
      <c r="S133" s="1"/>
    </row>
    <row r="134" spans="11:19" x14ac:dyDescent="0.25">
      <c r="K134" s="11" t="s">
        <v>117</v>
      </c>
      <c r="M134" s="21" t="str">
        <f ca="1">$B$74</f>
        <v>*KEY_ERR</v>
      </c>
      <c r="N134" s="11" t="s">
        <v>116</v>
      </c>
      <c r="O134" s="20" t="str">
        <f ca="1">$B$75</f>
        <v>*KEY_ERR</v>
      </c>
      <c r="Q134" s="1"/>
      <c r="R134" s="1"/>
      <c r="S134" s="1"/>
    </row>
    <row r="135" spans="11:19" ht="5.0999999999999996" customHeight="1" x14ac:dyDescent="0.25">
      <c r="Q135" s="1"/>
      <c r="R135" s="1"/>
      <c r="S135" s="1"/>
    </row>
    <row r="136" spans="11:19" x14ac:dyDescent="0.25">
      <c r="K136" s="1"/>
      <c r="L136" s="1"/>
      <c r="M136" s="32" t="s">
        <v>118</v>
      </c>
      <c r="N136" s="32"/>
      <c r="O136" s="32"/>
      <c r="Q136" s="1"/>
      <c r="R136" s="1"/>
      <c r="S136" s="1"/>
    </row>
    <row r="137" spans="11:19" ht="5.0999999999999996" customHeight="1" x14ac:dyDescent="0.25">
      <c r="K137" s="1"/>
      <c r="L137" s="1"/>
      <c r="M137" s="12"/>
      <c r="N137" s="12"/>
      <c r="O137" s="12"/>
      <c r="Q137" s="1"/>
      <c r="R137" s="1"/>
      <c r="S137" s="1"/>
    </row>
    <row r="138" spans="11:19" x14ac:dyDescent="0.25">
      <c r="K138" s="11" t="s">
        <v>48</v>
      </c>
      <c r="L138" s="1"/>
      <c r="M138" s="33" t="str">
        <f ca="1">$B$94</f>
        <v>*KEY_ERR</v>
      </c>
      <c r="N138" s="34"/>
      <c r="O138" s="35"/>
      <c r="Q138" s="1"/>
      <c r="R138" s="1"/>
      <c r="S138" s="1"/>
    </row>
    <row r="139" spans="11:19" ht="5.0999999999999996" customHeight="1" x14ac:dyDescent="0.25">
      <c r="K139" s="11"/>
      <c r="L139" s="1"/>
      <c r="M139" s="13"/>
      <c r="N139" s="13"/>
      <c r="O139" s="13"/>
      <c r="Q139" s="1"/>
      <c r="R139" s="1"/>
      <c r="S139" s="1"/>
    </row>
    <row r="140" spans="11:19" x14ac:dyDescent="0.25">
      <c r="K140" s="11" t="s">
        <v>45</v>
      </c>
      <c r="L140" s="1"/>
      <c r="M140" s="29" t="str">
        <f ca="1">$B$73</f>
        <v>*KEY_ERR</v>
      </c>
      <c r="N140" s="30"/>
      <c r="O140" s="31"/>
      <c r="Q140" s="1"/>
      <c r="R140" s="1"/>
      <c r="S140" s="1"/>
    </row>
    <row r="141" spans="11:19" ht="5.0999999999999996" customHeight="1" x14ac:dyDescent="0.25">
      <c r="K141" s="11"/>
      <c r="L141" s="1"/>
      <c r="Q141" s="1"/>
      <c r="R141" s="1"/>
      <c r="S141" s="1"/>
    </row>
    <row r="142" spans="11:19" x14ac:dyDescent="0.25">
      <c r="K142" s="11" t="s">
        <v>46</v>
      </c>
      <c r="L142" s="1"/>
      <c r="M142" s="29" t="str">
        <f ca="1">B76</f>
        <v>*KEY_ERR</v>
      </c>
      <c r="N142" s="30"/>
      <c r="O142" s="31"/>
      <c r="Q142" s="1"/>
      <c r="R142" s="1"/>
      <c r="S142" s="1"/>
    </row>
    <row r="143" spans="11:19" ht="5.0999999999999996" customHeight="1" x14ac:dyDescent="0.25">
      <c r="K143" s="11"/>
      <c r="L143" s="1"/>
      <c r="Q143" s="1"/>
      <c r="R143" s="1"/>
      <c r="S143" s="1"/>
    </row>
    <row r="144" spans="11:19" x14ac:dyDescent="0.25">
      <c r="K144" s="11" t="s">
        <v>47</v>
      </c>
      <c r="L144" s="1"/>
      <c r="M144" s="29" t="str">
        <f ca="1">$B$79</f>
        <v>*KEY_ERR</v>
      </c>
      <c r="N144" s="30"/>
      <c r="O144" s="31"/>
      <c r="Q144" s="1"/>
      <c r="R144" s="1"/>
      <c r="S144" s="1"/>
    </row>
    <row r="145" spans="11:19" ht="5.0999999999999996" customHeight="1" x14ac:dyDescent="0.25">
      <c r="K145" s="11"/>
      <c r="L145" s="1"/>
      <c r="Q145" s="1"/>
      <c r="R145" s="1"/>
      <c r="S145" s="1"/>
    </row>
    <row r="146" spans="11:19" x14ac:dyDescent="0.25">
      <c r="K146" s="11" t="s">
        <v>43</v>
      </c>
      <c r="L146" s="1"/>
      <c r="M146" s="29" t="str">
        <f ca="1">$B$77</f>
        <v>*KEY_ERR</v>
      </c>
      <c r="N146" s="30"/>
      <c r="O146" s="31"/>
      <c r="Q146" s="1"/>
      <c r="R146" s="1"/>
      <c r="S146" s="1"/>
    </row>
    <row r="147" spans="11:19" ht="5.0999999999999996" customHeight="1" x14ac:dyDescent="0.25">
      <c r="K147" s="11"/>
      <c r="L147" s="1"/>
      <c r="Q147" s="1"/>
      <c r="R147" s="1"/>
      <c r="S147" s="1"/>
    </row>
    <row r="148" spans="11:19" x14ac:dyDescent="0.25">
      <c r="K148" s="11" t="s">
        <v>44</v>
      </c>
      <c r="L148" s="1"/>
      <c r="M148" s="29" t="str">
        <f ca="1">$B$78</f>
        <v>*KEY_ERR</v>
      </c>
      <c r="N148" s="30"/>
      <c r="O148" s="31"/>
      <c r="Q148" s="1"/>
      <c r="R148" s="1"/>
      <c r="S148" s="1"/>
    </row>
    <row r="149" spans="11:19" ht="5.0999999999999996" customHeight="1" x14ac:dyDescent="0.25">
      <c r="K149" s="1"/>
      <c r="L149" s="1"/>
      <c r="Q149" s="1"/>
      <c r="R149" s="1"/>
      <c r="S149" s="1"/>
    </row>
    <row r="150" spans="11:19" x14ac:dyDescent="0.25">
      <c r="K150" s="1"/>
      <c r="L150" s="1"/>
      <c r="M150" s="32" t="s">
        <v>63</v>
      </c>
      <c r="N150" s="32"/>
      <c r="O150" s="32"/>
      <c r="Q150" s="1"/>
      <c r="R150" s="1"/>
      <c r="S150" s="1"/>
    </row>
    <row r="151" spans="11:19" ht="5.0999999999999996" customHeight="1" x14ac:dyDescent="0.25">
      <c r="K151" s="1"/>
      <c r="L151" s="1"/>
      <c r="Q151" s="1"/>
      <c r="R151" s="1"/>
      <c r="S151" s="1"/>
    </row>
    <row r="152" spans="11:19" x14ac:dyDescent="0.25">
      <c r="K152" s="11" t="s">
        <v>120</v>
      </c>
      <c r="M152" s="21" t="str">
        <f ca="1">$B$84</f>
        <v>*KEY_ERR</v>
      </c>
      <c r="N152" s="11" t="s">
        <v>122</v>
      </c>
      <c r="O152" s="21" t="str">
        <f ca="1">B$88</f>
        <v>*KEY_ERR</v>
      </c>
      <c r="Q152" s="1"/>
      <c r="R152" s="1"/>
      <c r="S152" s="1"/>
    </row>
    <row r="153" spans="11:19" ht="5.0999999999999996" customHeight="1" x14ac:dyDescent="0.25">
      <c r="K153" s="11"/>
      <c r="N153" s="11"/>
      <c r="Q153" s="1"/>
      <c r="R153" s="1"/>
      <c r="S153" s="1"/>
    </row>
    <row r="154" spans="11:19" x14ac:dyDescent="0.25">
      <c r="K154" s="11" t="s">
        <v>121</v>
      </c>
      <c r="M154" s="21" t="str">
        <f ca="1">$B$85</f>
        <v>*KEY_ERR</v>
      </c>
      <c r="N154" s="11" t="s">
        <v>123</v>
      </c>
      <c r="O154" s="21" t="str">
        <f ca="1">$B$89</f>
        <v>*KEY_ERR</v>
      </c>
      <c r="Q154" s="1"/>
      <c r="R154" s="1"/>
      <c r="S154" s="1"/>
    </row>
    <row r="155" spans="11:19" ht="5.0999999999999996" customHeight="1" x14ac:dyDescent="0.25">
      <c r="Q155" s="1"/>
      <c r="R155" s="1"/>
      <c r="S155" s="1"/>
    </row>
    <row r="156" spans="11:19" x14ac:dyDescent="0.25">
      <c r="K156" s="11" t="s">
        <v>131</v>
      </c>
      <c r="M156" s="29" t="str">
        <f ca="1">$B$90</f>
        <v>*KEY_ERR</v>
      </c>
      <c r="N156" s="30"/>
      <c r="O156" s="31"/>
      <c r="Q156" s="1"/>
      <c r="R156" s="1"/>
      <c r="S156" s="1"/>
    </row>
    <row r="157" spans="11:19" ht="5.0999999999999996" customHeight="1" x14ac:dyDescent="0.25">
      <c r="Q157" s="1"/>
      <c r="R157" s="1"/>
      <c r="S157" s="1"/>
    </row>
    <row r="158" spans="11:19" x14ac:dyDescent="0.25">
      <c r="K158" s="11" t="s">
        <v>124</v>
      </c>
      <c r="M158" s="29"/>
      <c r="N158" s="30"/>
      <c r="O158" s="31"/>
      <c r="Q158" s="1"/>
      <c r="R158" s="1"/>
      <c r="S158" s="1"/>
    </row>
  </sheetData>
  <sheetProtection sheet="1" objects="1" scenarios="1"/>
  <mergeCells count="24">
    <mergeCell ref="M150:O150"/>
    <mergeCell ref="M158:O158"/>
    <mergeCell ref="M148:O148"/>
    <mergeCell ref="M136:O136"/>
    <mergeCell ref="M138:O138"/>
    <mergeCell ref="M156:O156"/>
    <mergeCell ref="M126:O128"/>
    <mergeCell ref="M142:O142"/>
    <mergeCell ref="M144:O144"/>
    <mergeCell ref="M146:O146"/>
    <mergeCell ref="M130:O130"/>
    <mergeCell ref="M140:O140"/>
    <mergeCell ref="M132:O132"/>
    <mergeCell ref="A92:C92"/>
    <mergeCell ref="A102:B102"/>
    <mergeCell ref="E50:G50"/>
    <mergeCell ref="M122:O124"/>
    <mergeCell ref="M118:O118"/>
    <mergeCell ref="M120:O120"/>
    <mergeCell ref="A1:C1"/>
    <mergeCell ref="A9:C9"/>
    <mergeCell ref="A50:C50"/>
    <mergeCell ref="A63:C63"/>
    <mergeCell ref="A15:C15"/>
  </mergeCells>
  <conditionalFormatting sqref="Q114:R114">
    <cfRule type="expression" dxfId="2" priority="3">
      <formula>psScenario&lt;&gt;"current"</formula>
    </cfRule>
  </conditionalFormatting>
  <conditionalFormatting sqref="R116">
    <cfRule type="beginsWith" dxfId="1" priority="1" operator="beginsWith" text="un">
      <formula>LEFT(R116,LEN("un"))="un"</formula>
    </cfRule>
    <cfRule type="containsText" dxfId="0" priority="2" operator="containsText" text="approve">
      <formula>NOT(ISERROR(SEARCH("approve",R116)))</formula>
    </cfRule>
  </conditionalFormatting>
  <pageMargins left="0.70866141732283472" right="0.70866141732283472" top="0.74803149606299213" bottom="0.74803149606299213" header="0.31496062992125984" footer="0.31496062992125984"/>
  <pageSetup paperSize="9" scale="66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43" r:id="rId4" name="TIButton6">
          <controlPr defaultSize="0" print="0" autoLine="0" r:id="rId5">
            <anchor moveWithCells="1" sizeWithCells="1">
              <from>
                <xdr:col>12</xdr:col>
                <xdr:colOff>495300</xdr:colOff>
                <xdr:row>110</xdr:row>
                <xdr:rowOff>0</xdr:rowOff>
              </from>
              <to>
                <xdr:col>12</xdr:col>
                <xdr:colOff>1314450</xdr:colOff>
                <xdr:row>110</xdr:row>
                <xdr:rowOff>247650</xdr:rowOff>
              </to>
            </anchor>
          </controlPr>
        </control>
      </mc:Choice>
      <mc:Fallback>
        <control shapeId="1043" r:id="rId4" name="TIButton6"/>
      </mc:Fallback>
    </mc:AlternateContent>
    <mc:AlternateContent xmlns:mc="http://schemas.openxmlformats.org/markup-compatibility/2006">
      <mc:Choice Requires="x14">
        <control shapeId="1042" r:id="rId6" name="TIButton9">
          <controlPr defaultSize="0" print="0" autoLine="0" r:id="rId7">
            <anchor moveWithCells="1" sizeWithCells="1">
              <from>
                <xdr:col>12</xdr:col>
                <xdr:colOff>1371600</xdr:colOff>
                <xdr:row>110</xdr:row>
                <xdr:rowOff>0</xdr:rowOff>
              </from>
              <to>
                <xdr:col>12</xdr:col>
                <xdr:colOff>2190750</xdr:colOff>
                <xdr:row>110</xdr:row>
                <xdr:rowOff>247650</xdr:rowOff>
              </to>
            </anchor>
          </controlPr>
        </control>
      </mc:Choice>
      <mc:Fallback>
        <control shapeId="1042" r:id="rId6" name="TIButton9"/>
      </mc:Fallback>
    </mc:AlternateContent>
    <mc:AlternateContent xmlns:mc="http://schemas.openxmlformats.org/markup-compatibility/2006">
      <mc:Choice Requires="x14">
        <control shapeId="1041" r:id="rId8" name="TIButton8">
          <controlPr defaultSize="0" print="0" autoLine="0" r:id="rId9">
            <anchor moveWithCells="1" sizeWithCells="1">
              <from>
                <xdr:col>10</xdr:col>
                <xdr:colOff>1743075</xdr:colOff>
                <xdr:row>110</xdr:row>
                <xdr:rowOff>0</xdr:rowOff>
              </from>
              <to>
                <xdr:col>12</xdr:col>
                <xdr:colOff>457200</xdr:colOff>
                <xdr:row>110</xdr:row>
                <xdr:rowOff>247650</xdr:rowOff>
              </to>
            </anchor>
          </controlPr>
        </control>
      </mc:Choice>
      <mc:Fallback>
        <control shapeId="1041" r:id="rId8" name="TIButton8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10</xdr:col>
                <xdr:colOff>866775</xdr:colOff>
                <xdr:row>110</xdr:row>
                <xdr:rowOff>0</xdr:rowOff>
              </from>
              <to>
                <xdr:col>10</xdr:col>
                <xdr:colOff>1685925</xdr:colOff>
                <xdr:row>110</xdr:row>
                <xdr:rowOff>247650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47625</xdr:colOff>
                <xdr:row>110</xdr:row>
                <xdr:rowOff>0</xdr:rowOff>
              </from>
              <to>
                <xdr:col>9</xdr:col>
                <xdr:colOff>685800</xdr:colOff>
                <xdr:row>110</xdr:row>
                <xdr:rowOff>247650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r:id="rId15">
            <anchor moveWithCells="1" sizeWithCells="1">
              <from>
                <xdr:col>9</xdr:col>
                <xdr:colOff>723900</xdr:colOff>
                <xdr:row>110</xdr:row>
                <xdr:rowOff>0</xdr:rowOff>
              </from>
              <to>
                <xdr:col>10</xdr:col>
                <xdr:colOff>819150</xdr:colOff>
                <xdr:row>110</xdr:row>
                <xdr:rowOff>247650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7" r:id="rId16" name="TIButton3">
          <controlPr defaultSize="0" print="0" autoLine="0" autoPict="0" r:id="rId17">
            <anchor moveWithCells="1" sizeWithCells="1">
              <from>
                <xdr:col>12</xdr:col>
                <xdr:colOff>2247900</xdr:colOff>
                <xdr:row>109</xdr:row>
                <xdr:rowOff>47625</xdr:rowOff>
              </from>
              <to>
                <xdr:col>13</xdr:col>
                <xdr:colOff>314325</xdr:colOff>
                <xdr:row>110</xdr:row>
                <xdr:rowOff>247650</xdr:rowOff>
              </to>
            </anchor>
          </controlPr>
        </control>
      </mc:Choice>
      <mc:Fallback>
        <control shapeId="1027" r:id="rId16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49</vt:i4>
      </vt:variant>
    </vt:vector>
  </HeadingPairs>
  <TitlesOfParts>
    <vt:vector size="50" baseType="lpstr">
      <vt:lpstr>header</vt:lpstr>
      <vt:lpstr>db_name</vt:lpstr>
      <vt:lpstr>psApp</vt:lpstr>
      <vt:lpstr>psHLYear</vt:lpstr>
      <vt:lpstr>psID</vt:lpstr>
      <vt:lpstr>psScenario</vt:lpstr>
      <vt:lpstr>psUser</vt:lpstr>
      <vt:lpstr>TM1AdjEntryWB</vt:lpstr>
      <vt:lpstr>TM1AdjEntryWS</vt:lpstr>
      <vt:lpstr>TM1AdjIDListCAP</vt:lpstr>
      <vt:lpstr>TM1AdjIDListWB</vt:lpstr>
      <vt:lpstr>TM1AdjIDListWS</vt:lpstr>
      <vt:lpstr>TM1EditAdj01CAP</vt:lpstr>
      <vt:lpstr>TM1EditAdj01WB</vt:lpstr>
      <vt:lpstr>TM1EditAdj01WS</vt:lpstr>
      <vt:lpstr>TM1EditAdjWB</vt:lpstr>
      <vt:lpstr>TM1EditAdjWS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TM1GrpViewAdj01HeaderCAP</vt:lpstr>
      <vt:lpstr>TM1GrpViewAdj01HeaderWB</vt:lpstr>
      <vt:lpstr>TM1GrpViewAdj01HeaderWS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TM1NewAdj96ExtractCAP</vt:lpstr>
      <vt:lpstr>TM1NewAdj96ExtractWB</vt:lpstr>
      <vt:lpstr>TM1NewAdj96ExtractWS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2019-05-17T00:32:12Z</cp:lastPrinted>
  <dcterms:created xsi:type="dcterms:W3CDTF">2019-04-05T03:30:50Z</dcterms:created>
  <dcterms:modified xsi:type="dcterms:W3CDTF">2025-08-05T04:57:14Z</dcterms:modified>
</cp:coreProperties>
</file>