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4.xml" ContentType="application/vnd.ms-office.activeX+xml"/>
  <Override PartName="/xl/activeX/activeX5.xml" ContentType="application/vnd.ms-office.activeX+xml"/>
  <Override PartName="/xl/activeX/activeX3.bin" ContentType="application/vnd.ms-office.activeX"/>
  <Override PartName="/xl/activeX/activeX6.xml" ContentType="application/vnd.ms-office.activeX+xml"/>
  <Override PartName="/xl/activeX/activeX4.bin" ContentType="application/vnd.ms-office.activeX"/>
  <Override PartName="/xl/activeX/activeX7.xml" ContentType="application/vnd.ms-office.activeX+xml"/>
  <Override PartName="/xl/activeX/activeX5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Excelerated\DCCEEW\1 DCCEEW TECHNICAL\GEUS 2023 TEMPLATES\All 2023 Generic_geus templates\"/>
    </mc:Choice>
  </mc:AlternateContent>
  <xr:revisionPtr revIDLastSave="0" documentId="13_ncr:1_{7BE1A048-1247-4783-8E11-21CC4F421A6C}" xr6:coauthVersionLast="47" xr6:coauthVersionMax="47" xr10:uidLastSave="{00000000-0000-0000-0000-000000000000}"/>
  <bookViews>
    <workbookView xWindow="57480" yWindow="-1965" windowWidth="29040" windowHeight="15840" xr2:uid="{7C7445A3-569E-47D8-8368-72AF879A0E0B}"/>
  </bookViews>
  <sheets>
    <sheet name="account template edit" sheetId="1" r:id="rId1"/>
    <sheet name="{PL}PickLst" sheetId="2" state="hidden" r:id="rId2"/>
  </sheets>
  <definedNames>
    <definedName name="acctemp_acctype">'account template edit'!$L$102</definedName>
    <definedName name="acctemp_CRAcc">'account template edit'!$M$112</definedName>
    <definedName name="acctemp_CRacctype">'account template edit'!$L$112</definedName>
    <definedName name="acctemp_CRFactor">'account template edit'!$Q$112</definedName>
    <definedName name="acctemp_CRMA">'account template edit'!$N$112</definedName>
    <definedName name="acctemp_DE_rectype">'account template edit'!$D$105</definedName>
    <definedName name="acctemp_DRAcc">'account template edit'!$M$111</definedName>
    <definedName name="acctemp_DRacctype">'account template edit'!$L$111</definedName>
    <definedName name="acctemp_DRFactor">'account template edit'!$Q$111</definedName>
    <definedName name="acctemp_DRMA">'account template edit'!$N$111</definedName>
    <definedName name="acctemp_id">'account template edit'!$L$93</definedName>
    <definedName name="acctemp_impact">'account template edit'!$L$103</definedName>
    <definedName name="acctemp_MAP_flag">'account template edit'!$F$110</definedName>
    <definedName name="acctemp_MAP_rectype">'account template edit'!$E$105</definedName>
    <definedName name="db_name">'account template edit'!$C$18</definedName>
    <definedName name="Freeze_Here">'account template edit'!$J$101</definedName>
    <definedName name="psAccTempID">'account template edit'!$C$72</definedName>
    <definedName name="psApp">'account template edit'!$C$32</definedName>
    <definedName name="psUser">'account template edit'!$C$20</definedName>
    <definedName name="TargetCells">'account template edit'!$C$116</definedName>
    <definedName name="TM1AdminAccTempListCAP">'account template edit'!$D$38</definedName>
    <definedName name="TM1AdminAccTempListWB">'account template edit'!$F$38</definedName>
    <definedName name="TM1AdminAccTempListWS">'account template edit'!$H$38</definedName>
    <definedName name="TM1AdminAccTempProgMapCAP">'account template edit'!$D$40</definedName>
    <definedName name="TM1AdminAccTempProgMapWB">'account template edit'!$F$40</definedName>
    <definedName name="TM1AdminAccTempProgMapWS">'account template edit'!$H$40</definedName>
    <definedName name="TM1AdminAccTempUpdateEditCAP">'account template edit'!$D$39</definedName>
    <definedName name="TM1AdminAccTempUpdateEditWB">'account template edit'!$F$39</definedName>
    <definedName name="TM1AdminAccTempUpdateEditWS">'account template edit'!$H$39</definedName>
    <definedName name="TM1GrpNewAdj02ExpDataEntryCAP">'account template edit'!$D$37</definedName>
    <definedName name="TM1GrpNewAdj02ExpDataEntryWB">'account template edit'!$F$37</definedName>
    <definedName name="TM1GrpNewAdj02ExpDataEntryWS">'account template edit'!$H$37</definedName>
    <definedName name="TM1HomeAEAccVarCAP">'account template edit'!$D$36</definedName>
    <definedName name="TM1HomeAEAccVarWB">'account template edit'!$F$36</definedName>
    <definedName name="TM1HomeAEAccVarWS">'account template edit'!$H$36</definedName>
    <definedName name="TM1HomeAECAP">'account template edit'!$D$35</definedName>
    <definedName name="TM1HomeAEWB">'account template edit'!$F$35</definedName>
    <definedName name="TM1HomeAEWS">'account template edit'!$H$35</definedName>
    <definedName name="TM1HomeCAP">'account template edit'!$D$34</definedName>
    <definedName name="TM1HomeWB">'account template edit'!$F$34</definedName>
    <definedName name="TM1HomeWS">'account template edit'!$H$34</definedName>
    <definedName name="TM1REBUILDOPTION">1</definedName>
    <definedName name="TM1RPTDATARNG2" localSheetId="0">'account template edit'!$107:$107</definedName>
    <definedName name="TM1RPTDATARNGARPT_ACCTEMP" localSheetId="0">'account template edit'!$116:$116</definedName>
    <definedName name="TM1RPTFMTIDCOL" localSheetId="0">'account template edit'!$A$1:$A$15</definedName>
    <definedName name="TM1RPTFMTRNG" localSheetId="0">'account template edit'!$C$1:$R$15</definedName>
  </definedNames>
  <calcPr calcId="191029" calcMode="manual" calcCompleted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102" i="1" l="1"/>
  <c r="L112" i="1"/>
  <c r="L111" i="1"/>
  <c r="C31" i="1"/>
  <c r="L93" i="1" a="1"/>
  <c r="L93" i="1"/>
  <c r="C62" i="1" a="1"/>
  <c r="C62" i="1"/>
  <c r="C116" i="1" a="1"/>
  <c r="D116" i="1" a="1"/>
  <c r="F116" i="1" a="1"/>
  <c r="E116" i="1" a="1"/>
  <c r="C116" i="1"/>
  <c r="D116" i="1"/>
  <c r="F116" i="1"/>
  <c r="E116" i="1"/>
  <c r="Q116" i="1" a="1"/>
  <c r="Q116" i="1"/>
  <c r="E94" i="1" a="1"/>
  <c r="E94" i="1"/>
  <c r="G116" i="1" a="1"/>
  <c r="G116" i="1"/>
  <c r="A116" i="1" a="1"/>
  <c r="A116" i="1"/>
  <c r="C43" i="1" a="1"/>
  <c r="C43" i="1"/>
  <c r="C20" i="1" a="1"/>
  <c r="C20" i="1"/>
  <c r="N112" i="1" a="1"/>
  <c r="N112" i="1"/>
  <c r="P112" i="1" a="1"/>
  <c r="P112" i="1"/>
  <c r="M112" i="1" a="1"/>
  <c r="M112" i="1"/>
  <c r="N111" i="1" a="1"/>
  <c r="N111" i="1"/>
  <c r="P111" i="1" a="1"/>
  <c r="P111" i="1"/>
  <c r="M111" i="1" a="1"/>
  <c r="M111" i="1"/>
  <c r="C56" i="1" a="1"/>
  <c r="C56" i="1"/>
  <c r="C107" i="1" a="1"/>
  <c r="C107" i="1"/>
  <c r="D107" i="1" a="1"/>
  <c r="F107" i="1" a="1"/>
  <c r="E107" i="1" a="1"/>
  <c r="D107" i="1"/>
  <c r="F107" i="1"/>
  <c r="E107" i="1"/>
  <c r="N107" i="1" a="1"/>
  <c r="N107" i="1"/>
  <c r="M107" i="1" a="1"/>
  <c r="M107" i="1"/>
  <c r="H107" i="1" a="1"/>
  <c r="H107" i="1"/>
  <c r="A107" i="1" a="1"/>
  <c r="A107" i="1"/>
  <c r="E105" i="1" a="1"/>
  <c r="E105" i="1"/>
  <c r="D105" i="1" a="1"/>
  <c r="D105" i="1"/>
  <c r="C71" i="1" a="1"/>
  <c r="C71" i="1"/>
  <c r="C72" i="1"/>
  <c r="L98" i="1" a="1"/>
  <c r="L98" i="1"/>
  <c r="L96" i="1" a="1"/>
  <c r="L96" i="1"/>
  <c r="Q94" i="1" a="1"/>
  <c r="Q94" i="1"/>
  <c r="L94" i="1" a="1"/>
  <c r="L94" i="1"/>
  <c r="Q93" i="1" a="1"/>
  <c r="Q93" i="1"/>
  <c r="D53" i="1" a="1"/>
  <c r="D53" i="1"/>
  <c r="C53" i="1" a="1"/>
  <c r="C53" i="1"/>
  <c r="E52" i="1" a="1"/>
  <c r="E52" i="1"/>
  <c r="D52" i="1" a="1"/>
  <c r="D52" i="1"/>
  <c r="C52" i="1" a="1"/>
  <c r="C52" i="1"/>
  <c r="D51" i="1" a="1"/>
  <c r="D51" i="1"/>
  <c r="C51" i="1" a="1"/>
  <c r="C51" i="1"/>
  <c r="E50" i="1" a="1"/>
  <c r="E50" i="1"/>
  <c r="D50" i="1" a="1"/>
  <c r="D50" i="1"/>
  <c r="C50" i="1" a="1"/>
  <c r="C50" i="1"/>
  <c r="D49" i="1" a="1"/>
  <c r="D49" i="1"/>
  <c r="C49" i="1" a="1"/>
  <c r="C49" i="1"/>
  <c r="D48" i="1" a="1"/>
  <c r="D48" i="1"/>
  <c r="C48" i="1" a="1"/>
  <c r="C48" i="1"/>
  <c r="D47" i="1" a="1"/>
  <c r="D47" i="1"/>
  <c r="C47" i="1" a="1"/>
  <c r="C47" i="1"/>
  <c r="C46" i="1" a="1"/>
  <c r="C46" i="1"/>
  <c r="C45" i="1" a="1"/>
  <c r="C45" i="1"/>
  <c r="H40" i="1" a="1"/>
  <c r="H40" i="1"/>
  <c r="G40" i="1" a="1"/>
  <c r="G40" i="1"/>
  <c r="F40" i="1" a="1"/>
  <c r="F40" i="1"/>
  <c r="E40" i="1" a="1"/>
  <c r="E40" i="1"/>
  <c r="D40" i="1" a="1"/>
  <c r="D40" i="1"/>
  <c r="C40" i="1" a="1"/>
  <c r="C40" i="1"/>
  <c r="H39" i="1" a="1"/>
  <c r="H39" i="1"/>
  <c r="G39" i="1" a="1"/>
  <c r="G39" i="1"/>
  <c r="F39" i="1" a="1"/>
  <c r="F39" i="1"/>
  <c r="E39" i="1" a="1"/>
  <c r="E39" i="1"/>
  <c r="D39" i="1" a="1"/>
  <c r="D39" i="1"/>
  <c r="C39" i="1" a="1"/>
  <c r="C39" i="1"/>
  <c r="H38" i="1" a="1"/>
  <c r="H38" i="1"/>
  <c r="G38" i="1" a="1"/>
  <c r="G38" i="1"/>
  <c r="F38" i="1" a="1"/>
  <c r="F38" i="1"/>
  <c r="E38" i="1" a="1"/>
  <c r="E38" i="1"/>
  <c r="D38" i="1" a="1"/>
  <c r="D38" i="1"/>
  <c r="C38" i="1" a="1"/>
  <c r="C38" i="1"/>
  <c r="H37" i="1" a="1"/>
  <c r="H37" i="1"/>
  <c r="G37" i="1" a="1"/>
  <c r="G37" i="1"/>
  <c r="F37" i="1" a="1"/>
  <c r="F37" i="1"/>
  <c r="E37" i="1" a="1"/>
  <c r="E37" i="1"/>
  <c r="D37" i="1" a="1"/>
  <c r="D37" i="1"/>
  <c r="C37" i="1" a="1"/>
  <c r="C37" i="1"/>
  <c r="H36" i="1" a="1"/>
  <c r="H36" i="1"/>
  <c r="G36" i="1" a="1"/>
  <c r="G36" i="1"/>
  <c r="F36" i="1" a="1"/>
  <c r="F36" i="1"/>
  <c r="E36" i="1" a="1"/>
  <c r="E36" i="1"/>
  <c r="D36" i="1" a="1"/>
  <c r="D36" i="1"/>
  <c r="C36" i="1" a="1"/>
  <c r="C36" i="1"/>
  <c r="H35" i="1" a="1"/>
  <c r="H35" i="1"/>
  <c r="G35" i="1" a="1"/>
  <c r="G35" i="1"/>
  <c r="F35" i="1" a="1"/>
  <c r="F35" i="1"/>
  <c r="E35" i="1" a="1"/>
  <c r="E35" i="1"/>
  <c r="D35" i="1" a="1"/>
  <c r="D35" i="1"/>
  <c r="C35" i="1" a="1"/>
  <c r="C35" i="1"/>
  <c r="H34" i="1" a="1"/>
  <c r="H34" i="1"/>
  <c r="G34" i="1" a="1"/>
  <c r="G34" i="1"/>
  <c r="F34" i="1" a="1"/>
  <c r="F34" i="1"/>
  <c r="E34" i="1" a="1"/>
  <c r="E34" i="1"/>
  <c r="D34" i="1" a="1"/>
  <c r="D34" i="1"/>
  <c r="C34" i="1" a="1"/>
  <c r="C34" i="1"/>
  <c r="C26" i="1" a="1"/>
  <c r="C26" i="1"/>
  <c r="C28" i="1" a="1"/>
  <c r="C28" i="1"/>
  <c r="C27" i="1" a="1"/>
  <c r="C27" i="1"/>
  <c r="C19" i="1" a="1"/>
  <c r="C19" i="1"/>
  <c r="C22" i="1" a="1"/>
  <c r="C22" i="1"/>
  <c r="C21" i="1" a="1"/>
  <c r="C21" i="1"/>
  <c r="C23" i="1"/>
  <c r="L100" i="1"/>
  <c r="L107" i="1"/>
  <c r="C63" i="1"/>
  <c r="C59" i="1"/>
  <c r="C60" i="1"/>
  <c r="C57" i="1"/>
  <c r="P116" i="1"/>
  <c r="N116" i="1"/>
  <c r="M116" i="1"/>
  <c r="L116" i="1"/>
  <c r="J116" i="1"/>
  <c r="F112" i="1"/>
  <c r="R112" i="1"/>
  <c r="F111" i="1"/>
  <c r="R111" i="1"/>
  <c r="F110" i="1"/>
  <c r="J107" i="1"/>
  <c r="G102" i="1"/>
  <c r="M102" i="1"/>
  <c r="A5" i="1"/>
  <c r="A4" i="1"/>
  <c r="A3" i="1"/>
  <c r="A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<sst xmlns="http://schemas.openxmlformats.org/spreadsheetml/2006/main" count="168" uniqueCount="141">
  <si>
    <t>[Begin Format Range]</t>
  </si>
  <si>
    <t>Record Type</t>
  </si>
  <si>
    <t>Account Type</t>
  </si>
  <si>
    <t>Account</t>
  </si>
  <si>
    <t>{TM1FILTERBYLEVEL( {TM1SUBSETALL( [account type] )}, 0)}</t>
  </si>
  <si>
    <t>{TM1FILTERBYLEVEL( {TM1SUBSETALL( [movement account] )}, 0)}</t>
  </si>
  <si>
    <t>{TM1FILTERBYLEVEL( {TM1SUBSETALL( [account] )}, 0)}</t>
  </si>
  <si>
    <t>D</t>
  </si>
  <si>
    <t>N</t>
  </si>
  <si>
    <t>M0</t>
  </si>
  <si>
    <t>M1</t>
  </si>
  <si>
    <t>M2</t>
  </si>
  <si>
    <t>M3</t>
  </si>
  <si>
    <t>MD</t>
  </si>
  <si>
    <t>MN</t>
  </si>
  <si>
    <t>[End Format Range]</t>
  </si>
  <si>
    <t>Database</t>
  </si>
  <si>
    <t>Current User</t>
  </si>
  <si>
    <t>Title</t>
  </si>
  <si>
    <t>Description</t>
  </si>
  <si>
    <t>Status</t>
  </si>
  <si>
    <t>Account Template</t>
  </si>
  <si>
    <t>Movement Account ATTR</t>
  </si>
  <si>
    <t>Impact</t>
  </si>
  <si>
    <t>Step 1 - Data Entry Record Type Details - Required for Data Load  (Change Flag to zero (0) to remove data entry mapping)</t>
  </si>
  <si>
    <t>flag</t>
  </si>
  <si>
    <t>factor</t>
  </si>
  <si>
    <t>Movement Account</t>
  </si>
  <si>
    <t>Natural Sign</t>
  </si>
  <si>
    <t>Flag</t>
  </si>
  <si>
    <t>Validation Check</t>
  </si>
  <si>
    <t>Factor</t>
  </si>
  <si>
    <t>Valid</t>
  </si>
  <si>
    <t>DR</t>
  </si>
  <si>
    <t>Debit Account</t>
  </si>
  <si>
    <t>CR</t>
  </si>
  <si>
    <t>Credit Account</t>
  </si>
  <si>
    <t>Step 3 - Review Mapping Details (Change Factor to zero (0) to remove mapping)</t>
  </si>
  <si>
    <t>Step 2 - Select accounts, then click add mapping</t>
  </si>
  <si>
    <t>Select Accounts</t>
  </si>
  <si>
    <t>Select  Movement Accounts</t>
  </si>
  <si>
    <t>}Clients</t>
  </si>
  <si>
    <t>TM1 User</t>
  </si>
  <si>
    <t>}TM1_DefaultDisplayValue</t>
  </si>
  <si>
    <t>GEUS User Name</t>
  </si>
  <si>
    <t>Database Variables</t>
  </si>
  <si>
    <t>System Variables</t>
  </si>
  <si>
    <t>View</t>
  </si>
  <si>
    <t>headline year</t>
  </si>
  <si>
    <t>headline scenario</t>
  </si>
  <si>
    <t>sys_application MDX</t>
  </si>
  <si>
    <t>Slice View (sys_application)</t>
  </si>
  <si>
    <t>Current Workbook</t>
  </si>
  <si>
    <t>Admin Acc Temp - Account Template List</t>
  </si>
  <si>
    <t>Application</t>
  </si>
  <si>
    <t>Caption Name</t>
  </si>
  <si>
    <t>Caption</t>
  </si>
  <si>
    <t>Workbook Name</t>
  </si>
  <si>
    <t>Workbook</t>
  </si>
  <si>
    <t>Worksheet Name</t>
  </si>
  <si>
    <t>Worksheet</t>
  </si>
  <si>
    <t>Homepage - Home</t>
  </si>
  <si>
    <t>Homepage - Annual Estimates</t>
  </si>
  <si>
    <t>Homepage - Annual Estimates - Account Variation</t>
  </si>
  <si>
    <t>Group Data Entry - New Adj 02 - Expense Data Entry</t>
  </si>
  <si>
    <t>Admin Acc Temp - Update Account Template</t>
  </si>
  <si>
    <t>Admin Acc Temp - Program To Account Template Mapping</t>
  </si>
  <si>
    <t>Client Preference</t>
  </si>
  <si>
    <t>value</t>
  </si>
  <si>
    <t>validate</t>
  </si>
  <si>
    <t>sys_client preference measure</t>
  </si>
  <si>
    <t>geus hl year</t>
  </si>
  <si>
    <t>geus scenario</t>
  </si>
  <si>
    <t>geus adj</t>
  </si>
  <si>
    <t>AE Account Template</t>
  </si>
  <si>
    <t>}ElementAttributes_account template</t>
  </si>
  <si>
    <t>SLICE VIEW</t>
  </si>
  <si>
    <t>Note : This screen is used to edit and update the account template mappings.</t>
  </si>
  <si>
    <t>Account Template :</t>
  </si>
  <si>
    <t>Status :</t>
  </si>
  <si>
    <t>Title :</t>
  </si>
  <si>
    <t>Description :</t>
  </si>
  <si>
    <t>ACCOUNT TEMPLATE HEADER DETAILS</t>
  </si>
  <si>
    <t>Account Template Record Type MDX</t>
  </si>
  <si>
    <t>Account Type MDX</t>
  </si>
  <si>
    <t>Account MDX</t>
  </si>
  <si>
    <t>MA MDX</t>
  </si>
  <si>
    <t>Mapping Cube View  (AF2)</t>
  </si>
  <si>
    <t>Data Entry Vuew (AF1)</t>
  </si>
  <si>
    <t>sys_group adj DR account</t>
  </si>
  <si>
    <t>sys_group adj DR movement account</t>
  </si>
  <si>
    <t>sys_group adj CR account</t>
  </si>
  <si>
    <t>sys_group adj CR movement account</t>
  </si>
  <si>
    <t>&lt;=DBSS</t>
  </si>
  <si>
    <t xml:space="preserve"> Select an Account Type :</t>
  </si>
  <si>
    <t>Impact :</t>
  </si>
  <si>
    <t>7217 - Amounts withheld for / (from) other government programs</t>
  </si>
  <si>
    <t>7230 - Net Asset Reval - Financial Assets</t>
  </si>
  <si>
    <t>7232 - Net Asset Reval Inc/(Dec) - Buildings</t>
  </si>
  <si>
    <t>7233 - Net Asset Reval Inc/(Dec) - Land</t>
  </si>
  <si>
    <t>7234 - Net Asset Reval Inc/(Dec) - Specialist military equipment</t>
  </si>
  <si>
    <t>7235 - Net Asset Reval Inc/(Dec) - Other infrastructure, plant and equipment</t>
  </si>
  <si>
    <t>7236 - Net Asset Reval Inc/(Dec) - Intangibles</t>
  </si>
  <si>
    <t>7237 - Net Asset Reval Inc/(Dec) - Other Non-Financial Assets</t>
  </si>
  <si>
    <t>7238 - Net Asset Reval Inc/(Dec) - Heritage and cultural assets</t>
  </si>
  <si>
    <t>7239 - Net Asset Reval (Inc)/Dec - Provision for restoration, decommissioning and makegood</t>
  </si>
  <si>
    <t>7203 - Contribution / (distribution) of equity</t>
  </si>
  <si>
    <t>7205 - Other movements</t>
  </si>
  <si>
    <t>7206 - Equity injection - Appropriation</t>
  </si>
  <si>
    <t>7207 - Restructuring</t>
  </si>
  <si>
    <t>7208 - Income Tax on Equity Items</t>
  </si>
  <si>
    <t>7209 - Injection for Departmental Capital Budget</t>
  </si>
  <si>
    <t>7212 - Adjustment for Errors</t>
  </si>
  <si>
    <t>7225 - Opening Balance Adjustments</t>
  </si>
  <si>
    <t>7216 - Intra Agency Program Restructures</t>
  </si>
  <si>
    <t>7218 - Dividends provided for or paid - RE</t>
  </si>
  <si>
    <t>7219 - Dividends provided for or paid - EE</t>
  </si>
  <si>
    <t>7221 - Transfers between equity components</t>
  </si>
  <si>
    <t>7222 - Revaluation of administered investments</t>
  </si>
  <si>
    <t>7226 - Foreign currency translation gain/(loss)</t>
  </si>
  <si>
    <t>7586 - Section 74 receipts from the OPA</t>
  </si>
  <si>
    <t>7587 - Section 74 receipts transferred to OPA</t>
  </si>
  <si>
    <t>7588 - GST appropriations</t>
  </si>
  <si>
    <t>7589 - Return of GST to the OPA</t>
  </si>
  <si>
    <t>7592 - Cash transfers to the OPA</t>
  </si>
  <si>
    <t>7594 - Administered Appropriations from the OPA (Admin Only) - provisional</t>
  </si>
  <si>
    <t>7598 - Administered appropriations from the OPA - cash adjustment</t>
  </si>
  <si>
    <t>7599 - Administered Appropriations for Corporate entities</t>
  </si>
  <si>
    <t>7596 - Cash from Agencies (Admin Only)</t>
  </si>
  <si>
    <t>7597 - Appropriations to Agencies (Admin Only)</t>
  </si>
  <si>
    <t>7240 - Actuarial gains/(losses) on defined benefit plans</t>
  </si>
  <si>
    <t>7255 - Minority Interest in accumulated results</t>
  </si>
  <si>
    <t>7261 - Minority Interest in contributed equity</t>
  </si>
  <si>
    <t>7262 - Minority Interest in reserves</t>
  </si>
  <si>
    <t>7593 - Administered Appropriations from the OPA (Admin Only) - agreed</t>
  </si>
  <si>
    <t>Related Entity Enabled :</t>
  </si>
  <si>
    <t>ACCOUNT TEMPLATE ATTRIBUTES</t>
  </si>
  <si>
    <t>jurisdiction required</t>
  </si>
  <si>
    <t>related entity enabled</t>
  </si>
  <si>
    <t xml:space="preserve">Jurisdiction Required : </t>
  </si>
  <si>
    <t>dcceew_geus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</si>
</sst>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28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rgb="FF00B050"/>
      <name val="Wingdings"/>
      <charset val="2"/>
    </font>
    <font>
      <b/>
      <sz val="11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indexed="9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Wingdings"/>
      <charset val="2"/>
    </font>
    <font>
      <b/>
      <sz val="12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i/>
      <sz val="11"/>
      <color rgb="FFFF0000"/>
      <name val="Calibri"/>
      <family val="2"/>
      <scheme val="minor"/>
    </font>
    <font>
      <b/>
      <sz val="11"/>
      <color rgb="FF00B050"/>
      <name val="Wingdings"/>
      <charset val="2"/>
    </font>
  </fonts>
  <fills count="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426A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68">
    <xf numFmtId="0" fontId="0" fillId="0" borderId="0" xfId="0"/>
    <xf numFmtId="0" fontId="2" fillId="0" borderId="0" xfId="0" applyFont="1"/>
    <xf numFmtId="0" fontId="3" fillId="0" borderId="1" xfId="0" applyFont="1" applyBorder="1"/>
    <xf numFmtId="0" fontId="2" fillId="0" borderId="1" xfId="0" applyFont="1" applyBorder="1"/>
    <xf numFmtId="0" fontId="2" fillId="0" borderId="2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2" xfId="0" applyFont="1" applyBorder="1" applyAlignment="1">
      <alignment horizontal="left"/>
    </xf>
    <xf numFmtId="0" fontId="2" fillId="0" borderId="2" xfId="0" applyFont="1" applyBorder="1"/>
    <xf numFmtId="0" fontId="2" fillId="0" borderId="3" xfId="0" applyFont="1" applyBorder="1"/>
    <xf numFmtId="0" fontId="2" fillId="0" borderId="0" xfId="0" applyFont="1" applyAlignment="1">
      <alignment horizontal="left"/>
    </xf>
    <xf numFmtId="0" fontId="3" fillId="0" borderId="0" xfId="0" applyFont="1"/>
    <xf numFmtId="0" fontId="3" fillId="0" borderId="0" xfId="0" applyFont="1" applyAlignment="1">
      <alignment horizontal="right" indent="1"/>
    </xf>
    <xf numFmtId="0" fontId="2" fillId="0" borderId="2" xfId="0" applyFont="1" applyBorder="1" applyAlignment="1">
      <alignment horizontal="left" indent="1"/>
    </xf>
    <xf numFmtId="0" fontId="7" fillId="0" borderId="0" xfId="0" applyFont="1"/>
    <xf numFmtId="0" fontId="5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0" fontId="10" fillId="0" borderId="0" xfId="0" applyFont="1" applyAlignment="1">
      <alignment horizontal="center"/>
    </xf>
    <xf numFmtId="0" fontId="5" fillId="0" borderId="2" xfId="0" applyFont="1" applyBorder="1" applyAlignment="1">
      <alignment horizontal="center"/>
    </xf>
    <xf numFmtId="0" fontId="11" fillId="0" borderId="2" xfId="0" applyFont="1" applyBorder="1" applyAlignment="1">
      <alignment horizontal="center" vertical="top"/>
    </xf>
    <xf numFmtId="0" fontId="3" fillId="2" borderId="2" xfId="0" applyFont="1" applyFill="1" applyBorder="1" applyAlignment="1">
      <alignment horizontal="right" indent="1"/>
    </xf>
    <xf numFmtId="0" fontId="3" fillId="2" borderId="2" xfId="0" applyFont="1" applyFill="1" applyBorder="1" applyAlignment="1">
      <alignment horizontal="center"/>
    </xf>
    <xf numFmtId="0" fontId="6" fillId="0" borderId="2" xfId="0" applyFont="1" applyBorder="1" applyAlignment="1">
      <alignment horizontal="center" vertical="top"/>
    </xf>
    <xf numFmtId="0" fontId="12" fillId="0" borderId="0" xfId="0" applyFont="1"/>
    <xf numFmtId="0" fontId="8" fillId="0" borderId="0" xfId="0" applyFont="1" applyAlignment="1">
      <alignment horizontal="center"/>
    </xf>
    <xf numFmtId="49" fontId="2" fillId="0" borderId="1" xfId="0" applyNumberFormat="1" applyFont="1" applyBorder="1"/>
    <xf numFmtId="49" fontId="2" fillId="0" borderId="0" xfId="0" applyNumberFormat="1" applyFont="1"/>
    <xf numFmtId="0" fontId="13" fillId="0" borderId="0" xfId="0" applyFont="1"/>
    <xf numFmtId="0" fontId="4" fillId="5" borderId="0" xfId="0" applyFont="1" applyFill="1" applyAlignment="1">
      <alignment vertical="center"/>
    </xf>
    <xf numFmtId="0" fontId="4" fillId="5" borderId="0" xfId="0" applyFont="1" applyFill="1" applyAlignment="1">
      <alignment horizontal="left" vertical="center" indent="5"/>
    </xf>
    <xf numFmtId="0" fontId="4" fillId="5" borderId="0" xfId="0" applyFont="1" applyFill="1" applyAlignment="1">
      <alignment horizontal="right" vertical="center"/>
    </xf>
    <xf numFmtId="0" fontId="8" fillId="5" borderId="2" xfId="0" applyFont="1" applyFill="1" applyBorder="1" applyAlignment="1">
      <alignment horizontal="center"/>
    </xf>
    <xf numFmtId="0" fontId="10" fillId="5" borderId="2" xfId="0" applyFont="1" applyFill="1" applyBorder="1" applyAlignment="1">
      <alignment horizontal="center"/>
    </xf>
    <xf numFmtId="0" fontId="14" fillId="0" borderId="2" xfId="0" applyFont="1" applyBorder="1"/>
    <xf numFmtId="0" fontId="0" fillId="0" borderId="2" xfId="0" applyBorder="1" applyAlignment="1">
      <alignment horizontal="center"/>
    </xf>
    <xf numFmtId="0" fontId="0" fillId="0" borderId="2" xfId="0" applyBorder="1"/>
    <xf numFmtId="0" fontId="0" fillId="0" borderId="2" xfId="0" applyBorder="1" applyAlignment="1">
      <alignment horizontal="left"/>
    </xf>
    <xf numFmtId="0" fontId="0" fillId="0" borderId="5" xfId="0" applyBorder="1"/>
    <xf numFmtId="0" fontId="14" fillId="0" borderId="0" xfId="0" applyFont="1"/>
    <xf numFmtId="0" fontId="14" fillId="3" borderId="1" xfId="0" applyFont="1" applyFill="1" applyBorder="1"/>
    <xf numFmtId="0" fontId="14" fillId="3" borderId="12" xfId="0" applyFont="1" applyFill="1" applyBorder="1"/>
    <xf numFmtId="0" fontId="14" fillId="0" borderId="2" xfId="0" applyFont="1" applyBorder="1" applyAlignment="1">
      <alignment horizontal="center"/>
    </xf>
    <xf numFmtId="0" fontId="16" fillId="0" borderId="0" xfId="0" applyFont="1"/>
    <xf numFmtId="0" fontId="14" fillId="0" borderId="0" xfId="0" applyFont="1" applyAlignment="1">
      <alignment horizontal="right" indent="1"/>
    </xf>
    <xf numFmtId="0" fontId="0" fillId="4" borderId="2" xfId="0" applyFill="1" applyBorder="1" applyAlignment="1">
      <alignment horizontal="left" indent="1"/>
    </xf>
    <xf numFmtId="0" fontId="17" fillId="0" borderId="3" xfId="0" applyFont="1" applyBorder="1" applyAlignment="1">
      <alignment horizontal="left" vertical="top"/>
    </xf>
    <xf numFmtId="0" fontId="0" fillId="6" borderId="2" xfId="0" applyFill="1" applyBorder="1"/>
    <xf numFmtId="0" fontId="3" fillId="0" borderId="2" xfId="0" applyFont="1" applyBorder="1"/>
    <xf numFmtId="0" fontId="2" fillId="0" borderId="2" xfId="0" applyFont="1" applyBorder="1" applyAlignment="1" applyProtection="1">
      <alignment horizontal="left"/>
      <protection locked="0"/>
    </xf>
    <xf numFmtId="0" fontId="2" fillId="0" borderId="2" xfId="0" applyFont="1" applyBorder="1" applyProtection="1">
      <protection locked="0"/>
    </xf>
    <xf numFmtId="0" fontId="2" fillId="0" borderId="2" xfId="0" applyFont="1" applyBorder="1" applyAlignment="1" applyProtection="1">
      <alignment horizontal="center"/>
      <protection locked="0"/>
    </xf>
    <xf numFmtId="0" fontId="1" fillId="5" borderId="0" xfId="0" applyFont="1" applyFill="1" applyAlignment="1">
      <alignment horizontal="center"/>
    </xf>
    <xf numFmtId="0" fontId="0" fillId="0" borderId="2" xfId="0" applyBorder="1" applyAlignment="1">
      <alignment horizontal="center"/>
    </xf>
    <xf numFmtId="0" fontId="0" fillId="0" borderId="6" xfId="0" applyBorder="1" applyAlignment="1">
      <alignment horizontal="left" vertical="top" indent="1"/>
    </xf>
    <xf numFmtId="0" fontId="0" fillId="0" borderId="7" xfId="0" applyBorder="1" applyAlignment="1">
      <alignment horizontal="left" vertical="top" indent="1"/>
    </xf>
    <xf numFmtId="0" fontId="0" fillId="0" borderId="3" xfId="0" applyBorder="1" applyAlignment="1">
      <alignment horizontal="left" vertical="top" indent="1"/>
    </xf>
    <xf numFmtId="0" fontId="0" fillId="0" borderId="13" xfId="0" applyBorder="1" applyAlignment="1">
      <alignment horizontal="left" vertical="top" indent="1"/>
    </xf>
    <xf numFmtId="0" fontId="0" fillId="0" borderId="8" xfId="0" applyBorder="1" applyAlignment="1">
      <alignment horizontal="left" vertical="top" indent="1"/>
    </xf>
    <xf numFmtId="0" fontId="0" fillId="0" borderId="9" xfId="0" applyBorder="1" applyAlignment="1">
      <alignment horizontal="left" vertical="top" indent="1"/>
    </xf>
    <xf numFmtId="0" fontId="15" fillId="0" borderId="4" xfId="0" applyFont="1" applyBorder="1" applyAlignment="1">
      <alignment horizontal="center"/>
    </xf>
    <xf numFmtId="0" fontId="15" fillId="0" borderId="5" xfId="0" applyFont="1" applyBorder="1" applyAlignment="1">
      <alignment horizontal="center"/>
    </xf>
    <xf numFmtId="0" fontId="7" fillId="3" borderId="2" xfId="0" applyFont="1" applyFill="1" applyBorder="1" applyAlignment="1">
      <alignment horizontal="center"/>
    </xf>
    <xf numFmtId="0" fontId="0" fillId="0" borderId="4" xfId="0" applyBorder="1" applyAlignment="1">
      <alignment horizontal="left" indent="1"/>
    </xf>
    <xf numFmtId="0" fontId="0" fillId="0" borderId="5" xfId="0" applyBorder="1" applyAlignment="1">
      <alignment horizontal="left" indent="1"/>
    </xf>
    <xf numFmtId="0" fontId="1" fillId="5" borderId="10" xfId="0" applyFont="1" applyFill="1" applyBorder="1" applyAlignment="1">
      <alignment horizontal="center"/>
    </xf>
    <xf numFmtId="0" fontId="14" fillId="3" borderId="4" xfId="0" applyFont="1" applyFill="1" applyBorder="1" applyAlignment="1">
      <alignment horizontal="center"/>
    </xf>
    <xf numFmtId="0" fontId="14" fillId="3" borderId="11" xfId="0" applyFont="1" applyFill="1" applyBorder="1" applyAlignment="1">
      <alignment horizontal="center"/>
    </xf>
    <xf numFmtId="0" fontId="14" fillId="3" borderId="5" xfId="0" applyFont="1" applyFill="1" applyBorder="1" applyAlignment="1">
      <alignment horizontal="center"/>
    </xf>
  </cellXfs>
  <cellStyles count="1">
    <cellStyle name="Normal" xfId="0" builtinId="0"/>
  </cellStyles>
  <dxfs count="11">
    <dxf>
      <fill>
        <patternFill>
          <bgColor theme="0" tint="-0.24994659260841701"/>
        </patternFill>
      </fill>
    </dxf>
    <dxf>
      <font>
        <b/>
        <i val="0"/>
        <color rgb="FFFF0000"/>
      </font>
    </dxf>
    <dxf>
      <fill>
        <patternFill>
          <bgColor theme="0" tint="-0.24994659260841701"/>
        </patternFill>
      </fill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  <fill>
        <patternFill patternType="none">
          <bgColor auto="1"/>
        </patternFill>
      </fill>
      <border>
        <left/>
        <right/>
        <bottom/>
        <vertical/>
        <horizontal/>
      </border>
    </dxf>
    <dxf>
      <font>
        <color theme="0"/>
      </font>
      <fill>
        <patternFill patternType="none">
          <bgColor auto="1"/>
        </patternFill>
      </fill>
    </dxf>
    <dxf>
      <font>
        <b/>
        <i val="0"/>
        <color rgb="FFFF0000"/>
      </font>
    </dxf>
    <dxf>
      <font>
        <b/>
        <i val="0"/>
        <color rgb="FF00B050"/>
      </font>
    </dxf>
  </dxfs>
  <tableStyles count="0" defaultTableStyle="TableStyleMedium2" defaultPivotStyle="PivotStyleLight16"/>
  <colors>
    <mruColors>
      <color rgb="FF00426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activeX1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CF3B4A6E-56A4-403F-8D4F-F4B0F022BF01}" ax:persistence="persistPropertyBag">
  <ax:ocxPr ax:name="_Version" ax:value="65541"/>
  <ax:ocxPr ax:name="_ExtentX" ax:value="1005"/>
  <ax:ocxPr ax:name="_ExtentY" ax:value="397"/>
  <ax:ocxPr ax:name="_StockProps" ax:value="0"/>
  <ax:ocxPr ax:name="ServerName" ax:value="=db_name"/>
  <ax:ocxPr ax:name="ProcessName" ax:value="sys_Client - Clear Validation Data"/>
  <ax:ocxPr ax:name="Name" ax:value=""/>
  <ax:ocxPr ax:name="Type" ax:value=""/>
  <ax:ocxPr ax:name="Value" ax:value=""/>
  <ax:ocxPr ax:name="Prompt" ax:value=""/>
  <ax:ocxPr ax:name="BackColor" ax:value="6963712"/>
  <ax:ocxPr ax:name="ForeColor" ax:value="16777215"/>
  <ax:ocxPr ax:name="Font">
    <ax:font ax:persistence="persistPropertyBag">
      <ax:ocxPr ax:name="Name" ax:value="Calibri"/>
      <ax:ocxPr ax:name="Size" ax:value="9.6"/>
      <ax:ocxPr ax:name="Charset" ax:value="0"/>
      <ax:ocxPr ax:name="Weight" ax:value="700"/>
      <ax:ocxPr ax:name="Underline" ax:value="0"/>
      <ax:ocxPr ax:name="Italic" ax:value="0"/>
      <ax:ocxPr ax:name="Strikethrough" ax:value="0"/>
    </ax:font>
  </ax:ocxPr>
  <ax:ocxPr ax:name="Caption" ax:value="*KEY_ERR"/>
  <ax:ocxPr ax:name="UseFormula" ax:value="0"/>
  <ax:ocxPr ax:name="ProcessNameFormula" ax:value=""/>
  <ax:ocxPr ax:name="ProcessParamFormula" ax:value=""/>
  <ax:ocxPr ax:name="UseImage" ax:value="0"/>
  <ax:ocxPr ax:name="ImageName" ax:value=""/>
  <ax:ocxPr ax:name="AutoRacalc" ax:value="-1"/>
  <ax:ocxPr ax:name="ConfirmMessage" ax:value="Are you sure you want to run this Process?"/>
  <ax:ocxPr ax:name="SuccessMessage" ax:value="Process completed successfully."/>
  <ax:ocxPr ax:name="FailureMessage" ax:value="Process failed."/>
  <ax:ocxPr ax:name="ShowConfirmMessage" ax:value="0"/>
  <ax:ocxPr ax:name="ShowSuccessMessage" ax:value="0"/>
  <ax:ocxPr ax:name="ShowFailureMessage" ax:value="0"/>
  <ax:ocxPr ax:name="TargetWorkbookName" ax:value="=TM1HomeWB"/>
  <ax:ocxPr ax:name="TargetWorksheetName" ax:value="=TM1HomeWS"/>
  <ax:ocxPr ax:name="AutoTitles" ax:value="0"/>
  <ax:ocxPr ax:name="ReplaceWindow" ax:value="-1"/>
  <ax:ocxPr ax:name="IsMappingFormula" ax:value="0"/>
  <ax:ocxPr ax:name="TargetTypes" ax:value=""/>
  <ax:ocxPr ax:name="TargetObjects" ax:value=""/>
  <ax:ocxPr ax:name="TargetSubsets" ax:value=""/>
  <ax:ocxPr ax:name="TargetAliases" ax:value=""/>
  <ax:ocxPr ax:name="TargetValues" ax:value=""/>
  <ax:ocxPr ax:name="SourceTypes" ax:value=""/>
  <ax:ocxPr ax:name="SourceObjects" ax:value=""/>
  <ax:ocxPr ax:name="TargetTypesFormula" ax:value=""/>
  <ax:ocxPr ax:name="TargetObjectsFormula" ax:value=""/>
  <ax:ocxPr ax:name="TargetSubsetsFormula" ax:value=""/>
  <ax:ocxPr ax:name="TargetAliasesFormula" ax:value=""/>
  <ax:ocxPr ax:name="TargetValuesFormula" ax:value=""/>
  <ax:ocxPr ax:name="SourceTypesFormula" ax:value=""/>
  <ax:ocxPr ax:name="SourceObjectsFormula" ax:value=""/>
  <ax:ocxPr ax:name="DisplayHyperlink" ax:value="0"/>
  <ax:ocxPr ax:name="DoRunTI" ax:value="-1"/>
  <ax:ocxPr ax:name="DoNavigate" ax:value="-1"/>
  <ax:ocxPr ax:name="UseApporg" ax:value="-1"/>
  <ax:ocxPr ax:name="Version" ax:value="6"/>
  <ax:ocxPr ax:name="PreRecalc" ax:value="1"/>
  <ax:ocxPr ax:name="WorkSheetRecalc" ax:value="2"/>
  <ax:ocxPr ax:name="ProcessRecalc" ax:value="1"/>
  <ax:ocxPr ax:name="DoReCalcOnly" ax:value="0"/>
  <ax:ocxPr ax:name="UseReferenceForServerName" ax:value="-1"/>
  <ax:ocxPr ax:name="CaptionNotEval" ax:value="=TM1HomeCAP"/>
  <ax:ocxPr ax:name="ResizeButtonToCaption" ax:value="0"/>
</ax:ocx>
</file>

<file path=xl/activeX/activeX4.xml><?xml version="1.0" encoding="utf-8"?>
<ax:ocx xmlns:ax="http://schemas.microsoft.com/office/2006/activeX" xmlns:r="http://schemas.openxmlformats.org/officeDocument/2006/relationships" ax:classid="{CF3B4A6E-56A4-403F-8D4F-F4B0F022BF01}" ax:persistence="persistPropertyBag">
  <ax:ocxPr ax:name="_Version" ax:value="65541"/>
  <ax:ocxPr ax:name="_ExtentX" ax:value="1852"/>
  <ax:ocxPr ax:name="_ExtentY" ax:value="397"/>
  <ax:ocxPr ax:name="_StockProps" ax:value="0"/>
  <ax:ocxPr ax:name="ServerName" ax:value="=db_name"/>
  <ax:ocxPr ax:name="ProcessName" ax:value="sys_Client - Clear Validation Data"/>
  <ax:ocxPr ax:name="Name" ax:value=""/>
  <ax:ocxPr ax:name="Type" ax:value=""/>
  <ax:ocxPr ax:name="Value" ax:value=""/>
  <ax:ocxPr ax:name="Prompt" ax:value=""/>
  <ax:ocxPr ax:name="BackColor" ax:value="6963712"/>
  <ax:ocxPr ax:name="ForeColor" ax:value="16777215"/>
  <ax:ocxPr ax:name="Font">
    <ax:font ax:persistence="persistPropertyBag">
      <ax:ocxPr ax:name="Name" ax:value="Calibri"/>
      <ax:ocxPr ax:name="Size" ax:value="9.6"/>
      <ax:ocxPr ax:name="Charset" ax:value="0"/>
      <ax:ocxPr ax:name="Weight" ax:value="700"/>
      <ax:ocxPr ax:name="Underline" ax:value="0"/>
      <ax:ocxPr ax:name="Italic" ax:value="0"/>
      <ax:ocxPr ax:name="Strikethrough" ax:value="0"/>
    </ax:font>
  </ax:ocxPr>
  <ax:ocxPr ax:name="Caption" ax:value="Data Entry Menu"/>
  <ax:ocxPr ax:name="UseFormula" ax:value="0"/>
  <ax:ocxPr ax:name="ProcessNameFormula" ax:value=""/>
  <ax:ocxPr ax:name="ProcessParamFormula" ax:value=""/>
  <ax:ocxPr ax:name="UseImage" ax:value="0"/>
  <ax:ocxPr ax:name="ImageName" ax:value=""/>
  <ax:ocxPr ax:name="AutoRacalc" ax:value="0"/>
  <ax:ocxPr ax:name="ConfirmMessage" ax:value="Are you sure you want to run this Process?"/>
  <ax:ocxPr ax:name="SuccessMessage" ax:value="Process completed successfully."/>
  <ax:ocxPr ax:name="FailureMessage" ax:value="Process failed."/>
  <ax:ocxPr ax:name="ShowConfirmMessage" ax:value="0"/>
  <ax:ocxPr ax:name="ShowSuccessMessage" ax:value="0"/>
  <ax:ocxPr ax:name="ShowFailureMessage" ax:value="0"/>
  <ax:ocxPr ax:name="TargetWorkbookName" ax:value="=TM1HomeAEAccVarWB"/>
  <ax:ocxPr ax:name="TargetWorksheetName" ax:value="=TM1HomeAEAccVarWS"/>
  <ax:ocxPr ax:name="AutoTitles" ax:value="0"/>
  <ax:ocxPr ax:name="ReplaceWindow" ax:value="-1"/>
  <ax:ocxPr ax:name="IsMappingFormula" ax:value="0"/>
  <ax:ocxPr ax:name="TargetTypes" ax:value=""/>
  <ax:ocxPr ax:name="TargetObjects" ax:value=""/>
  <ax:ocxPr ax:name="TargetSubsets" ax:value=""/>
  <ax:ocxPr ax:name="TargetAliases" ax:value=""/>
  <ax:ocxPr ax:name="TargetValues" ax:value=""/>
  <ax:ocxPr ax:name="SourceTypes" ax:value=""/>
  <ax:ocxPr ax:name="SourceObjects" ax:value=""/>
  <ax:ocxPr ax:name="TargetTypesFormula" ax:value=""/>
  <ax:ocxPr ax:name="TargetObjectsFormula" ax:value=""/>
  <ax:ocxPr ax:name="TargetSubsetsFormula" ax:value=""/>
  <ax:ocxPr ax:name="TargetAliasesFormula" ax:value=""/>
  <ax:ocxPr ax:name="TargetValuesFormula" ax:value=""/>
  <ax:ocxPr ax:name="SourceTypesFormula" ax:value=""/>
  <ax:ocxPr ax:name="SourceObjectsFormula" ax:value=""/>
  <ax:ocxPr ax:name="DisplayHyperlink" ax:value="0"/>
  <ax:ocxPr ax:name="DoRunTI" ax:value="-1"/>
  <ax:ocxPr ax:name="DoNavigate" ax:value="-1"/>
  <ax:ocxPr ax:name="UseApporg" ax:value="-1"/>
  <ax:ocxPr ax:name="Version" ax:value="6"/>
  <ax:ocxPr ax:name="PreRecalc" ax:value="1"/>
  <ax:ocxPr ax:name="WorkSheetRecalc" ax:value="2"/>
  <ax:ocxPr ax:name="ProcessRecalc" ax:value="2"/>
  <ax:ocxPr ax:name="DoReCalcOnly" ax:value="0"/>
  <ax:ocxPr ax:name="UseReferenceForServerName" ax:value="-1"/>
  <ax:ocxPr ax:name="ResizeButtonToCaption" ax:value="0"/>
</ax:ocx>
</file>

<file path=xl/activeX/activeX5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6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7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5" Type="http://schemas.openxmlformats.org/officeDocument/2006/relationships/image" Target="../media/image5.e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1905</xdr:colOff>
      <xdr:row>84</xdr:row>
      <xdr:rowOff>0</xdr:rowOff>
    </xdr:from>
    <xdr:to>
      <xdr:col>11</xdr:col>
      <xdr:colOff>213283</xdr:colOff>
      <xdr:row>84</xdr:row>
      <xdr:rowOff>476250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000000"/>
            </a:clrFrom>
            <a:clrTo>
              <a:srgbClr val="000000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88655" y="4488656"/>
          <a:ext cx="1883622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830580</xdr:colOff>
          <xdr:row>101</xdr:row>
          <xdr:rowOff>106680</xdr:rowOff>
        </xdr:from>
        <xdr:to>
          <xdr:col>12</xdr:col>
          <xdr:colOff>2506980</xdr:colOff>
          <xdr:row>102</xdr:row>
          <xdr:rowOff>144780</xdr:rowOff>
        </xdr:to>
        <xdr:sp macro="" textlink="">
          <xdr:nvSpPr>
            <xdr:cNvPr id="1027" name="TIButton1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487680</xdr:colOff>
          <xdr:row>110</xdr:row>
          <xdr:rowOff>30480</xdr:rowOff>
        </xdr:from>
        <xdr:to>
          <xdr:col>20</xdr:col>
          <xdr:colOff>563880</xdr:colOff>
          <xdr:row>111</xdr:row>
          <xdr:rowOff>137160</xdr:rowOff>
        </xdr:to>
        <xdr:sp macro="" textlink="">
          <xdr:nvSpPr>
            <xdr:cNvPr id="1028" name="TIButton2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0</xdr:colOff>
          <xdr:row>86</xdr:row>
          <xdr:rowOff>7620</xdr:rowOff>
        </xdr:from>
        <xdr:to>
          <xdr:col>9</xdr:col>
          <xdr:colOff>640080</xdr:colOff>
          <xdr:row>86</xdr:row>
          <xdr:rowOff>259080</xdr:rowOff>
        </xdr:to>
        <xdr:sp macro="" textlink="">
          <xdr:nvSpPr>
            <xdr:cNvPr id="1030" name="TIButton5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678180</xdr:colOff>
          <xdr:row>86</xdr:row>
          <xdr:rowOff>7620</xdr:rowOff>
        </xdr:from>
        <xdr:to>
          <xdr:col>11</xdr:col>
          <xdr:colOff>160020</xdr:colOff>
          <xdr:row>86</xdr:row>
          <xdr:rowOff>259080</xdr:rowOff>
        </xdr:to>
        <xdr:sp macro="" textlink="">
          <xdr:nvSpPr>
            <xdr:cNvPr id="1031" name="TIButton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1470660</xdr:colOff>
          <xdr:row>86</xdr:row>
          <xdr:rowOff>7620</xdr:rowOff>
        </xdr:from>
        <xdr:to>
          <xdr:col>12</xdr:col>
          <xdr:colOff>2255520</xdr:colOff>
          <xdr:row>86</xdr:row>
          <xdr:rowOff>259080</xdr:rowOff>
        </xdr:to>
        <xdr:sp macro="" textlink="">
          <xdr:nvSpPr>
            <xdr:cNvPr id="1032" name="TIButton3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1592580</xdr:colOff>
          <xdr:row>86</xdr:row>
          <xdr:rowOff>7620</xdr:rowOff>
        </xdr:from>
        <xdr:to>
          <xdr:col>12</xdr:col>
          <xdr:colOff>1440180</xdr:colOff>
          <xdr:row>86</xdr:row>
          <xdr:rowOff>259080</xdr:rowOff>
        </xdr:to>
        <xdr:sp macro="" textlink="">
          <xdr:nvSpPr>
            <xdr:cNvPr id="1033" name="TIButton4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213360</xdr:colOff>
          <xdr:row>86</xdr:row>
          <xdr:rowOff>7620</xdr:rowOff>
        </xdr:from>
        <xdr:to>
          <xdr:col>11</xdr:col>
          <xdr:colOff>1562100</xdr:colOff>
          <xdr:row>86</xdr:row>
          <xdr:rowOff>259080</xdr:rowOff>
        </xdr:to>
        <xdr:sp macro="" textlink="">
          <xdr:nvSpPr>
            <xdr:cNvPr id="1034" name="TIButton6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.xml"/><Relationship Id="rId13" Type="http://schemas.openxmlformats.org/officeDocument/2006/relationships/image" Target="../media/image5.emf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12" Type="http://schemas.openxmlformats.org/officeDocument/2006/relationships/control" Target="../activeX/activeX5.xml"/><Relationship Id="rId17" Type="http://schemas.openxmlformats.org/officeDocument/2006/relationships/image" Target="../media/image7.emf"/><Relationship Id="rId2" Type="http://schemas.openxmlformats.org/officeDocument/2006/relationships/drawing" Target="../drawings/drawing1.xml"/><Relationship Id="rId16" Type="http://schemas.openxmlformats.org/officeDocument/2006/relationships/control" Target="../activeX/activeX7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image" Target="../media/image4.emf"/><Relationship Id="rId5" Type="http://schemas.openxmlformats.org/officeDocument/2006/relationships/image" Target="../media/image1.emf"/><Relationship Id="rId15" Type="http://schemas.openxmlformats.org/officeDocument/2006/relationships/image" Target="../media/image6.emf"/><Relationship Id="rId10" Type="http://schemas.openxmlformats.org/officeDocument/2006/relationships/control" Target="../activeX/activeX4.xml"/><Relationship Id="rId4" Type="http://schemas.openxmlformats.org/officeDocument/2006/relationships/control" Target="../activeX/activeX1.xml"/><Relationship Id="rId9" Type="http://schemas.openxmlformats.org/officeDocument/2006/relationships/image" Target="../media/image3.emf"/><Relationship Id="rId14" Type="http://schemas.openxmlformats.org/officeDocument/2006/relationships/control" Target="../activeX/activeX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421D3-CD07-42BF-84F6-5CC88111246D}">
  <sheetPr codeName="Sheet3">
    <outlinePr showOutlineSymbols="0"/>
    <pageSetUpPr fitToPage="1"/>
  </sheetPr>
  <dimension ref="A1:S118"/>
  <sheetViews>
    <sheetView showGridLines="0" showRowColHeaders="0" tabSelected="1" showOutlineSymbols="0" topLeftCell="A85" zoomScaleNormal="100" workbookViewId="0">
      <pane ySplit="26" topLeftCell="A111" activePane="bottomLeft" state="frozen"/>
      <selection activeCell="I85" sqref="I85"/>
      <selection pane="bottomLeft" activeCell="J101" sqref="J101"/>
    </sheetView>
  </sheetViews>
  <sheetFormatPr defaultColWidth="9.109375" defaultRowHeight="12" outlineLevelRow="1" outlineLevelCol="1" x14ac:dyDescent="0.25"/>
  <cols>
    <col min="1" max="1" width="6.109375" style="1" hidden="1" customWidth="1" outlineLevel="1"/>
    <col min="2" max="2" width="31.33203125" style="1" hidden="1" customWidth="1" outlineLevel="1"/>
    <col min="3" max="3" width="26.33203125" style="1" hidden="1" customWidth="1" outlineLevel="1"/>
    <col min="4" max="4" width="15.6640625" style="1" hidden="1" customWidth="1" outlineLevel="1"/>
    <col min="5" max="5" width="16.88671875" style="1" hidden="1" customWidth="1" outlineLevel="1"/>
    <col min="6" max="8" width="17.6640625" style="1" hidden="1" customWidth="1" outlineLevel="1"/>
    <col min="9" max="9" width="0.88671875" style="1" customWidth="1" collapsed="1"/>
    <col min="10" max="10" width="23.6640625" style="1" customWidth="1"/>
    <col min="11" max="11" width="0.88671875" style="1" customWidth="1"/>
    <col min="12" max="12" width="27" style="1" customWidth="1"/>
    <col min="13" max="13" width="40.6640625" style="1" bestFit="1" customWidth="1"/>
    <col min="14" max="14" width="35.6640625" style="1" customWidth="1"/>
    <col min="15" max="15" width="0.88671875" style="1" customWidth="1"/>
    <col min="16" max="16" width="11.6640625" style="1" bestFit="1" customWidth="1"/>
    <col min="17" max="17" width="10.88671875" style="1" customWidth="1"/>
    <col min="18" max="18" width="14.5546875" style="1" customWidth="1"/>
    <col min="19" max="16384" width="9.109375" style="1"/>
  </cols>
  <sheetData>
    <row r="1" spans="1:18" hidden="1" outlineLevel="1" x14ac:dyDescent="0.25">
      <c r="A1" s="1" t="s">
        <v>0</v>
      </c>
    </row>
    <row r="2" spans="1:18" hidden="1" outlineLevel="1" x14ac:dyDescent="0.25">
      <c r="A2" s="1">
        <f>0</f>
        <v>0</v>
      </c>
      <c r="C2" s="2"/>
    </row>
    <row r="3" spans="1:18" hidden="1" outlineLevel="1" x14ac:dyDescent="0.25">
      <c r="A3" s="1">
        <f>1</f>
        <v>1</v>
      </c>
      <c r="C3" s="3"/>
    </row>
    <row r="4" spans="1:18" hidden="1" outlineLevel="1" x14ac:dyDescent="0.25">
      <c r="A4" s="1">
        <f>2</f>
        <v>2</v>
      </c>
      <c r="C4" s="3"/>
    </row>
    <row r="5" spans="1:18" hidden="1" outlineLevel="1" x14ac:dyDescent="0.25">
      <c r="A5" s="1">
        <f>3</f>
        <v>3</v>
      </c>
      <c r="C5" s="3"/>
    </row>
    <row r="6" spans="1:18" hidden="1" outlineLevel="1" x14ac:dyDescent="0.25">
      <c r="A6" s="1" t="s">
        <v>7</v>
      </c>
      <c r="C6" s="3"/>
    </row>
    <row r="7" spans="1:18" hidden="1" outlineLevel="1" x14ac:dyDescent="0.25">
      <c r="A7" s="1" t="s">
        <v>8</v>
      </c>
      <c r="C7" s="3"/>
      <c r="J7" s="4"/>
      <c r="K7" s="5"/>
      <c r="L7" s="6"/>
      <c r="M7" s="6"/>
      <c r="N7" s="50"/>
      <c r="P7" s="5"/>
    </row>
    <row r="8" spans="1:18" hidden="1" outlineLevel="1" x14ac:dyDescent="0.25">
      <c r="A8" s="1" t="s">
        <v>9</v>
      </c>
      <c r="C8" s="2"/>
    </row>
    <row r="9" spans="1:18" hidden="1" outlineLevel="1" x14ac:dyDescent="0.25">
      <c r="A9" s="1" t="s">
        <v>10</v>
      </c>
      <c r="C9" s="3"/>
    </row>
    <row r="10" spans="1:18" hidden="1" outlineLevel="1" x14ac:dyDescent="0.25">
      <c r="A10" s="1" t="s">
        <v>11</v>
      </c>
      <c r="C10" s="3"/>
    </row>
    <row r="11" spans="1:18" hidden="1" outlineLevel="1" x14ac:dyDescent="0.25">
      <c r="A11" s="1" t="s">
        <v>12</v>
      </c>
      <c r="C11" s="3"/>
    </row>
    <row r="12" spans="1:18" hidden="1" outlineLevel="1" x14ac:dyDescent="0.25">
      <c r="A12" s="1" t="s">
        <v>13</v>
      </c>
      <c r="C12" s="3"/>
    </row>
    <row r="13" spans="1:18" hidden="1" outlineLevel="1" x14ac:dyDescent="0.25">
      <c r="A13" s="1" t="s">
        <v>14</v>
      </c>
      <c r="C13" s="3"/>
      <c r="J13" s="4"/>
      <c r="K13" s="5"/>
      <c r="L13" s="6"/>
      <c r="M13" s="6"/>
      <c r="N13" s="49"/>
      <c r="P13" s="4"/>
      <c r="Q13" s="4"/>
      <c r="R13" s="8"/>
    </row>
    <row r="14" spans="1:18" hidden="1" outlineLevel="1" x14ac:dyDescent="0.25">
      <c r="J14" s="5"/>
      <c r="K14" s="5"/>
      <c r="L14" s="9"/>
      <c r="M14" s="9"/>
      <c r="P14" s="5"/>
    </row>
    <row r="15" spans="1:18" hidden="1" outlineLevel="1" x14ac:dyDescent="0.25">
      <c r="A15" s="1" t="s">
        <v>15</v>
      </c>
    </row>
    <row r="16" spans="1:18" hidden="1" outlineLevel="1" x14ac:dyDescent="0.25"/>
    <row r="17" spans="2:4" customFormat="1" ht="14.4" hidden="1" outlineLevel="1" x14ac:dyDescent="0.3">
      <c r="B17" s="65" t="s">
        <v>45</v>
      </c>
      <c r="C17" s="66"/>
      <c r="D17" s="67"/>
    </row>
    <row r="18" spans="2:4" customFormat="1" ht="14.4" hidden="1" outlineLevel="1" x14ac:dyDescent="0.3">
      <c r="B18" s="33" t="s">
        <v>16</v>
      </c>
      <c r="C18" s="35" t="s">
        <v>140</v>
      </c>
    </row>
    <row r="19" spans="2:4" customFormat="1" ht="14.4" hidden="1" outlineLevel="1" x14ac:dyDescent="0.3">
      <c r="B19" s="33" t="s">
        <v>41</v>
      </c>
      <c r="C19" s="36" t="str" cm="1">
        <f t="array" aca="1" ref="C19" ca="1">_xll.VIEW(db_name&amp;":}ElementAttributes_}Clients","!","!")</f>
        <v>dcceew_geus:}ElementAttributes_}Clients</v>
      </c>
      <c r="D19" s="37"/>
    </row>
    <row r="20" spans="2:4" customFormat="1" ht="14.4" hidden="1" outlineLevel="1" x14ac:dyDescent="0.3">
      <c r="B20" s="33" t="s">
        <v>42</v>
      </c>
      <c r="C20" s="34" t="str" cm="1">
        <f t="array" aca="1" ref="C20" ca="1">_xll.TM1USER(db_name)</f>
        <v/>
      </c>
      <c r="D20" s="37"/>
    </row>
    <row r="21" spans="2:4" customFormat="1" ht="14.4" hidden="1" outlineLevel="1" x14ac:dyDescent="0.3">
      <c r="B21" s="33" t="s">
        <v>43</v>
      </c>
      <c r="C21" s="34" t="str" cm="1">
        <f t="array" aca="1" ref="C21" ca="1">_xll.DBR($C$19,$C$20,$B21)</f>
        <v>*KEY_ERR</v>
      </c>
      <c r="D21" s="37"/>
    </row>
    <row r="22" spans="2:4" customFormat="1" ht="14.4" hidden="1" outlineLevel="1" x14ac:dyDescent="0.3">
      <c r="B22" s="33" t="s">
        <v>44</v>
      </c>
      <c r="C22" s="34" t="str" cm="1">
        <f t="array" aca="1" ref="C22" ca="1">_xll.DBR($C$19,$C$20,$B22)</f>
        <v>*KEY_ERR</v>
      </c>
      <c r="D22" s="37"/>
    </row>
    <row r="23" spans="2:4" customFormat="1" ht="14.4" hidden="1" outlineLevel="1" x14ac:dyDescent="0.3">
      <c r="B23" s="33" t="s">
        <v>17</v>
      </c>
      <c r="C23" s="34" t="str">
        <f ca="1">IF(LEFT($C$21,6)="CAM_AD",$C$22,$C$21)</f>
        <v>*KEY_ERR</v>
      </c>
      <c r="D23" s="35"/>
    </row>
    <row r="24" spans="2:4" customFormat="1" ht="14.4" hidden="1" outlineLevel="1" x14ac:dyDescent="0.3"/>
    <row r="25" spans="2:4" customFormat="1" ht="14.4" hidden="1" outlineLevel="1" x14ac:dyDescent="0.3">
      <c r="B25" s="65" t="s">
        <v>46</v>
      </c>
      <c r="C25" s="66"/>
      <c r="D25" s="67"/>
    </row>
    <row r="26" spans="2:4" customFormat="1" ht="14.4" hidden="1" outlineLevel="1" x14ac:dyDescent="0.3">
      <c r="B26" s="33" t="s">
        <v>47</v>
      </c>
      <c r="C26" s="35" t="str" cm="1">
        <f t="array" aca="1" ref="C26" ca="1">_xll.VIEW(db_name&amp;":}ElementAttributes_variables","!","!")</f>
        <v>dcceew_geus:}ElementAttributes_variables</v>
      </c>
      <c r="D26" s="35"/>
    </row>
    <row r="27" spans="2:4" customFormat="1" ht="14.4" hidden="1" outlineLevel="1" x14ac:dyDescent="0.3">
      <c r="B27" s="33" t="s">
        <v>48</v>
      </c>
      <c r="C27" s="35" t="str" cm="1">
        <f t="array" aca="1" ref="C27" ca="1">_xll.DBR($C$26,$B27,"value")</f>
        <v>*KEY_ERR</v>
      </c>
      <c r="D27" s="35"/>
    </row>
    <row r="28" spans="2:4" customFormat="1" ht="14.4" hidden="1" outlineLevel="1" x14ac:dyDescent="0.3">
      <c r="B28" s="33" t="s">
        <v>49</v>
      </c>
      <c r="C28" s="35" t="str" cm="1">
        <f t="array" aca="1" ref="C28" ca="1">_xll.DBR($C$26,$B28,"value")</f>
        <v>*KEY_ERR</v>
      </c>
      <c r="D28" s="35"/>
    </row>
    <row r="29" spans="2:4" customFormat="1" ht="14.4" hidden="1" outlineLevel="1" x14ac:dyDescent="0.3"/>
    <row r="30" spans="2:4" customFormat="1" ht="14.4" hidden="1" outlineLevel="1" x14ac:dyDescent="0.3">
      <c r="B30" s="65" t="s">
        <v>50</v>
      </c>
      <c r="C30" s="66"/>
      <c r="D30" s="67"/>
    </row>
    <row r="31" spans="2:4" customFormat="1" ht="14.4" hidden="1" outlineLevel="1" x14ac:dyDescent="0.3">
      <c r="B31" s="35" t="s">
        <v>51</v>
      </c>
      <c r="C31" s="35" t="str">
        <f ca="1">_xll.VIEW(db_name&amp;":sys_application","!","!")</f>
        <v>dcceew_geus:sys_application</v>
      </c>
    </row>
    <row r="32" spans="2:4" customFormat="1" ht="14.4" hidden="1" outlineLevel="1" x14ac:dyDescent="0.3">
      <c r="B32" s="35" t="s">
        <v>52</v>
      </c>
      <c r="C32" s="35" t="s">
        <v>65</v>
      </c>
    </row>
    <row r="33" spans="2:8" customFormat="1" ht="14.4" hidden="1" outlineLevel="1" x14ac:dyDescent="0.3">
      <c r="B33" s="39" t="s">
        <v>54</v>
      </c>
      <c r="C33" s="40" t="s">
        <v>55</v>
      </c>
      <c r="D33" s="40" t="s">
        <v>56</v>
      </c>
      <c r="E33" s="40" t="s">
        <v>57</v>
      </c>
      <c r="F33" s="40" t="s">
        <v>58</v>
      </c>
      <c r="G33" s="40" t="s">
        <v>59</v>
      </c>
      <c r="H33" s="40" t="s">
        <v>60</v>
      </c>
    </row>
    <row r="34" spans="2:8" customFormat="1" ht="14.4" hidden="1" outlineLevel="1" x14ac:dyDescent="0.3">
      <c r="B34" s="35" t="s">
        <v>61</v>
      </c>
      <c r="C34" s="35" t="str" cm="1">
        <f t="array" aca="1" ref="C34" ca="1">_xll.DBR($C$31,$B34,C$33)</f>
        <v>*KEY_ERR</v>
      </c>
      <c r="D34" s="35" t="str" cm="1">
        <f t="array" aca="1" ref="D34" ca="1">_xll.DBR($C$31,$B34,D$33)</f>
        <v>*KEY_ERR</v>
      </c>
      <c r="E34" s="35" t="str" cm="1">
        <f t="array" aca="1" ref="E34" ca="1">_xll.DBR($C$31,$B34,E$33)</f>
        <v>*KEY_ERR</v>
      </c>
      <c r="F34" s="35" t="str" cm="1">
        <f t="array" aca="1" ref="F34" ca="1">_xll.DBR($C$31,$B34,F$33)</f>
        <v>*KEY_ERR</v>
      </c>
      <c r="G34" s="35" t="str" cm="1">
        <f t="array" aca="1" ref="G34" ca="1">_xll.DBR($C$31,$B34,G$33)</f>
        <v>*KEY_ERR</v>
      </c>
      <c r="H34" s="35" t="str" cm="1">
        <f t="array" aca="1" ref="H34" ca="1">_xll.DBR($C$31,$B34,H$33)</f>
        <v>*KEY_ERR</v>
      </c>
    </row>
    <row r="35" spans="2:8" customFormat="1" ht="14.4" hidden="1" outlineLevel="1" x14ac:dyDescent="0.3">
      <c r="B35" s="35" t="s">
        <v>62</v>
      </c>
      <c r="C35" s="35" t="str" cm="1">
        <f t="array" aca="1" ref="C35" ca="1">_xll.DBR($C$31,$B35,C$33)</f>
        <v>*KEY_ERR</v>
      </c>
      <c r="D35" s="35" t="str" cm="1">
        <f t="array" aca="1" ref="D35" ca="1">_xll.DBR($C$31,$B35,D$33)</f>
        <v>*KEY_ERR</v>
      </c>
      <c r="E35" s="35" t="str" cm="1">
        <f t="array" aca="1" ref="E35" ca="1">_xll.DBR($C$31,$B35,E$33)</f>
        <v>*KEY_ERR</v>
      </c>
      <c r="F35" s="35" t="str" cm="1">
        <f t="array" aca="1" ref="F35" ca="1">_xll.DBR($C$31,$B35,F$33)</f>
        <v>*KEY_ERR</v>
      </c>
      <c r="G35" s="35" t="str" cm="1">
        <f t="array" aca="1" ref="G35" ca="1">_xll.DBR($C$31,$B35,G$33)</f>
        <v>*KEY_ERR</v>
      </c>
      <c r="H35" s="35" t="str" cm="1">
        <f t="array" aca="1" ref="H35" ca="1">_xll.DBR($C$31,$B35,H$33)</f>
        <v>*KEY_ERR</v>
      </c>
    </row>
    <row r="36" spans="2:8" customFormat="1" ht="14.4" hidden="1" outlineLevel="1" x14ac:dyDescent="0.3">
      <c r="B36" s="35" t="s">
        <v>63</v>
      </c>
      <c r="C36" s="35" t="str" cm="1">
        <f t="array" aca="1" ref="C36" ca="1">_xll.DBR($C$31,$B36,C$33)</f>
        <v>*KEY_ERR</v>
      </c>
      <c r="D36" s="35" t="str" cm="1">
        <f t="array" aca="1" ref="D36" ca="1">_xll.DBR($C$31,$B36,D$33)</f>
        <v>*KEY_ERR</v>
      </c>
      <c r="E36" s="35" t="str" cm="1">
        <f t="array" aca="1" ref="E36" ca="1">_xll.DBR($C$31,$B36,E$33)</f>
        <v>*KEY_ERR</v>
      </c>
      <c r="F36" s="35" t="str" cm="1">
        <f t="array" aca="1" ref="F36" ca="1">_xll.DBR($C$31,$B36,F$33)</f>
        <v>*KEY_ERR</v>
      </c>
      <c r="G36" s="35" t="str" cm="1">
        <f t="array" aca="1" ref="G36" ca="1">_xll.DBR($C$31,$B36,G$33)</f>
        <v>*KEY_ERR</v>
      </c>
      <c r="H36" s="35" t="str" cm="1">
        <f t="array" aca="1" ref="H36" ca="1">_xll.DBR($C$31,$B36,H$33)</f>
        <v>*KEY_ERR</v>
      </c>
    </row>
    <row r="37" spans="2:8" customFormat="1" ht="14.4" hidden="1" outlineLevel="1" x14ac:dyDescent="0.3">
      <c r="B37" s="35" t="s">
        <v>64</v>
      </c>
      <c r="C37" s="35" t="str" cm="1">
        <f t="array" aca="1" ref="C37" ca="1">_xll.DBR($C$31,$B37,C$33)</f>
        <v>*KEY_ERR</v>
      </c>
      <c r="D37" s="35" t="str" cm="1">
        <f t="array" aca="1" ref="D37" ca="1">_xll.DBR($C$31,$B37,D$33)</f>
        <v>*KEY_ERR</v>
      </c>
      <c r="E37" s="35" t="str" cm="1">
        <f t="array" aca="1" ref="E37" ca="1">_xll.DBR($C$31,$B37,E$33)</f>
        <v>*KEY_ERR</v>
      </c>
      <c r="F37" s="35" t="str" cm="1">
        <f t="array" aca="1" ref="F37" ca="1">_xll.DBR($C$31,$B37,F$33)</f>
        <v>*KEY_ERR</v>
      </c>
      <c r="G37" s="35" t="str" cm="1">
        <f t="array" aca="1" ref="G37" ca="1">_xll.DBR($C$31,$B37,G$33)</f>
        <v>*KEY_ERR</v>
      </c>
      <c r="H37" s="35" t="str" cm="1">
        <f t="array" aca="1" ref="H37" ca="1">_xll.DBR($C$31,$B37,H$33)</f>
        <v>*KEY_ERR</v>
      </c>
    </row>
    <row r="38" spans="2:8" customFormat="1" ht="14.4" hidden="1" outlineLevel="1" x14ac:dyDescent="0.3">
      <c r="B38" s="35" t="s">
        <v>53</v>
      </c>
      <c r="C38" s="35" t="str" cm="1">
        <f t="array" aca="1" ref="C38" ca="1">_xll.DBR($C$31,$B38,C$33)</f>
        <v>*KEY_ERR</v>
      </c>
      <c r="D38" s="35" t="str" cm="1">
        <f t="array" aca="1" ref="D38" ca="1">_xll.DBR($C$31,$B38,D$33)</f>
        <v>*KEY_ERR</v>
      </c>
      <c r="E38" s="35" t="str" cm="1">
        <f t="array" aca="1" ref="E38" ca="1">_xll.DBR($C$31,$B38,E$33)</f>
        <v>*KEY_ERR</v>
      </c>
      <c r="F38" s="35" t="str" cm="1">
        <f t="array" aca="1" ref="F38" ca="1">_xll.DBR($C$31,$B38,F$33)</f>
        <v>*KEY_ERR</v>
      </c>
      <c r="G38" s="35" t="str" cm="1">
        <f t="array" aca="1" ref="G38" ca="1">_xll.DBR($C$31,$B38,G$33)</f>
        <v>*KEY_ERR</v>
      </c>
      <c r="H38" s="35" t="str" cm="1">
        <f t="array" aca="1" ref="H38" ca="1">_xll.DBR($C$31,$B38,H$33)</f>
        <v>*KEY_ERR</v>
      </c>
    </row>
    <row r="39" spans="2:8" customFormat="1" ht="14.4" hidden="1" outlineLevel="1" x14ac:dyDescent="0.3">
      <c r="B39" s="35" t="s">
        <v>65</v>
      </c>
      <c r="C39" s="35" t="str" cm="1">
        <f t="array" aca="1" ref="C39" ca="1">_xll.DBR($C$31,$B39,C$33)</f>
        <v>*KEY_ERR</v>
      </c>
      <c r="D39" s="35" t="str" cm="1">
        <f t="array" aca="1" ref="D39" ca="1">_xll.DBR($C$31,$B39,D$33)</f>
        <v>*KEY_ERR</v>
      </c>
      <c r="E39" s="35" t="str" cm="1">
        <f t="array" aca="1" ref="E39" ca="1">_xll.DBR($C$31,$B39,E$33)</f>
        <v>*KEY_ERR</v>
      </c>
      <c r="F39" s="35" t="str" cm="1">
        <f t="array" aca="1" ref="F39" ca="1">_xll.DBR($C$31,$B39,F$33)</f>
        <v>*KEY_ERR</v>
      </c>
      <c r="G39" s="35" t="str" cm="1">
        <f t="array" aca="1" ref="G39" ca="1">_xll.DBR($C$31,$B39,G$33)</f>
        <v>*KEY_ERR</v>
      </c>
      <c r="H39" s="35" t="str" cm="1">
        <f t="array" aca="1" ref="H39" ca="1">_xll.DBR($C$31,$B39,H$33)</f>
        <v>*KEY_ERR</v>
      </c>
    </row>
    <row r="40" spans="2:8" customFormat="1" ht="14.4" hidden="1" outlineLevel="1" x14ac:dyDescent="0.3">
      <c r="B40" s="35" t="s">
        <v>66</v>
      </c>
      <c r="C40" s="35" t="str" cm="1">
        <f t="array" aca="1" ref="C40" ca="1">_xll.DBR($C$31,$B40,C$33)</f>
        <v>*KEY_ERR</v>
      </c>
      <c r="D40" s="35" t="str" cm="1">
        <f t="array" aca="1" ref="D40" ca="1">_xll.DBR($C$31,$B40,D$33)</f>
        <v>*KEY_ERR</v>
      </c>
      <c r="E40" s="35" t="str" cm="1">
        <f t="array" aca="1" ref="E40" ca="1">_xll.DBR($C$31,$B40,E$33)</f>
        <v>*KEY_ERR</v>
      </c>
      <c r="F40" s="35" t="str" cm="1">
        <f t="array" aca="1" ref="F40" ca="1">_xll.DBR($C$31,$B40,F$33)</f>
        <v>*KEY_ERR</v>
      </c>
      <c r="G40" s="35" t="str" cm="1">
        <f t="array" aca="1" ref="G40" ca="1">_xll.DBR($C$31,$B40,G$33)</f>
        <v>*KEY_ERR</v>
      </c>
      <c r="H40" s="35" t="str" cm="1">
        <f t="array" aca="1" ref="H40" ca="1">_xll.DBR($C$31,$B40,H$33)</f>
        <v>*KEY_ERR</v>
      </c>
    </row>
    <row r="41" spans="2:8" customFormat="1" ht="14.4" hidden="1" outlineLevel="1" x14ac:dyDescent="0.3">
      <c r="C41" s="38"/>
    </row>
    <row r="42" spans="2:8" customFormat="1" ht="14.4" hidden="1" outlineLevel="1" x14ac:dyDescent="0.3">
      <c r="B42" s="65" t="s">
        <v>67</v>
      </c>
      <c r="C42" s="66"/>
      <c r="D42" s="67"/>
    </row>
    <row r="43" spans="2:8" customFormat="1" ht="14.4" hidden="1" outlineLevel="1" x14ac:dyDescent="0.3">
      <c r="B43" s="33" t="s">
        <v>47</v>
      </c>
      <c r="C43" s="35" t="str" cm="1">
        <f t="array" aca="1" ref="C43" ca="1">_xll.VIEW(db_name&amp;":sys_client preference","!","!","!")</f>
        <v>dcceew_geus:sys_client preference</v>
      </c>
      <c r="D43" s="35"/>
    </row>
    <row r="44" spans="2:8" customFormat="1" ht="14.4" hidden="1" outlineLevel="1" x14ac:dyDescent="0.3">
      <c r="B44" s="33"/>
      <c r="C44" s="41" t="s">
        <v>68</v>
      </c>
      <c r="D44" s="41" t="s">
        <v>69</v>
      </c>
    </row>
    <row r="45" spans="2:8" customFormat="1" ht="14.4" hidden="1" outlineLevel="1" x14ac:dyDescent="0.3">
      <c r="B45" s="33" t="s">
        <v>70</v>
      </c>
      <c r="C45" s="35" t="str" cm="1">
        <f t="array" aca="1" ref="C45" ca="1">_xll.SUBNM(db_name&amp;":sys_client preference measure","","value")</f>
        <v/>
      </c>
      <c r="D45" s="41"/>
    </row>
    <row r="46" spans="2:8" customFormat="1" ht="14.4" hidden="1" outlineLevel="1" x14ac:dyDescent="0.3">
      <c r="B46" s="33" t="s">
        <v>70</v>
      </c>
      <c r="C46" s="35" t="str" cm="1">
        <f t="array" aca="1" ref="C46" ca="1">_xll.SUBNM(db_name&amp;":sys_client preference measure","","validate")</f>
        <v/>
      </c>
      <c r="D46" s="41"/>
    </row>
    <row r="47" spans="2:8" customFormat="1" ht="14.4" hidden="1" outlineLevel="1" x14ac:dyDescent="0.3">
      <c r="B47" s="33" t="s">
        <v>71</v>
      </c>
      <c r="C47" s="35" t="str" cm="1">
        <f t="array" aca="1" ref="C47" ca="1">_xll.DBR($C$43,psUser,$B47,C$44)</f>
        <v>*KEY_ERR</v>
      </c>
      <c r="D47" s="35" t="str" cm="1">
        <f t="array" aca="1" ref="D47" ca="1">_xll.DBR($C$43,psUser,$B47,D$44)</f>
        <v>*KEY_ERR</v>
      </c>
    </row>
    <row r="48" spans="2:8" customFormat="1" ht="14.4" hidden="1" outlineLevel="1" x14ac:dyDescent="0.3">
      <c r="B48" s="33" t="s">
        <v>72</v>
      </c>
      <c r="C48" s="35" t="str" cm="1">
        <f t="array" aca="1" ref="C48" ca="1">_xll.DBR($C$43,psUser,$B48,C$44)</f>
        <v>*KEY_ERR</v>
      </c>
      <c r="D48" s="35" t="str" cm="1">
        <f t="array" aca="1" ref="D48" ca="1">_xll.DBR($C$43,psUser,$B48,D$44)</f>
        <v>*KEY_ERR</v>
      </c>
    </row>
    <row r="49" spans="2:6" customFormat="1" ht="14.4" hidden="1" outlineLevel="1" x14ac:dyDescent="0.3">
      <c r="B49" s="33" t="s">
        <v>73</v>
      </c>
      <c r="C49" s="35" t="str" cm="1">
        <f t="array" aca="1" ref="C49" ca="1">_xll.DBR($C$43,psUser,$B49,C$44)</f>
        <v>*KEY_ERR</v>
      </c>
      <c r="D49" s="35" t="str" cm="1">
        <f t="array" aca="1" ref="D49" ca="1">_xll.DBR($C$43,psUser,$B49,D$44)</f>
        <v>*KEY_ERR</v>
      </c>
    </row>
    <row r="50" spans="2:6" customFormat="1" ht="14.4" hidden="1" outlineLevel="1" x14ac:dyDescent="0.3">
      <c r="B50" s="35" t="s">
        <v>89</v>
      </c>
      <c r="C50" s="35" t="str" cm="1">
        <f t="array" aca="1" ref="C50" ca="1">_xll.DBR($C$43,psUser,$B50,C$44)</f>
        <v>*KEY_ERR</v>
      </c>
      <c r="D50" s="35" t="str" cm="1">
        <f t="array" aca="1" ref="D50" ca="1">_xll.DBR($C$43,psUser,$B50,D$44)</f>
        <v>*KEY_ERR</v>
      </c>
      <c r="E50" s="46" t="str" cm="1">
        <f t="array" aca="1" ref="E50" ca="1">IF(acctemp_DRAcc="","",_xll.DBSS(_xll.DIMNM(db_name&amp;":account",_xll.DIMIX(db_name&amp;":account",acctemp_DRAcc)),$C$43,psUser,$B50,C$44))</f>
        <v/>
      </c>
      <c r="F50" t="s">
        <v>93</v>
      </c>
    </row>
    <row r="51" spans="2:6" customFormat="1" ht="14.4" hidden="1" outlineLevel="1" x14ac:dyDescent="0.3">
      <c r="B51" s="35" t="s">
        <v>90</v>
      </c>
      <c r="C51" s="35" t="str" cm="1">
        <f t="array" aca="1" ref="C51" ca="1">_xll.DBR($C$43,psUser,$B51,C$44)</f>
        <v>*KEY_ERR</v>
      </c>
      <c r="D51" s="35" t="str" cm="1">
        <f t="array" aca="1" ref="D51" ca="1">_xll.DBR($C$43,psUser,$B51,D$44)</f>
        <v>*KEY_ERR</v>
      </c>
    </row>
    <row r="52" spans="2:6" customFormat="1" ht="14.4" hidden="1" outlineLevel="1" x14ac:dyDescent="0.3">
      <c r="B52" s="35" t="s">
        <v>91</v>
      </c>
      <c r="C52" s="35" t="str" cm="1">
        <f t="array" aca="1" ref="C52" ca="1">_xll.DBR($C$43,psUser,$B52,C$44)</f>
        <v>*KEY_ERR</v>
      </c>
      <c r="D52" s="35" t="str" cm="1">
        <f t="array" aca="1" ref="D52" ca="1">_xll.DBR($C$43,psUser,$B52,D$44)</f>
        <v>*KEY_ERR</v>
      </c>
      <c r="E52" s="46" t="str" cm="1">
        <f t="array" aca="1" ref="E52" ca="1">IF(acctemp_CRAcc="","",_xll.DBSS(_xll.DIMNM(db_name&amp;":account",_xll.DIMIX(db_name&amp;":account",acctemp_CRAcc)),$C$43,psUser,$B52,C$44))</f>
        <v/>
      </c>
      <c r="F52" t="s">
        <v>93</v>
      </c>
    </row>
    <row r="53" spans="2:6" customFormat="1" ht="14.4" hidden="1" outlineLevel="1" x14ac:dyDescent="0.3">
      <c r="B53" s="35" t="s">
        <v>92</v>
      </c>
      <c r="C53" s="35" t="str" cm="1">
        <f t="array" aca="1" ref="C53" ca="1">_xll.DBR($C$43,psUser,$B53,C$44)</f>
        <v>*KEY_ERR</v>
      </c>
      <c r="D53" s="35" t="str" cm="1">
        <f t="array" aca="1" ref="D53" ca="1">_xll.DBR($C$43,psUser,$B53,D$44)</f>
        <v>*KEY_ERR</v>
      </c>
    </row>
    <row r="54" spans="2:6" customFormat="1" ht="14.4" hidden="1" outlineLevel="1" x14ac:dyDescent="0.3">
      <c r="C54" s="38"/>
    </row>
    <row r="55" spans="2:6" customFormat="1" ht="14.4" hidden="1" outlineLevel="1" x14ac:dyDescent="0.3">
      <c r="B55" s="65" t="s">
        <v>74</v>
      </c>
      <c r="C55" s="66"/>
      <c r="D55" s="67"/>
    </row>
    <row r="56" spans="2:6" customFormat="1" ht="14.4" hidden="1" outlineLevel="1" x14ac:dyDescent="0.3">
      <c r="B56" s="33" t="s">
        <v>88</v>
      </c>
      <c r="C56" s="35" t="str" cm="1">
        <f t="array" aca="1" ref="C56" ca="1">_xll.TM1RPTVIEW(db_name&amp;":AE account template:2", 1, _xll.TM1RPTTITLE(db_name&amp;":account template",$L$93),TM1RPTFMTRNG,TM1RPTFMTIDCOL)</f>
        <v>dcceew_geus:AE account template:2</v>
      </c>
      <c r="D56" s="35"/>
    </row>
    <row r="57" spans="2:6" customFormat="1" ht="14.4" hidden="1" outlineLevel="1" x14ac:dyDescent="0.3">
      <c r="B57" s="33" t="s">
        <v>83</v>
      </c>
      <c r="C57" s="7" t="str">
        <f>"{[account template record type].[data entry]}"</f>
        <v>{[account template record type].[data entry]}</v>
      </c>
      <c r="D57" s="35"/>
    </row>
    <row r="58" spans="2:6" customFormat="1" ht="14.4" hidden="1" outlineLevel="1" x14ac:dyDescent="0.3">
      <c r="B58" s="33" t="s">
        <v>84</v>
      </c>
      <c r="C58" s="7" t="s">
        <v>4</v>
      </c>
      <c r="D58" s="35"/>
    </row>
    <row r="59" spans="2:6" customFormat="1" ht="14.4" hidden="1" outlineLevel="1" x14ac:dyDescent="0.3">
      <c r="B59" s="33" t="s">
        <v>85</v>
      </c>
      <c r="C59" s="7" t="str">
        <f>"{[account].[account template]}"</f>
        <v>{[account].[account template]}</v>
      </c>
      <c r="D59" s="35"/>
    </row>
    <row r="60" spans="2:6" customFormat="1" ht="14.4" hidden="1" outlineLevel="1" x14ac:dyDescent="0.3">
      <c r="B60" s="33" t="s">
        <v>86</v>
      </c>
      <c r="C60" s="7" t="str">
        <f>"{[movement account].[-]}"</f>
        <v>{[movement account].[-]}</v>
      </c>
      <c r="D60" s="35"/>
    </row>
    <row r="61" spans="2:6" customFormat="1" ht="14.4" hidden="1" outlineLevel="1" x14ac:dyDescent="0.3">
      <c r="B61" s="33"/>
      <c r="C61" s="35"/>
      <c r="D61" s="35"/>
    </row>
    <row r="62" spans="2:6" customFormat="1" ht="14.4" hidden="1" outlineLevel="1" x14ac:dyDescent="0.3">
      <c r="B62" s="33" t="s">
        <v>87</v>
      </c>
      <c r="C62" s="35" t="str" cm="1">
        <f t="array" aca="1" ref="C62" ca="1">_xll.TM1RPTVIEW(db_name&amp;":AE account template:ARPT_ACCTEMP", 1, _xll.TM1RPTTITLE(db_name&amp;":account template",$L$93),TM1RPTFMTRNG,TM1RPTFMTIDCOL)</f>
        <v>dcceew_geus:AE account template:ARPT_ACCTEMP</v>
      </c>
      <c r="D62" s="35"/>
    </row>
    <row r="63" spans="2:6" customFormat="1" ht="14.4" hidden="1" outlineLevel="1" x14ac:dyDescent="0.3">
      <c r="B63" s="33" t="s">
        <v>83</v>
      </c>
      <c r="C63" s="1" t="str">
        <f>"{[account template record type].[mapping]}"</f>
        <v>{[account template record type].[mapping]}</v>
      </c>
      <c r="D63" s="35"/>
    </row>
    <row r="64" spans="2:6" customFormat="1" ht="14.4" hidden="1" outlineLevel="1" x14ac:dyDescent="0.3">
      <c r="B64" s="33" t="s">
        <v>84</v>
      </c>
      <c r="C64" s="1" t="s">
        <v>4</v>
      </c>
      <c r="D64" s="35"/>
    </row>
    <row r="65" spans="2:6" customFormat="1" ht="14.4" hidden="1" outlineLevel="1" x14ac:dyDescent="0.3">
      <c r="B65" s="33" t="s">
        <v>85</v>
      </c>
      <c r="C65" s="1" t="s">
        <v>6</v>
      </c>
      <c r="D65" s="35"/>
    </row>
    <row r="66" spans="2:6" customFormat="1" ht="14.4" hidden="1" outlineLevel="1" x14ac:dyDescent="0.3">
      <c r="B66" s="33" t="s">
        <v>86</v>
      </c>
      <c r="C66" s="1" t="s">
        <v>5</v>
      </c>
      <c r="D66" s="35"/>
    </row>
    <row r="67" spans="2:6" customFormat="1" ht="14.4" hidden="1" outlineLevel="1" x14ac:dyDescent="0.3">
      <c r="B67" s="33"/>
      <c r="C67" s="35"/>
      <c r="D67" s="35"/>
    </row>
    <row r="68" spans="2:6" customFormat="1" ht="14.4" hidden="1" outlineLevel="1" x14ac:dyDescent="0.3">
      <c r="D68" s="35"/>
    </row>
    <row r="69" spans="2:6" customFormat="1" ht="14.4" hidden="1" outlineLevel="1" x14ac:dyDescent="0.3">
      <c r="C69" s="38"/>
    </row>
    <row r="70" spans="2:6" customFormat="1" ht="14.4" hidden="1" outlineLevel="1" x14ac:dyDescent="0.3">
      <c r="B70" s="65" t="s">
        <v>75</v>
      </c>
      <c r="C70" s="66"/>
      <c r="D70" s="67"/>
    </row>
    <row r="71" spans="2:6" customFormat="1" ht="14.4" hidden="1" outlineLevel="1" x14ac:dyDescent="0.3">
      <c r="B71" s="35" t="s">
        <v>76</v>
      </c>
      <c r="C71" s="33" t="str" cm="1">
        <f t="array" aca="1" ref="C71" ca="1">_xll.VIEW(db_name&amp;":}ElementAttributes_account template","!","!")</f>
        <v>dcceew_geus:}ElementAttributes_account template</v>
      </c>
      <c r="D71" s="35"/>
    </row>
    <row r="72" spans="2:6" customFormat="1" ht="14.4" hidden="1" outlineLevel="1" x14ac:dyDescent="0.3">
      <c r="B72" s="35" t="s">
        <v>21</v>
      </c>
      <c r="C72" s="33" t="str">
        <f ca="1">acctemp_id</f>
        <v/>
      </c>
      <c r="D72" s="35"/>
    </row>
    <row r="73" spans="2:6" customFormat="1" ht="14.4" hidden="1" outlineLevel="1" x14ac:dyDescent="0.3">
      <c r="B73" s="35" t="s">
        <v>18</v>
      </c>
      <c r="C73" s="33"/>
      <c r="D73" s="35"/>
    </row>
    <row r="74" spans="2:6" customFormat="1" ht="14.4" hidden="1" outlineLevel="1" x14ac:dyDescent="0.3">
      <c r="B74" s="35" t="s">
        <v>19</v>
      </c>
      <c r="C74" s="33"/>
      <c r="D74" s="35"/>
    </row>
    <row r="75" spans="2:6" customFormat="1" ht="14.4" hidden="1" outlineLevel="1" x14ac:dyDescent="0.3">
      <c r="B75" s="35" t="s">
        <v>20</v>
      </c>
      <c r="C75" s="35"/>
      <c r="D75" s="35"/>
    </row>
    <row r="76" spans="2:6" customFormat="1" ht="14.4" hidden="1" outlineLevel="1" x14ac:dyDescent="0.3">
      <c r="B76" s="35" t="s">
        <v>137</v>
      </c>
      <c r="C76" s="35"/>
      <c r="D76" s="35"/>
    </row>
    <row r="77" spans="2:6" customFormat="1" ht="14.4" hidden="1" outlineLevel="1" x14ac:dyDescent="0.3">
      <c r="B77" s="35" t="s">
        <v>138</v>
      </c>
      <c r="C77" s="35"/>
      <c r="D77" s="35"/>
    </row>
    <row r="78" spans="2:6" customFormat="1" ht="14.4" hidden="1" outlineLevel="1" x14ac:dyDescent="0.3"/>
    <row r="79" spans="2:6" customFormat="1" ht="14.4" hidden="1" outlineLevel="1" x14ac:dyDescent="0.3"/>
    <row r="80" spans="2:6" customFormat="1" ht="14.4" hidden="1" outlineLevel="1" x14ac:dyDescent="0.3">
      <c r="B80" s="1"/>
      <c r="C80" s="1"/>
      <c r="D80" s="1"/>
      <c r="E80" s="1"/>
      <c r="F80" s="1"/>
    </row>
    <row r="81" spans="2:19" customFormat="1" ht="14.4" hidden="1" outlineLevel="1" x14ac:dyDescent="0.3">
      <c r="B81" s="1"/>
      <c r="C81" s="1"/>
      <c r="D81" s="1"/>
      <c r="E81" s="1"/>
      <c r="F81" s="1"/>
      <c r="H81" s="7" t="s">
        <v>25</v>
      </c>
      <c r="I81" s="7"/>
      <c r="J81" s="7"/>
      <c r="K81" s="7"/>
      <c r="L81" s="7"/>
      <c r="M81" s="47" t="s">
        <v>23</v>
      </c>
      <c r="N81" s="7" t="s">
        <v>25</v>
      </c>
      <c r="O81" s="7"/>
      <c r="P81" s="7"/>
      <c r="Q81" s="7" t="s">
        <v>26</v>
      </c>
      <c r="R81" s="7" t="s">
        <v>26</v>
      </c>
      <c r="S81" s="7"/>
    </row>
    <row r="82" spans="2:19" customFormat="1" ht="14.4" hidden="1" outlineLevel="1" x14ac:dyDescent="0.3">
      <c r="B82" s="1"/>
      <c r="C82" s="1"/>
      <c r="D82" s="1"/>
      <c r="E82" s="1"/>
      <c r="F82" s="1"/>
    </row>
    <row r="83" spans="2:19" customFormat="1" ht="14.4" hidden="1" outlineLevel="1" x14ac:dyDescent="0.3">
      <c r="B83" s="1"/>
      <c r="C83" s="1"/>
      <c r="D83" s="1"/>
      <c r="E83" s="1"/>
      <c r="F83" s="1"/>
    </row>
    <row r="84" spans="2:19" hidden="1" outlineLevel="1" x14ac:dyDescent="0.25"/>
    <row r="85" spans="2:19" ht="39.9" customHeight="1" collapsed="1" x14ac:dyDescent="0.25">
      <c r="I85" s="29"/>
      <c r="J85" s="28"/>
      <c r="K85" s="28"/>
      <c r="L85" s="29"/>
      <c r="M85" s="28"/>
      <c r="N85" s="28"/>
      <c r="O85" s="28"/>
      <c r="P85" s="28"/>
      <c r="Q85" s="28"/>
      <c r="R85" s="30" t="s">
        <v>21</v>
      </c>
    </row>
    <row r="86" spans="2:19" ht="4.5" customHeight="1" x14ac:dyDescent="0.25"/>
    <row r="87" spans="2:19" ht="24" customHeight="1" x14ac:dyDescent="0.3">
      <c r="J87" s="27"/>
      <c r="M87" s="27"/>
    </row>
    <row r="88" spans="2:19" ht="1.5" customHeight="1" x14ac:dyDescent="0.25">
      <c r="I88" s="28"/>
      <c r="J88" s="28"/>
      <c r="K88" s="28"/>
      <c r="L88" s="28"/>
      <c r="M88" s="28"/>
      <c r="N88" s="28"/>
      <c r="O88" s="28"/>
      <c r="P88" s="28"/>
      <c r="Q88" s="28"/>
      <c r="R88" s="28"/>
    </row>
    <row r="89" spans="2:19" ht="4.5" customHeight="1" x14ac:dyDescent="0.25"/>
    <row r="90" spans="2:19" customFormat="1" ht="14.4" x14ac:dyDescent="0.3">
      <c r="J90" s="42" t="s">
        <v>77</v>
      </c>
    </row>
    <row r="91" spans="2:19" customFormat="1" ht="4.5" customHeight="1" x14ac:dyDescent="0.3"/>
    <row r="92" spans="2:19" customFormat="1" ht="14.4" x14ac:dyDescent="0.3">
      <c r="L92" s="64" t="s">
        <v>82</v>
      </c>
      <c r="M92" s="64"/>
      <c r="P92" s="51" t="s">
        <v>136</v>
      </c>
      <c r="Q92" s="51"/>
      <c r="R92" s="51"/>
    </row>
    <row r="93" spans="2:19" customFormat="1" ht="14.4" x14ac:dyDescent="0.3">
      <c r="J93" s="43" t="s">
        <v>78</v>
      </c>
      <c r="K93" s="43"/>
      <c r="L93" s="61" t="str" cm="1">
        <f t="array" aca="1" ref="L93" ca="1">_xll.SUBNM(db_name&amp;":account template","","","code and description")</f>
        <v/>
      </c>
      <c r="M93" s="61"/>
      <c r="O93" s="43"/>
      <c r="P93" s="43" t="s">
        <v>135</v>
      </c>
      <c r="Q93" s="52" t="str" cm="1">
        <f t="array" aca="1" ref="Q93" ca="1">_xll.DBR($C$71,psAccTempID,$B76)</f>
        <v>*KEY_ERR</v>
      </c>
      <c r="R93" s="52"/>
    </row>
    <row r="94" spans="2:19" customFormat="1" ht="14.4" x14ac:dyDescent="0.3">
      <c r="D94" t="s">
        <v>22</v>
      </c>
      <c r="E94" t="str" cm="1">
        <f t="array" aca="1" ref="E94" ca="1">_xll.DBRA(db_name&amp;":movement account","-","code and description")</f>
        <v/>
      </c>
      <c r="J94" s="43" t="s">
        <v>79</v>
      </c>
      <c r="L94" s="59" t="str" cm="1">
        <f t="array" aca="1" ref="L94" ca="1">_xll.DBR($C$71,psAccTempID,$B75)</f>
        <v>*KEY_ERR</v>
      </c>
      <c r="M94" s="60"/>
      <c r="P94" s="43" t="s">
        <v>139</v>
      </c>
      <c r="Q94" s="52" t="str" cm="1">
        <f t="array" aca="1" ref="Q94" ca="1">_xll.DBR($C$71,psAccTempID,$B77)</f>
        <v>*KEY_ERR</v>
      </c>
      <c r="R94" s="52"/>
    </row>
    <row r="95" spans="2:19" customFormat="1" ht="4.5" customHeight="1" x14ac:dyDescent="0.3"/>
    <row r="96" spans="2:19" customFormat="1" ht="14.4" x14ac:dyDescent="0.3">
      <c r="J96" s="43" t="s">
        <v>80</v>
      </c>
      <c r="K96" s="43"/>
      <c r="L96" s="62" t="str" cm="1">
        <f t="array" aca="1" ref="L96" ca="1">_xll.DBR($C$71,psAccTempID,$B73)</f>
        <v>*KEY_ERR</v>
      </c>
      <c r="M96" s="63"/>
    </row>
    <row r="97" spans="1:19" customFormat="1" ht="4.5" customHeight="1" x14ac:dyDescent="0.3"/>
    <row r="98" spans="1:19" customFormat="1" ht="14.4" x14ac:dyDescent="0.3">
      <c r="J98" s="43" t="s">
        <v>81</v>
      </c>
      <c r="K98" s="43"/>
      <c r="L98" s="53" t="str" cm="1">
        <f t="array" aca="1" ref="L98" ca="1">_xll.DBR($C$71,psAccTempID,$B74)</f>
        <v>*KEY_ERR</v>
      </c>
      <c r="M98" s="54"/>
    </row>
    <row r="99" spans="1:19" customFormat="1" ht="14.4" x14ac:dyDescent="0.3">
      <c r="J99" s="43"/>
      <c r="K99" s="43"/>
      <c r="L99" s="55"/>
      <c r="M99" s="56"/>
    </row>
    <row r="100" spans="1:19" customFormat="1" ht="14.4" x14ac:dyDescent="0.3">
      <c r="J100" s="43"/>
      <c r="K100" s="43"/>
      <c r="L100" s="57" t="str">
        <f ca="1">_xll.DBR($C$71,psAccTempID,#REF!)</f>
        <v>*KEY_ERR</v>
      </c>
      <c r="M100" s="58"/>
    </row>
    <row r="101" spans="1:19" customFormat="1" ht="4.5" customHeight="1" x14ac:dyDescent="0.3"/>
    <row r="102" spans="1:19" customFormat="1" ht="14.4" x14ac:dyDescent="0.3">
      <c r="G102" t="str">
        <f ca="1">IF(acctemp_acctype&lt;&gt;"Please select an account type","PASS","FAIL")</f>
        <v>PASS</v>
      </c>
      <c r="J102" s="43" t="s">
        <v>94</v>
      </c>
      <c r="L102" s="44" t="str">
        <f ca="1">_xll.SUBNM(db_name&amp;":account type","sys_account type","Expense")</f>
        <v/>
      </c>
      <c r="M102" s="45" t="str">
        <f ca="1">IF($G$102="PASS","ü","û")</f>
        <v>ü</v>
      </c>
    </row>
    <row r="103" spans="1:19" customFormat="1" ht="14.4" x14ac:dyDescent="0.3">
      <c r="J103" s="43" t="s">
        <v>95</v>
      </c>
      <c r="L103" s="44"/>
    </row>
    <row r="104" spans="1:19" ht="5.0999999999999996" customHeight="1" x14ac:dyDescent="0.25"/>
    <row r="105" spans="1:19" ht="14.4" x14ac:dyDescent="0.3">
      <c r="C105" s="11" t="s">
        <v>1</v>
      </c>
      <c r="D105" s="12" t="str" cm="1">
        <f t="array" aca="1" ref="D105" ca="1">_xll.SUBNM(db_name&amp;":account template record type","","data entry")</f>
        <v/>
      </c>
      <c r="E105" s="12" t="str" cm="1">
        <f t="array" aca="1" ref="E105" ca="1">_xll.SUBNM(db_name&amp;":account template record type","","mapping")</f>
        <v/>
      </c>
      <c r="J105" s="13" t="s">
        <v>24</v>
      </c>
    </row>
    <row r="106" spans="1:19" s="16" customFormat="1" ht="12" customHeight="1" x14ac:dyDescent="0.3">
      <c r="C106" s="14" t="s">
        <v>1</v>
      </c>
      <c r="D106" s="14" t="s">
        <v>2</v>
      </c>
      <c r="E106" s="14" t="s">
        <v>27</v>
      </c>
      <c r="F106" s="14" t="s">
        <v>3</v>
      </c>
      <c r="G106" s="14" t="s">
        <v>28</v>
      </c>
      <c r="H106" s="14" t="s">
        <v>29</v>
      </c>
      <c r="I106" s="14"/>
      <c r="J106" s="31" t="s">
        <v>1</v>
      </c>
      <c r="K106" s="15"/>
      <c r="L106" s="31" t="s">
        <v>2</v>
      </c>
      <c r="M106" s="31" t="s">
        <v>23</v>
      </c>
      <c r="N106" s="31" t="s">
        <v>29</v>
      </c>
      <c r="P106" s="17"/>
      <c r="Q106" s="17"/>
      <c r="R106" s="17"/>
    </row>
    <row r="107" spans="1:19" ht="12" customHeight="1" x14ac:dyDescent="0.25">
      <c r="A107" s="1" t="str" cm="1">
        <f t="array" aca="1" ref="A107" ca="1">IF(_xll.TM1RPTELISCONSOLIDATED($F$107,$F107),IF(_xll.TM1RPTELLEV($F$107,$F107)&lt;=3,_xll.TM1RPTELLEV($F$107,$F107),"D"),"N")</f>
        <v>N</v>
      </c>
      <c r="C107" s="25" t="str" cm="1">
        <f t="array" aca="1" ref="C107" ca="1">_xll.TM1RPTROW($C$56,db_name&amp;":account template record type","","","",0,$C$57)</f>
        <v/>
      </c>
      <c r="D107" s="26" t="str" cm="1">
        <f t="array" aca="1" ref="D107" ca="1">_xll.TM1RPTROW($C$56,db_name&amp;":account type","","","",0,$C$58)</f>
        <v/>
      </c>
      <c r="E107" s="26" t="str" cm="1">
        <f t="array" aca="1" ref="E107" ca="1">_xll.TM1RPTROW($C$56,db_name&amp;":movement account","","","",0,$C$60)</f>
        <v/>
      </c>
      <c r="F107" s="26" t="str" cm="1">
        <f t="array" aca="1" ref="F107" ca="1">_xll.TM1RPTROW($C$56,db_name&amp;":account","","","Code and Description",0,$C$59)</f>
        <v/>
      </c>
      <c r="H107" s="1" t="str" cm="1">
        <f t="array" aca="1" ref="H107" ca="1">_xll.DBRW($C$56,$L$93,$C107,$D107,$F107,$E107,H$81)</f>
        <v/>
      </c>
      <c r="J107" s="4" t="str">
        <f ca="1">C107</f>
        <v/>
      </c>
      <c r="K107" s="5"/>
      <c r="L107" s="6" t="str">
        <f ca="1">D107</f>
        <v/>
      </c>
      <c r="M107" s="6" t="str" cm="1">
        <f t="array" aca="1" ref="M107" ca="1">_xll.DBRW($C$56,$L$93,$C107,$D107,$F107,$E107,M$81)</f>
        <v/>
      </c>
      <c r="N107" s="50" t="str" cm="1">
        <f t="array" aca="1" ref="N107" ca="1">_xll.DBRW($C$56,$L$93,$C107,$D107,$F107,$E107,N$81)</f>
        <v/>
      </c>
      <c r="P107" s="5"/>
    </row>
    <row r="108" spans="1:19" ht="15" customHeight="1" x14ac:dyDescent="0.25"/>
    <row r="109" spans="1:19" ht="14.4" x14ac:dyDescent="0.3">
      <c r="J109" s="13" t="s">
        <v>38</v>
      </c>
    </row>
    <row r="110" spans="1:19" s="16" customFormat="1" ht="12" customHeight="1" x14ac:dyDescent="0.3">
      <c r="E110" s="14" t="s">
        <v>30</v>
      </c>
      <c r="F110" s="18" t="str">
        <f ca="1">IF(SUM(F111:F112)=0,"PASS","FAIL")</f>
        <v>FAIL</v>
      </c>
      <c r="J110" s="31"/>
      <c r="L110" s="31" t="s">
        <v>2</v>
      </c>
      <c r="M110" s="31" t="s">
        <v>39</v>
      </c>
      <c r="N110" s="31" t="s">
        <v>40</v>
      </c>
      <c r="P110" s="31" t="s">
        <v>28</v>
      </c>
      <c r="Q110" s="31" t="s">
        <v>31</v>
      </c>
      <c r="R110" s="31" t="s">
        <v>32</v>
      </c>
    </row>
    <row r="111" spans="1:19" ht="12" customHeight="1" x14ac:dyDescent="0.25">
      <c r="C111" s="11" t="s">
        <v>33</v>
      </c>
      <c r="E111" s="10" t="s">
        <v>30</v>
      </c>
      <c r="F111" s="19">
        <f ca="1">IF(AND($C$111=P111,acctemp_DRFactor=1),0,IF(AND($C$111&lt;&gt;P111,acctemp_DRFactor=-1),0,1))</f>
        <v>1</v>
      </c>
      <c r="J111" s="20" t="s">
        <v>34</v>
      </c>
      <c r="L111" s="7" t="str">
        <f ca="1">_xll.SUBNM(db_name&amp;":account type","sys_account type",acctemp_acctype)</f>
        <v/>
      </c>
      <c r="M111" s="7" t="str" cm="1">
        <f t="array" aca="1" ref="M111" ca="1">_xll.SUBNM(db_name&amp;":account","$geus","","code and description")</f>
        <v/>
      </c>
      <c r="N111" s="6" t="str" cm="1">
        <f t="array" aca="1" ref="N111" ca="1">_xll.DBR($C$43,psUser,$B$51,C$44)</f>
        <v>*KEY_ERR</v>
      </c>
      <c r="P111" s="21" t="str" cm="1">
        <f t="array" aca="1" ref="P111" ca="1">IF($N111=$E$94,UPPER(_xll.DBRA(db_name&amp;":account",$M111,"DR/CR")),UPPER(_xll.DBRA(db_name&amp;":movement account",TRIM($N111),"DR/CR")))</f>
        <v/>
      </c>
      <c r="Q111" s="4">
        <v>1</v>
      </c>
      <c r="R111" s="22" t="str">
        <f ca="1">IF(F111=0,"ü","û")</f>
        <v>û</v>
      </c>
    </row>
    <row r="112" spans="1:19" ht="12" customHeight="1" x14ac:dyDescent="0.25">
      <c r="C112" s="11" t="s">
        <v>35</v>
      </c>
      <c r="E112" s="10" t="s">
        <v>30</v>
      </c>
      <c r="F112" s="19">
        <f ca="1">IF(AND($C$112=P112,acctemp_CRFactor=1),0,IF(AND($C$112&lt;&gt;P112,acctemp_CRFactor=-1),0,1))</f>
        <v>1</v>
      </c>
      <c r="J112" s="20" t="s">
        <v>36</v>
      </c>
      <c r="L112" s="7" t="str">
        <f ca="1">_xll.SUBNM(db_name&amp;":account type","sys_account type",acctemp_acctype)</f>
        <v/>
      </c>
      <c r="M112" s="7" t="str" cm="1">
        <f t="array" aca="1" ref="M112" ca="1">_xll.SUBNM(db_name&amp;":account","$geus","","code and description")</f>
        <v/>
      </c>
      <c r="N112" s="48" t="str" cm="1">
        <f t="array" aca="1" ref="N112" ca="1">_xll.DBR($C$43,psUser,$B$53,C$44)</f>
        <v>*KEY_ERR</v>
      </c>
      <c r="P112" s="21" t="str" cm="1">
        <f t="array" aca="1" ref="P112" ca="1">IF($N112=$E$94,UPPER(_xll.DBRA(db_name&amp;":account",$M112,"DR/CR")),UPPER(_xll.DBRA(db_name&amp;":movement account",TRIM($N112),"DR/CR")))</f>
        <v/>
      </c>
      <c r="Q112" s="4">
        <v>1</v>
      </c>
      <c r="R112" s="22" t="str">
        <f ca="1">IF(F112=0,"ü","û")</f>
        <v>û</v>
      </c>
      <c r="S112" s="23"/>
    </row>
    <row r="113" spans="1:18" ht="15" customHeight="1" x14ac:dyDescent="0.25"/>
    <row r="114" spans="1:18" ht="14.4" x14ac:dyDescent="0.3">
      <c r="J114" s="13" t="s">
        <v>37</v>
      </c>
    </row>
    <row r="115" spans="1:18" s="16" customFormat="1" ht="12" customHeight="1" x14ac:dyDescent="0.3">
      <c r="J115" s="31" t="s">
        <v>1</v>
      </c>
      <c r="L115" s="31" t="s">
        <v>2</v>
      </c>
      <c r="M115" s="31" t="s">
        <v>3</v>
      </c>
      <c r="N115" s="31" t="s">
        <v>27</v>
      </c>
      <c r="O115" s="24"/>
      <c r="P115" s="31" t="s">
        <v>28</v>
      </c>
      <c r="Q115" s="32" t="s">
        <v>31</v>
      </c>
    </row>
    <row r="116" spans="1:18" ht="12" customHeight="1" x14ac:dyDescent="0.25">
      <c r="A116" s="1" t="str" cm="1">
        <f t="array" aca="1" ref="A116" ca="1">"M"&amp;IF(_xll.TM1RPTELISCONSOLIDATED($F$116,$F116),IF(_xll.TM1RPTELLEV($F$116,$F116)&lt;=3,_xll.TM1RPTELLEV($F$116,$F116),"D"),"N")</f>
        <v>MN</v>
      </c>
      <c r="C116" s="25" t="str" cm="1">
        <f t="array" aca="1" ref="C116" ca="1">_xll.TM1RPTROW($C$62,db_name&amp;":account template record type","","","",0,$C$63)</f>
        <v/>
      </c>
      <c r="D116" s="26" t="str" cm="1">
        <f t="array" aca="1" ref="D116" ca="1">_xll.TM1RPTROW($C$62,db_name&amp;":account type","","","",0,$C$64)</f>
        <v/>
      </c>
      <c r="E116" s="26" t="str" cm="1">
        <f t="array" aca="1" ref="E116" ca="1">_xll.TM1RPTROW($C$62,db_name&amp;":movement account","","","code and description",0,$C$66)</f>
        <v/>
      </c>
      <c r="F116" s="26" t="str" cm="1">
        <f t="array" aca="1" ref="F116" ca="1">_xll.TM1RPTROW($C$62,db_name&amp;":account","","","code and description",0,$C$65)</f>
        <v/>
      </c>
      <c r="G116" s="1" t="str" cm="1">
        <f t="array" aca="1" ref="G116" ca="1">IF($E116=$E$94,UPPER(_xll.DBRA(db_name&amp;":account",$F116,"DR/CR")),UPPER(_xll.DBRA(db_name&amp;":movement account",$E116,"DR/CR")))</f>
        <v/>
      </c>
      <c r="J116" s="4" t="str">
        <f ca="1">C116</f>
        <v/>
      </c>
      <c r="K116" s="5"/>
      <c r="L116" s="6" t="str">
        <f ca="1">D116</f>
        <v/>
      </c>
      <c r="M116" s="6" t="str">
        <f ca="1">F116</f>
        <v/>
      </c>
      <c r="N116" s="7" t="str">
        <f ca="1">E116</f>
        <v/>
      </c>
      <c r="P116" s="4" t="str">
        <f ca="1">G116</f>
        <v/>
      </c>
      <c r="Q116" s="4" t="str" cm="1">
        <f t="array" aca="1" ref="Q116" ca="1">_xll.DBRW($C$62,$L$93,$C116,$D116,$F116,$E116,Q$81)</f>
        <v/>
      </c>
      <c r="R116" s="8"/>
    </row>
    <row r="117" spans="1:18" ht="12" customHeight="1" x14ac:dyDescent="0.25"/>
    <row r="118" spans="1:18" ht="12" customHeight="1" x14ac:dyDescent="0.25"/>
  </sheetData>
  <sheetProtection sheet="1" objects="1" scenarios="1"/>
  <mergeCells count="14">
    <mergeCell ref="B70:D70"/>
    <mergeCell ref="B17:D17"/>
    <mergeCell ref="B25:D25"/>
    <mergeCell ref="B30:D30"/>
    <mergeCell ref="B42:D42"/>
    <mergeCell ref="B55:D55"/>
    <mergeCell ref="P92:R92"/>
    <mergeCell ref="Q93:R93"/>
    <mergeCell ref="Q94:R94"/>
    <mergeCell ref="L98:M100"/>
    <mergeCell ref="L94:M94"/>
    <mergeCell ref="L93:M93"/>
    <mergeCell ref="L96:M96"/>
    <mergeCell ref="L92:M92"/>
  </mergeCells>
  <conditionalFormatting sqref="R112">
    <cfRule type="containsText" dxfId="10" priority="12" operator="containsText" text="ü">
      <formula>NOT(ISERROR(SEARCH("ü",R112)))</formula>
    </cfRule>
    <cfRule type="containsText" dxfId="9" priority="13" operator="containsText" text="û">
      <formula>NOT(ISERROR(SEARCH("û",R112)))</formula>
    </cfRule>
  </conditionalFormatting>
  <conditionalFormatting sqref="J103">
    <cfRule type="expression" dxfId="8" priority="14">
      <formula>$D$105&lt;&gt;"data entry"</formula>
    </cfRule>
  </conditionalFormatting>
  <conditionalFormatting sqref="L103">
    <cfRule type="expression" dxfId="7" priority="15">
      <formula>$D$105&lt;&gt;"data entry"</formula>
    </cfRule>
  </conditionalFormatting>
  <conditionalFormatting sqref="M102">
    <cfRule type="containsText" dxfId="6" priority="10" operator="containsText" text="ü">
      <formula>NOT(ISERROR(SEARCH("ü",M102)))</formula>
    </cfRule>
    <cfRule type="containsText" dxfId="5" priority="11" operator="containsText" text="û">
      <formula>NOT(ISERROR(SEARCH("û",M102)))</formula>
    </cfRule>
  </conditionalFormatting>
  <conditionalFormatting sqref="R111">
    <cfRule type="containsText" dxfId="4" priority="8" operator="containsText" text="ü">
      <formula>NOT(ISERROR(SEARCH("ü",R111)))</formula>
    </cfRule>
    <cfRule type="containsText" dxfId="3" priority="9" operator="containsText" text="û">
      <formula>NOT(ISERROR(SEARCH("û",R111)))</formula>
    </cfRule>
  </conditionalFormatting>
  <conditionalFormatting sqref="N111">
    <cfRule type="cellIs" dxfId="2" priority="7" operator="equal">
      <formula>"No_Mvt"</formula>
    </cfRule>
  </conditionalFormatting>
  <conditionalFormatting sqref="L94:M94">
    <cfRule type="cellIs" dxfId="1" priority="5" operator="notEqual">
      <formula>"active"</formula>
    </cfRule>
  </conditionalFormatting>
  <conditionalFormatting sqref="N112">
    <cfRule type="cellIs" dxfId="0" priority="1" operator="equal">
      <formula>"No_Mvt"</formula>
    </cfRule>
  </conditionalFormatting>
  <dataValidations count="1">
    <dataValidation type="list" allowBlank="1" showInputMessage="1" showErrorMessage="1" sqref="Q111:Q112" xr:uid="{FD8A60A7-EE0F-40C5-82ED-56D26ED64EA0}">
      <formula1>"1,-1"</formula1>
    </dataValidation>
  </dataValidations>
  <pageMargins left="0.70866141732283472" right="0.70866141732283472" top="0.74803149606299213" bottom="0.74803149606299213" header="0.31496062992125984" footer="0.31496062992125984"/>
  <pageSetup paperSize="9" scale="67" orientation="landscape" r:id="rId1"/>
  <drawing r:id="rId2"/>
  <legacyDrawing r:id="rId3"/>
  <controls>
    <mc:AlternateContent xmlns:mc="http://schemas.openxmlformats.org/markup-compatibility/2006">
      <mc:Choice Requires="x14">
        <control shapeId="1027" r:id="rId4" name="TIButton1">
          <controlPr defaultSize="0" print="0" autoLine="0" autoPict="0" r:id="rId5">
            <anchor moveWithCells="1" sizeWithCells="1">
              <from>
                <xdr:col>12</xdr:col>
                <xdr:colOff>830580</xdr:colOff>
                <xdr:row>101</xdr:row>
                <xdr:rowOff>106680</xdr:rowOff>
              </from>
              <to>
                <xdr:col>12</xdr:col>
                <xdr:colOff>2506980</xdr:colOff>
                <xdr:row>102</xdr:row>
                <xdr:rowOff>144780</xdr:rowOff>
              </to>
            </anchor>
          </controlPr>
        </control>
      </mc:Choice>
      <mc:Fallback>
        <control shapeId="1027" r:id="rId4" name="TIButton1"/>
      </mc:Fallback>
    </mc:AlternateContent>
    <mc:AlternateContent xmlns:mc="http://schemas.openxmlformats.org/markup-compatibility/2006">
      <mc:Choice Requires="x14">
        <control shapeId="1028" r:id="rId6" name="TIButton2">
          <controlPr defaultSize="0" print="0" autoLine="0" autoPict="0" r:id="rId7">
            <anchor moveWithCells="1" sizeWithCells="1">
              <from>
                <xdr:col>18</xdr:col>
                <xdr:colOff>487680</xdr:colOff>
                <xdr:row>110</xdr:row>
                <xdr:rowOff>30480</xdr:rowOff>
              </from>
              <to>
                <xdr:col>20</xdr:col>
                <xdr:colOff>563880</xdr:colOff>
                <xdr:row>111</xdr:row>
                <xdr:rowOff>137160</xdr:rowOff>
              </to>
            </anchor>
          </controlPr>
        </control>
      </mc:Choice>
      <mc:Fallback>
        <control shapeId="1028" r:id="rId6" name="TIButton2"/>
      </mc:Fallback>
    </mc:AlternateContent>
    <mc:AlternateContent xmlns:mc="http://schemas.openxmlformats.org/markup-compatibility/2006">
      <mc:Choice Requires="x14">
        <control shapeId="1030" r:id="rId8" name="TIButton5">
          <controlPr defaultSize="0" print="0" autoLine="0" autoPict="0" r:id="rId9">
            <anchor moveWithCells="1" sizeWithCells="1">
              <from>
                <xdr:col>9</xdr:col>
                <xdr:colOff>0</xdr:colOff>
                <xdr:row>86</xdr:row>
                <xdr:rowOff>7620</xdr:rowOff>
              </from>
              <to>
                <xdr:col>9</xdr:col>
                <xdr:colOff>640080</xdr:colOff>
                <xdr:row>86</xdr:row>
                <xdr:rowOff>259080</xdr:rowOff>
              </to>
            </anchor>
          </controlPr>
        </control>
      </mc:Choice>
      <mc:Fallback>
        <control shapeId="1030" r:id="rId8" name="TIButton5"/>
      </mc:Fallback>
    </mc:AlternateContent>
    <mc:AlternateContent xmlns:mc="http://schemas.openxmlformats.org/markup-compatibility/2006">
      <mc:Choice Requires="x14">
        <control shapeId="1031" r:id="rId10" name="TIButton7">
          <controlPr defaultSize="0" print="0" autoLine="0" autoPict="0" r:id="rId11">
            <anchor moveWithCells="1" sizeWithCells="1">
              <from>
                <xdr:col>9</xdr:col>
                <xdr:colOff>678180</xdr:colOff>
                <xdr:row>86</xdr:row>
                <xdr:rowOff>7620</xdr:rowOff>
              </from>
              <to>
                <xdr:col>11</xdr:col>
                <xdr:colOff>160020</xdr:colOff>
                <xdr:row>86</xdr:row>
                <xdr:rowOff>259080</xdr:rowOff>
              </to>
            </anchor>
          </controlPr>
        </control>
      </mc:Choice>
      <mc:Fallback>
        <control shapeId="1031" r:id="rId10" name="TIButton7"/>
      </mc:Fallback>
    </mc:AlternateContent>
    <mc:AlternateContent xmlns:mc="http://schemas.openxmlformats.org/markup-compatibility/2006">
      <mc:Choice Requires="x14">
        <control shapeId="1032" r:id="rId12" name="TIButton3">
          <controlPr defaultSize="0" print="0" autoLine="0" autoPict="0" r:id="rId13">
            <anchor moveWithCells="1" sizeWithCells="1">
              <from>
                <xdr:col>12</xdr:col>
                <xdr:colOff>1470660</xdr:colOff>
                <xdr:row>86</xdr:row>
                <xdr:rowOff>7620</xdr:rowOff>
              </from>
              <to>
                <xdr:col>12</xdr:col>
                <xdr:colOff>2255520</xdr:colOff>
                <xdr:row>86</xdr:row>
                <xdr:rowOff>259080</xdr:rowOff>
              </to>
            </anchor>
          </controlPr>
        </control>
      </mc:Choice>
      <mc:Fallback>
        <control shapeId="1032" r:id="rId12" name="TIButton3"/>
      </mc:Fallback>
    </mc:AlternateContent>
    <mc:AlternateContent xmlns:mc="http://schemas.openxmlformats.org/markup-compatibility/2006">
      <mc:Choice Requires="x14">
        <control shapeId="1033" r:id="rId14" name="TIButton4">
          <controlPr defaultSize="0" print="0" autoLine="0" autoPict="0" r:id="rId15">
            <anchor moveWithCells="1" sizeWithCells="1">
              <from>
                <xdr:col>11</xdr:col>
                <xdr:colOff>1592580</xdr:colOff>
                <xdr:row>86</xdr:row>
                <xdr:rowOff>7620</xdr:rowOff>
              </from>
              <to>
                <xdr:col>12</xdr:col>
                <xdr:colOff>1440180</xdr:colOff>
                <xdr:row>86</xdr:row>
                <xdr:rowOff>259080</xdr:rowOff>
              </to>
            </anchor>
          </controlPr>
        </control>
      </mc:Choice>
      <mc:Fallback>
        <control shapeId="1033" r:id="rId14" name="TIButton4"/>
      </mc:Fallback>
    </mc:AlternateContent>
    <mc:AlternateContent xmlns:mc="http://schemas.openxmlformats.org/markup-compatibility/2006">
      <mc:Choice Requires="x14">
        <control shapeId="1034" r:id="rId16" name="TIButton6">
          <controlPr defaultSize="0" print="0" autoLine="0" autoPict="0" r:id="rId17">
            <anchor moveWithCells="1" sizeWithCells="1">
              <from>
                <xdr:col>11</xdr:col>
                <xdr:colOff>213360</xdr:colOff>
                <xdr:row>86</xdr:row>
                <xdr:rowOff>7620</xdr:rowOff>
              </from>
              <to>
                <xdr:col>11</xdr:col>
                <xdr:colOff>1562100</xdr:colOff>
                <xdr:row>86</xdr:row>
                <xdr:rowOff>259080</xdr:rowOff>
              </to>
            </anchor>
          </controlPr>
        </control>
      </mc:Choice>
      <mc:Fallback>
        <control shapeId="1034" r:id="rId16" name="TIButton6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52A12-E703-4A35-9198-20F089BFEAB1}">
  <sheetPr codeName="Sheet1"/>
  <dimension ref="A1:A39"/>
  <sheetViews>
    <sheetView workbookViewId="0"/>
  </sheetViews>
  <sheetFormatPr defaultRowHeight="14.4" x14ac:dyDescent="0.3"/>
  <sheetData>
    <row r="1" spans="1:1" x14ac:dyDescent="0.3">
      <c r="A1" t="s">
        <v>134</v>
      </c>
    </row>
    <row r="2" spans="1:1" x14ac:dyDescent="0.3">
      <c r="A2" t="s">
        <v>96</v>
      </c>
    </row>
    <row r="3" spans="1:1" x14ac:dyDescent="0.3">
      <c r="A3" t="s">
        <v>97</v>
      </c>
    </row>
    <row r="4" spans="1:1" x14ac:dyDescent="0.3">
      <c r="A4" t="s">
        <v>98</v>
      </c>
    </row>
    <row r="5" spans="1:1" x14ac:dyDescent="0.3">
      <c r="A5" t="s">
        <v>99</v>
      </c>
    </row>
    <row r="6" spans="1:1" x14ac:dyDescent="0.3">
      <c r="A6" t="s">
        <v>100</v>
      </c>
    </row>
    <row r="7" spans="1:1" x14ac:dyDescent="0.3">
      <c r="A7" t="s">
        <v>101</v>
      </c>
    </row>
    <row r="8" spans="1:1" x14ac:dyDescent="0.3">
      <c r="A8" t="s">
        <v>102</v>
      </c>
    </row>
    <row r="9" spans="1:1" x14ac:dyDescent="0.3">
      <c r="A9" t="s">
        <v>103</v>
      </c>
    </row>
    <row r="10" spans="1:1" x14ac:dyDescent="0.3">
      <c r="A10" t="s">
        <v>104</v>
      </c>
    </row>
    <row r="11" spans="1:1" x14ac:dyDescent="0.3">
      <c r="A11" t="s">
        <v>105</v>
      </c>
    </row>
    <row r="12" spans="1:1" x14ac:dyDescent="0.3">
      <c r="A12" t="s">
        <v>106</v>
      </c>
    </row>
    <row r="13" spans="1:1" x14ac:dyDescent="0.3">
      <c r="A13" t="s">
        <v>107</v>
      </c>
    </row>
    <row r="14" spans="1:1" x14ac:dyDescent="0.3">
      <c r="A14" t="s">
        <v>108</v>
      </c>
    </row>
    <row r="15" spans="1:1" x14ac:dyDescent="0.3">
      <c r="A15" t="s">
        <v>109</v>
      </c>
    </row>
    <row r="16" spans="1:1" x14ac:dyDescent="0.3">
      <c r="A16" t="s">
        <v>110</v>
      </c>
    </row>
    <row r="17" spans="1:1" x14ac:dyDescent="0.3">
      <c r="A17" t="s">
        <v>111</v>
      </c>
    </row>
    <row r="18" spans="1:1" x14ac:dyDescent="0.3">
      <c r="A18" t="s">
        <v>112</v>
      </c>
    </row>
    <row r="19" spans="1:1" x14ac:dyDescent="0.3">
      <c r="A19" t="s">
        <v>113</v>
      </c>
    </row>
    <row r="20" spans="1:1" x14ac:dyDescent="0.3">
      <c r="A20" t="s">
        <v>114</v>
      </c>
    </row>
    <row r="21" spans="1:1" x14ac:dyDescent="0.3">
      <c r="A21" t="s">
        <v>115</v>
      </c>
    </row>
    <row r="22" spans="1:1" x14ac:dyDescent="0.3">
      <c r="A22" t="s">
        <v>116</v>
      </c>
    </row>
    <row r="23" spans="1:1" x14ac:dyDescent="0.3">
      <c r="A23" t="s">
        <v>117</v>
      </c>
    </row>
    <row r="24" spans="1:1" x14ac:dyDescent="0.3">
      <c r="A24" t="s">
        <v>118</v>
      </c>
    </row>
    <row r="25" spans="1:1" x14ac:dyDescent="0.3">
      <c r="A25" t="s">
        <v>119</v>
      </c>
    </row>
    <row r="26" spans="1:1" x14ac:dyDescent="0.3">
      <c r="A26" t="s">
        <v>120</v>
      </c>
    </row>
    <row r="27" spans="1:1" x14ac:dyDescent="0.3">
      <c r="A27" t="s">
        <v>121</v>
      </c>
    </row>
    <row r="28" spans="1:1" x14ac:dyDescent="0.3">
      <c r="A28" t="s">
        <v>122</v>
      </c>
    </row>
    <row r="29" spans="1:1" x14ac:dyDescent="0.3">
      <c r="A29" t="s">
        <v>123</v>
      </c>
    </row>
    <row r="30" spans="1:1" x14ac:dyDescent="0.3">
      <c r="A30" t="s">
        <v>124</v>
      </c>
    </row>
    <row r="31" spans="1:1" x14ac:dyDescent="0.3">
      <c r="A31" t="s">
        <v>125</v>
      </c>
    </row>
    <row r="32" spans="1:1" x14ac:dyDescent="0.3">
      <c r="A32" t="s">
        <v>126</v>
      </c>
    </row>
    <row r="33" spans="1:1" x14ac:dyDescent="0.3">
      <c r="A33" t="s">
        <v>127</v>
      </c>
    </row>
    <row r="34" spans="1:1" x14ac:dyDescent="0.3">
      <c r="A34" t="s">
        <v>128</v>
      </c>
    </row>
    <row r="35" spans="1:1" x14ac:dyDescent="0.3">
      <c r="A35" t="s">
        <v>129</v>
      </c>
    </row>
    <row r="36" spans="1:1" x14ac:dyDescent="0.3">
      <c r="A36" t="s">
        <v>130</v>
      </c>
    </row>
    <row r="37" spans="1:1" x14ac:dyDescent="0.3">
      <c r="A37" t="s">
        <v>131</v>
      </c>
    </row>
    <row r="38" spans="1:1" x14ac:dyDescent="0.3">
      <c r="A38" t="s">
        <v>132</v>
      </c>
    </row>
    <row r="39" spans="1:1" x14ac:dyDescent="0.3">
      <c r="A39" t="s">
        <v>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45</vt:i4>
      </vt:variant>
    </vt:vector>
  </HeadingPairs>
  <TitlesOfParts>
    <vt:vector size="47" baseType="lpstr">
      <vt:lpstr>account template edit</vt:lpstr>
      <vt:lpstr>{PL}PickLst</vt:lpstr>
      <vt:lpstr>acctemp_acctype</vt:lpstr>
      <vt:lpstr>acctemp_CRAcc</vt:lpstr>
      <vt:lpstr>acctemp_CRacctype</vt:lpstr>
      <vt:lpstr>acctemp_CRFactor</vt:lpstr>
      <vt:lpstr>acctemp_CRMA</vt:lpstr>
      <vt:lpstr>acctemp_DE_rectype</vt:lpstr>
      <vt:lpstr>acctemp_DRAcc</vt:lpstr>
      <vt:lpstr>acctemp_DRacctype</vt:lpstr>
      <vt:lpstr>acctemp_DRFactor</vt:lpstr>
      <vt:lpstr>acctemp_DRMA</vt:lpstr>
      <vt:lpstr>acctemp_id</vt:lpstr>
      <vt:lpstr>acctemp_impact</vt:lpstr>
      <vt:lpstr>acctemp_MAP_flag</vt:lpstr>
      <vt:lpstr>acctemp_MAP_rectype</vt:lpstr>
      <vt:lpstr>db_name</vt:lpstr>
      <vt:lpstr>Freeze_Here</vt:lpstr>
      <vt:lpstr>psAccTempID</vt:lpstr>
      <vt:lpstr>psApp</vt:lpstr>
      <vt:lpstr>psUser</vt:lpstr>
      <vt:lpstr>TargetCells</vt:lpstr>
      <vt:lpstr>TM1AdminAccTempListCAP</vt:lpstr>
      <vt:lpstr>TM1AdminAccTempListWB</vt:lpstr>
      <vt:lpstr>TM1AdminAccTempListWS</vt:lpstr>
      <vt:lpstr>TM1AdminAccTempProgMapCAP</vt:lpstr>
      <vt:lpstr>TM1AdminAccTempProgMapWB</vt:lpstr>
      <vt:lpstr>TM1AdminAccTempProgMapWS</vt:lpstr>
      <vt:lpstr>TM1AdminAccTempUpdateEditCAP</vt:lpstr>
      <vt:lpstr>TM1AdminAccTempUpdateEditWB</vt:lpstr>
      <vt:lpstr>TM1AdminAccTempUpdateEditWS</vt:lpstr>
      <vt:lpstr>TM1GrpNewAdj02ExpDataEntryCAP</vt:lpstr>
      <vt:lpstr>TM1GrpNewAdj02ExpDataEntryWB</vt:lpstr>
      <vt:lpstr>TM1GrpNewAdj02ExpDataEntryWS</vt:lpstr>
      <vt:lpstr>TM1HomeAEAccVarCAP</vt:lpstr>
      <vt:lpstr>TM1HomeAEAccVarWB</vt:lpstr>
      <vt:lpstr>TM1HomeAEAccVarWS</vt:lpstr>
      <vt:lpstr>TM1HomeAECAP</vt:lpstr>
      <vt:lpstr>TM1HomeAEWB</vt:lpstr>
      <vt:lpstr>TM1HomeAEWS</vt:lpstr>
      <vt:lpstr>TM1HomeCAP</vt:lpstr>
      <vt:lpstr>TM1HomeWB</vt:lpstr>
      <vt:lpstr>TM1HomeWS</vt:lpstr>
      <vt:lpstr>'account template edit'!TM1RPTDATARNG2</vt:lpstr>
      <vt:lpstr>'account template edit'!TM1RPTDATARNGARPT_ACCTEMP</vt:lpstr>
      <vt:lpstr>'account template edit'!TM1RPTFMTIDCOL</vt:lpstr>
      <vt:lpstr>'account template edit'!TM1RPTFMTRNG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Bill Looyen</dc:creator>
  <cp:lastModifiedBy>blooyen</cp:lastModifiedBy>
  <dcterms:created xsi:type="dcterms:W3CDTF">2019-08-15T02:34:06Z</dcterms:created>
  <dcterms:modified xsi:type="dcterms:W3CDTF">2023-02-14T22:33:27Z</dcterms:modified>
</cp:coreProperties>
</file>