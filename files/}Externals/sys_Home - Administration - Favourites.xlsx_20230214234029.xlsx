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F6ECC36-1127-4017-99BA-1FF23C13E13B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enu" sheetId="1" r:id="rId1"/>
  </sheets>
  <definedNames>
    <definedName name="db_name">Menu!$C$2</definedName>
    <definedName name="home">Menu!$G$28</definedName>
    <definedName name="Menu">Menu!$G$29</definedName>
    <definedName name="psUser">Menu!$C$7</definedName>
    <definedName name="TM1AdminFavAccCAP">Menu!$D$39</definedName>
    <definedName name="TM1AdminFavAccWB">Menu!$F$39</definedName>
    <definedName name="TM1AdminFavAccWS">Menu!$H$39</definedName>
    <definedName name="TM1AdminFavAppCAP">Menu!$D$38</definedName>
    <definedName name="TM1AdminFavAppWB">Menu!$F$38</definedName>
    <definedName name="TM1AdminFavAppWS">Menu!$H$38</definedName>
    <definedName name="TM1AdminFavListCAP">Menu!$D$40</definedName>
    <definedName name="TM1AdminFavListWB">Menu!$F$40</definedName>
    <definedName name="TM1AdminFavListWS">Menu!$H$40</definedName>
    <definedName name="TM1AdminFavProgCAP">Menu!$D$41</definedName>
    <definedName name="TM1AdminFavProgWB">Menu!$F$41</definedName>
    <definedName name="TM1AdminFavProgWS">Menu!$H$41</definedName>
    <definedName name="TM1HomeAdminBaseCAP">Menu!$D$36</definedName>
    <definedName name="TM1HomeAdminBaseWB">Menu!$F$36</definedName>
    <definedName name="TM1HomeAdminBaseWS">Menu!$H$36</definedName>
    <definedName name="TM1HomeAdminCAP">Menu!$D$31</definedName>
    <definedName name="TM1HomeAdminFavCAP">Menu!$D$35</definedName>
    <definedName name="TM1HomeAdminFavWB">Menu!$F$35</definedName>
    <definedName name="TM1HomeAdminFavWS">Menu!$H$35</definedName>
    <definedName name="TM1HomeAdminGEUSCAP">Menu!$D$34</definedName>
    <definedName name="TM1HomeAdminGEUSWB">Menu!$F$34</definedName>
    <definedName name="TM1HomeAdminGEUSWS">Menu!$H$34</definedName>
    <definedName name="TM1HomeAdminRDSCAP">Menu!$D$32</definedName>
    <definedName name="TM1HomeAdminRDSMapCAP">Menu!$D$33</definedName>
    <definedName name="TM1HomeAdminRDSMapWB">Menu!$F$33</definedName>
    <definedName name="TM1HomeAdminRDSMapWS">Menu!$H$33</definedName>
    <definedName name="TM1HomeAdminRDSWB">Menu!$F$32</definedName>
    <definedName name="TM1HomeAdminRDSWS">Menu!$H$32</definedName>
    <definedName name="TM1HomeAdminWB">Menu!$F$31</definedName>
    <definedName name="TM1HomeAdminWS">Menu!$H$31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CAP">Menu!$D$30</definedName>
    <definedName name="TM1HomeRepWB">Menu!$F$30</definedName>
    <definedName name="TM1HomeRepWS">Menu!$H$30</definedName>
    <definedName name="TM1HomeUnderCAP">Menu!$D$37</definedName>
    <definedName name="TM1HomeUnderWB">Menu!$F$37</definedName>
    <definedName name="TM1HomeUnderWS">Menu!$H$37</definedName>
    <definedName name="TM1HomeWB">Menu!$F$28</definedName>
    <definedName name="TM1HomeWS">Menu!$H$28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3" i="1"/>
  <c r="C6" i="1"/>
  <c r="C7" i="1"/>
  <c r="C26" i="1"/>
  <c r="F38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E38" i="1"/>
  <c r="D38" i="1"/>
  <c r="C38" i="1"/>
  <c r="H33" i="1"/>
  <c r="G33" i="1"/>
  <c r="F33" i="1"/>
  <c r="E33" i="1"/>
  <c r="D33" i="1"/>
  <c r="C33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2" i="1"/>
  <c r="G32" i="1"/>
  <c r="F32" i="1"/>
  <c r="E32" i="1"/>
  <c r="D32" i="1"/>
  <c r="C32" i="1"/>
  <c r="K88" i="1"/>
  <c r="H37" i="1"/>
  <c r="H31" i="1"/>
  <c r="H30" i="1"/>
  <c r="H29" i="1"/>
  <c r="H28" i="1"/>
  <c r="G37" i="1"/>
  <c r="F37" i="1"/>
  <c r="E37" i="1"/>
  <c r="D37" i="1"/>
  <c r="C37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C5" i="1"/>
  <c r="C18" i="1"/>
  <c r="C10" i="1"/>
  <c r="C12" i="1"/>
  <c r="C11" i="1"/>
  <c r="C13" i="1"/>
  <c r="C14" i="1"/>
  <c r="C15" i="1"/>
  <c r="K48" i="1"/>
  <c r="W46" i="1"/>
  <c r="C22" i="1"/>
  <c r="C21" i="1"/>
  <c r="C20" i="1"/>
  <c r="C19" i="1"/>
</calcChain>
</file>

<file path=xl/sharedStrings.xml><?xml version="1.0" encoding="utf-8"?>
<sst xmlns="http://schemas.openxmlformats.org/spreadsheetml/2006/main" count="47" uniqueCount="46">
  <si>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</si>
  <si>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</si>
  <si>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</si>
  <si>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</si>
  <si>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</si>
  <si>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</si>
  <si>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</si>
  <si>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</si>
  <si>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</si>
  <si>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</si>
  <si>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</si>
  <si>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</si>
  <si>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</si>
  <si>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</si>
  <si>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</si>
  <si>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</si>
  <si>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</si>
  <si>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</si>
  <si>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</si>
  <si>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</si>
  <si>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</si>
  <si>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</si>
  <si>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</si>
  <si>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</si>
  <si>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</si>
  <si>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</si>
  <si>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</si>
  <si>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</si>
  <si>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</si>
  <si>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</si>
  <si>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</si>
  <si>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</si>
  <si>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</si>
  <si>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</si>
  <si>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Homepage - Administration - RDS</t>
  </si>
  <si>
    <t>Homepage - Administration - GEUS Setup</t>
  </si>
  <si>
    <t>Homepage - Administration - Favourites</t>
  </si>
  <si>
    <t>Homepage - Administration - Baseline</t>
  </si>
  <si>
    <t>ADMINISTRATION</t>
  </si>
  <si>
    <t>Homepage - Administration - RDS Mapping</t>
  </si>
  <si>
    <t>Admin Favourite - Set Application Favourites</t>
  </si>
  <si>
    <t>Admin Favourite - Set Account Favourites</t>
  </si>
  <si>
    <t>Admin Favourite - Favourite List</t>
  </si>
  <si>
    <t>Admin Favourite - Set Default Favourite For Program</t>
  </si>
  <si>
    <t>FAVOURITE MENU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</si>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</sst>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 xr:uid="{00000000-0005-0000-0000-000001000000}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372"/>
  <ax:ocxPr ax:name="_ExtentY" ax:value="1032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Set Application Favourites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AdminFavAppWB"/>
  <ax:ocxPr ax:name="TargetWorksheetName" ax:value="==TM1AdminFavAp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minFavApp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.emf"/><Relationship Id="rId13" Type="http://schemas.openxmlformats.org/officeDocument/2006/relationships/image" Target="../media/image1.emf"/><Relationship Id="rId3" Type="http://schemas.openxmlformats.org/officeDocument/2006/relationships/image" Target="../media/image4.emf"/><Relationship Id="rId7" Type="http://schemas.openxmlformats.org/officeDocument/2006/relationships/image" Target="../media/image8.emf"/><Relationship Id="rId12" Type="http://schemas.openxmlformats.org/officeDocument/2006/relationships/image" Target="../media/image13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11" Type="http://schemas.openxmlformats.org/officeDocument/2006/relationships/image" Target="../media/image12.emf"/><Relationship Id="rId5" Type="http://schemas.openxmlformats.org/officeDocument/2006/relationships/image" Target="../media/image6.emf"/><Relationship Id="rId10" Type="http://schemas.openxmlformats.org/officeDocument/2006/relationships/image" Target="../media/image11.emf"/><Relationship Id="rId4" Type="http://schemas.openxmlformats.org/officeDocument/2006/relationships/image" Target="../media/image5.emf"/><Relationship Id="rId9" Type="http://schemas.openxmlformats.org/officeDocument/2006/relationships/image" Target="../media/image10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47</xdr:row>
      <xdr:rowOff>55686</xdr:rowOff>
    </xdr:from>
    <xdr:to>
      <xdr:col>22</xdr:col>
      <xdr:colOff>210100</xdr:colOff>
      <xdr:row>47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52</xdr:row>
      <xdr:rowOff>57150</xdr:rowOff>
    </xdr:from>
    <xdr:to>
      <xdr:col>15</xdr:col>
      <xdr:colOff>307716</xdr:colOff>
      <xdr:row>52</xdr:row>
      <xdr:rowOff>243840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52</xdr:row>
      <xdr:rowOff>66675</xdr:rowOff>
    </xdr:from>
    <xdr:to>
      <xdr:col>22</xdr:col>
      <xdr:colOff>285236</xdr:colOff>
      <xdr:row>52</xdr:row>
      <xdr:rowOff>249855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28575</xdr:rowOff>
    </xdr:from>
    <xdr:to>
      <xdr:col>12</xdr:col>
      <xdr:colOff>53340</xdr:colOff>
      <xdr:row>45</xdr:row>
      <xdr:rowOff>478155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52</xdr:row>
      <xdr:rowOff>66675</xdr:rowOff>
    </xdr:from>
    <xdr:to>
      <xdr:col>22</xdr:col>
      <xdr:colOff>285236</xdr:colOff>
      <xdr:row>52</xdr:row>
      <xdr:rowOff>249855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53</xdr:row>
          <xdr:rowOff>47625</xdr:rowOff>
        </xdr:from>
        <xdr:to>
          <xdr:col>14</xdr:col>
          <xdr:colOff>752475</xdr:colOff>
          <xdr:row>56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56</xdr:row>
          <xdr:rowOff>47625</xdr:rowOff>
        </xdr:from>
        <xdr:to>
          <xdr:col>14</xdr:col>
          <xdr:colOff>752475</xdr:colOff>
          <xdr:row>58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58</xdr:row>
          <xdr:rowOff>104775</xdr:rowOff>
        </xdr:from>
        <xdr:to>
          <xdr:col>14</xdr:col>
          <xdr:colOff>752475</xdr:colOff>
          <xdr:row>60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49</xdr:row>
          <xdr:rowOff>47625</xdr:rowOff>
        </xdr:from>
        <xdr:to>
          <xdr:col>13</xdr:col>
          <xdr:colOff>38100</xdr:colOff>
          <xdr:row>51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49</xdr:row>
          <xdr:rowOff>47625</xdr:rowOff>
        </xdr:from>
        <xdr:to>
          <xdr:col>15</xdr:col>
          <xdr:colOff>352425</xdr:colOff>
          <xdr:row>51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49</xdr:row>
          <xdr:rowOff>38100</xdr:rowOff>
        </xdr:from>
        <xdr:to>
          <xdr:col>19</xdr:col>
          <xdr:colOff>1104900</xdr:colOff>
          <xdr:row>51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49</xdr:row>
          <xdr:rowOff>38100</xdr:rowOff>
        </xdr:from>
        <xdr:to>
          <xdr:col>22</xdr:col>
          <xdr:colOff>114300</xdr:colOff>
          <xdr:row>51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53</xdr:row>
          <xdr:rowOff>47625</xdr:rowOff>
        </xdr:from>
        <xdr:to>
          <xdr:col>21</xdr:col>
          <xdr:colOff>1038225</xdr:colOff>
          <xdr:row>56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56</xdr:row>
          <xdr:rowOff>47625</xdr:rowOff>
        </xdr:from>
        <xdr:to>
          <xdr:col>21</xdr:col>
          <xdr:colOff>1038225</xdr:colOff>
          <xdr:row>58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58</xdr:row>
          <xdr:rowOff>104775</xdr:rowOff>
        </xdr:from>
        <xdr:to>
          <xdr:col>21</xdr:col>
          <xdr:colOff>1038225</xdr:colOff>
          <xdr:row>60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60</xdr:row>
          <xdr:rowOff>161925</xdr:rowOff>
        </xdr:from>
        <xdr:to>
          <xdr:col>14</xdr:col>
          <xdr:colOff>752475</xdr:colOff>
          <xdr:row>62</xdr:row>
          <xdr:rowOff>38100</xdr:rowOff>
        </xdr:to>
        <xdr:sp macro="" textlink="">
          <xdr:nvSpPr>
            <xdr:cNvPr id="1045" name="TIButton1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62</xdr:row>
          <xdr:rowOff>85725</xdr:rowOff>
        </xdr:from>
        <xdr:to>
          <xdr:col>14</xdr:col>
          <xdr:colOff>752475</xdr:colOff>
          <xdr:row>64</xdr:row>
          <xdr:rowOff>152400</xdr:rowOff>
        </xdr:to>
        <xdr:sp macro="" textlink="">
          <xdr:nvSpPr>
            <xdr:cNvPr id="1048" name="TIButton2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53340</xdr:colOff>
      <xdr:row>53</xdr:row>
      <xdr:rowOff>15240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85950" cy="188595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60</xdr:row>
          <xdr:rowOff>161925</xdr:rowOff>
        </xdr:from>
        <xdr:to>
          <xdr:col>21</xdr:col>
          <xdr:colOff>1038225</xdr:colOff>
          <xdr:row>62</xdr:row>
          <xdr:rowOff>38100</xdr:rowOff>
        </xdr:to>
        <xdr:sp macro="" textlink="">
          <xdr:nvSpPr>
            <xdr:cNvPr id="1049" name="TIButton4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62</xdr:row>
          <xdr:rowOff>85725</xdr:rowOff>
        </xdr:from>
        <xdr:to>
          <xdr:col>21</xdr:col>
          <xdr:colOff>1038225</xdr:colOff>
          <xdr:row>64</xdr:row>
          <xdr:rowOff>152400</xdr:rowOff>
        </xdr:to>
        <xdr:sp macro="" textlink="">
          <xdr:nvSpPr>
            <xdr:cNvPr id="1050" name="TIButton12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W88"/>
  <sheetViews>
    <sheetView showGridLines="0" tabSelected="1" showOutlineSymbols="0" topLeftCell="J46" workbookViewId="0">
      <selection activeCell="N46" sqref="N46"/>
    </sheetView>
  </sheetViews>
  <sheetFormatPr defaultRowHeight="15" outlineLevelRow="1" outlineLevelCol="1" x14ac:dyDescent="0.25"/>
  <cols>
    <col min="1" max="1" width="5.7109375" hidden="1" customWidth="1" outlineLevel="1"/>
    <col min="2" max="2" width="27.8554687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45</v>
      </c>
      <c r="D2" s="4"/>
    </row>
    <row r="3" spans="2:4" hidden="1" outlineLevel="1" x14ac:dyDescent="0.25">
      <c r="B3" s="2" t="s">
        <v>22</v>
      </c>
      <c r="C3" s="10" t="e">
        <f ca="1">_xll.VIEW(db_name&amp;":}ElementAttributes_}Clients","!","!")</f>
        <v>#NAME?</v>
      </c>
      <c r="D3" s="4"/>
    </row>
    <row r="4" spans="2:4" hidden="1" outlineLevel="1" x14ac:dyDescent="0.25">
      <c r="B4" s="2" t="s">
        <v>21</v>
      </c>
      <c r="C4" s="3" t="e">
        <f ca="1">_xll.TM1USER(db_name)</f>
        <v>#NAME?</v>
      </c>
      <c r="D4" s="4"/>
    </row>
    <row r="5" spans="2:4" hidden="1" outlineLevel="1" x14ac:dyDescent="0.25">
      <c r="B5" s="2" t="s">
        <v>23</v>
      </c>
      <c r="C5" s="3" t="e">
        <f ca="1">_xll.DBR($C$3,$C$4,$B5)</f>
        <v>#NAME?</v>
      </c>
      <c r="D5" s="4"/>
    </row>
    <row r="6" spans="2:4" hidden="1" outlineLevel="1" x14ac:dyDescent="0.25">
      <c r="B6" s="2" t="s">
        <v>24</v>
      </c>
      <c r="C6" s="3" t="e">
        <f ca="1">_xll.DBR($C$3,$C$4,$B6)</f>
        <v>#NAME?</v>
      </c>
      <c r="D6" s="4"/>
    </row>
    <row r="7" spans="2:4" hidden="1" outlineLevel="1" x14ac:dyDescent="0.25">
      <c r="B7" s="2" t="s">
        <v>5</v>
      </c>
      <c r="C7" s="3" t="e">
        <f ca="1">IF(LEFT($C$4,3)="CAM",$C$6,$C$5)</f>
        <v>#NAME?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e">
        <f ca="1">_xll.VIEW(db_name&amp;":}ElementAttributes_variables","!","!")</f>
        <v>#NAME?</v>
      </c>
      <c r="D10" s="1"/>
    </row>
    <row r="11" spans="2:4" hidden="1" outlineLevel="1" x14ac:dyDescent="0.25">
      <c r="B11" s="2" t="s">
        <v>8</v>
      </c>
      <c r="C11" s="1" t="e">
        <f ca="1">_xll.DBR($C$10,$B11,"value")</f>
        <v>#NAME?</v>
      </c>
      <c r="D11" s="1"/>
    </row>
    <row r="12" spans="2:4" hidden="1" outlineLevel="1" x14ac:dyDescent="0.25">
      <c r="B12" s="2" t="s">
        <v>9</v>
      </c>
      <c r="C12" s="1" t="e">
        <f ca="1">_xll.DBR($C$10,$B12,"value")</f>
        <v>#NAME?</v>
      </c>
      <c r="D12" s="1"/>
    </row>
    <row r="13" spans="2:4" hidden="1" outlineLevel="1" x14ac:dyDescent="0.25">
      <c r="B13" s="2" t="s">
        <v>10</v>
      </c>
      <c r="C13" s="1" t="e">
        <f ca="1">_xll.DBR($C$10,$B13,"value")</f>
        <v>#NAME?</v>
      </c>
      <c r="D13" s="1"/>
    </row>
    <row r="14" spans="2:4" hidden="1" outlineLevel="1" x14ac:dyDescent="0.25">
      <c r="B14" s="2" t="s">
        <v>11</v>
      </c>
      <c r="C14" s="1" t="e">
        <f ca="1">_xll.DBR($C$10,$B14,"value")</f>
        <v>#NAME?</v>
      </c>
      <c r="D14" s="1"/>
    </row>
    <row r="15" spans="2:4" hidden="1" outlineLevel="1" x14ac:dyDescent="0.25">
      <c r="B15" s="2" t="s">
        <v>12</v>
      </c>
      <c r="C15" s="1" t="e">
        <f ca="1">"The current scenario is """ &amp; $C$12 &amp; """ for the """ &amp; $C$11 &amp; """ Headline Year. Archive was done for """ &amp; $C$13 &amp; """ on scenario """ &amp; $C$14 &amp; """."</f>
        <v>#NAME?</v>
      </c>
      <c r="D15" s="1"/>
    </row>
    <row r="16" spans="2:4" hidden="1" outlineLevel="1" x14ac:dyDescent="0.25"/>
    <row r="17" spans="2:8" hidden="1" outlineLevel="1" x14ac:dyDescent="0.25">
      <c r="B17" s="16" t="s">
        <v>13</v>
      </c>
      <c r="C17" s="17"/>
      <c r="D17" s="18"/>
    </row>
    <row r="18" spans="2:8" hidden="1" outlineLevel="1" x14ac:dyDescent="0.25">
      <c r="B18" s="2" t="s">
        <v>7</v>
      </c>
      <c r="C18" s="1" t="e">
        <f ca="1">_xll.VIEW(db_name&amp;":sys_client preference","!","!","!")</f>
        <v>#NAME?</v>
      </c>
      <c r="D18" s="1"/>
    </row>
    <row r="19" spans="2:8" hidden="1" outlineLevel="1" x14ac:dyDescent="0.25">
      <c r="B19" s="2" t="s">
        <v>14</v>
      </c>
      <c r="C19" s="1" t="e">
        <f ca="1">_xll.DBR($C$18,psUser,$B19,"value")</f>
        <v>#NAME?</v>
      </c>
      <c r="D19" s="1"/>
    </row>
    <row r="20" spans="2:8" hidden="1" outlineLevel="1" x14ac:dyDescent="0.25">
      <c r="B20" s="2" t="s">
        <v>15</v>
      </c>
      <c r="C20" s="1" t="e">
        <f ca="1">_xll.DBR($C$18,psUser,$B20,"value")</f>
        <v>#NAME?</v>
      </c>
      <c r="D20" s="1"/>
    </row>
    <row r="21" spans="2:8" hidden="1" outlineLevel="1" x14ac:dyDescent="0.25">
      <c r="B21" s="2" t="s">
        <v>16</v>
      </c>
      <c r="C21" s="1" t="e">
        <f ca="1">_xll.DBR($C$18,psUser,$B21,"value")</f>
        <v>#NAME?</v>
      </c>
      <c r="D21" s="1"/>
    </row>
    <row r="22" spans="2:8" hidden="1" outlineLevel="1" x14ac:dyDescent="0.25">
      <c r="B22" s="2" t="s">
        <v>17</v>
      </c>
      <c r="C22" s="1" t="e">
        <f ca="1">_xll.DBR($C$18,psUser,$B22,"value")</f>
        <v>#NAME?</v>
      </c>
      <c r="D22" s="1"/>
    </row>
    <row r="23" spans="2:8" hidden="1" outlineLevel="1" x14ac:dyDescent="0.25">
      <c r="B23" s="2" t="s">
        <v>20</v>
      </c>
      <c r="C23" s="1" t="s">
        <v>19</v>
      </c>
      <c r="D23" s="1"/>
    </row>
    <row r="24" spans="2:8" hidden="1" outlineLevel="1" x14ac:dyDescent="0.25"/>
    <row r="25" spans="2:8" hidden="1" outlineLevel="1" x14ac:dyDescent="0.25">
      <c r="B25" s="16" t="s">
        <v>18</v>
      </c>
      <c r="C25" s="17"/>
      <c r="D25" s="18"/>
    </row>
    <row r="26" spans="2:8" hidden="1" outlineLevel="1" x14ac:dyDescent="0.25">
      <c r="B26" s="1" t="s">
        <v>2</v>
      </c>
      <c r="C26" s="12" t="e">
        <f ca="1">_xll.VIEW(db_name&amp;":sys_application","!","!")</f>
        <v>#NAME?</v>
      </c>
      <c r="D26" s="12"/>
    </row>
    <row r="27" spans="2:8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8" hidden="1" outlineLevel="1" x14ac:dyDescent="0.25">
      <c r="B28" s="1" t="s">
        <v>25</v>
      </c>
      <c r="C28" s="1" t="e">
        <f ca="1">_xll.DBR($C$26,$B28,C$27)</f>
        <v>#NAME?</v>
      </c>
      <c r="D28" s="1" t="e">
        <f ca="1">_xll.DBR($C$26,$B28,D$27)</f>
        <v>#NAME?</v>
      </c>
      <c r="E28" s="1" t="e">
        <f ca="1">_xll.DBR($C$26,$B28,E$27)</f>
        <v>#NAME?</v>
      </c>
      <c r="F28" s="1" t="e">
        <f ca="1">_xll.DBR($C$26,$B28,F$27)</f>
        <v>#NAME?</v>
      </c>
      <c r="G28" s="1" t="e">
        <f ca="1">_xll.DBR($C$26,$B28,G$27)</f>
        <v>#NAME?</v>
      </c>
      <c r="H28" s="1" t="e">
        <f ca="1">_xll.DBR($C$26,$B28,H$27)</f>
        <v>#NAME?</v>
      </c>
    </row>
    <row r="29" spans="2:8" hidden="1" outlineLevel="1" x14ac:dyDescent="0.25">
      <c r="B29" s="1" t="s">
        <v>26</v>
      </c>
      <c r="C29" s="1" t="e">
        <f ca="1">_xll.DBR($C$26,$B29,C$27)</f>
        <v>#NAME?</v>
      </c>
      <c r="D29" s="1" t="e">
        <f ca="1">_xll.DBR($C$26,$B29,D$27)</f>
        <v>#NAME?</v>
      </c>
      <c r="E29" s="1" t="e">
        <f ca="1">_xll.DBR($C$26,$B29,E$27)</f>
        <v>#NAME?</v>
      </c>
      <c r="F29" s="1" t="e">
        <f ca="1">_xll.DBR($C$26,$B29,F$27)</f>
        <v>#NAME?</v>
      </c>
      <c r="G29" s="1" t="e">
        <f ca="1">_xll.DBR($C$26,$B29,G$27)</f>
        <v>#NAME?</v>
      </c>
      <c r="H29" s="1" t="e">
        <f ca="1">_xll.DBR($C$26,$B29,H$27)</f>
        <v>#NAME?</v>
      </c>
    </row>
    <row r="30" spans="2:8" hidden="1" outlineLevel="1" x14ac:dyDescent="0.25">
      <c r="B30" s="1" t="s">
        <v>27</v>
      </c>
      <c r="C30" s="1" t="e">
        <f ca="1">_xll.DBR($C$26,$B30,C$27)</f>
        <v>#NAME?</v>
      </c>
      <c r="D30" s="1" t="e">
        <f ca="1">_xll.DBR($C$26,$B30,D$27)</f>
        <v>#NAME?</v>
      </c>
      <c r="E30" s="1" t="e">
        <f ca="1">_xll.DBR($C$26,$B30,E$27)</f>
        <v>#NAME?</v>
      </c>
      <c r="F30" s="1" t="e">
        <f ca="1">_xll.DBR($C$26,$B30,F$27)</f>
        <v>#NAME?</v>
      </c>
      <c r="G30" s="1" t="e">
        <f ca="1">_xll.DBR($C$26,$B30,G$27)</f>
        <v>#NAME?</v>
      </c>
      <c r="H30" s="1" t="e">
        <f ca="1">_xll.DBR($C$26,$B30,H$27)</f>
        <v>#NAME?</v>
      </c>
    </row>
    <row r="31" spans="2:8" hidden="1" outlineLevel="1" x14ac:dyDescent="0.25">
      <c r="B31" s="1" t="s">
        <v>28</v>
      </c>
      <c r="C31" s="1" t="e">
        <f ca="1">_xll.DBR($C$26,$B31,C$27)</f>
        <v>#NAME?</v>
      </c>
      <c r="D31" s="1" t="e">
        <f ca="1">_xll.DBR($C$26,$B31,D$27)</f>
        <v>#NAME?</v>
      </c>
      <c r="E31" s="1" t="e">
        <f ca="1">_xll.DBR($C$26,$B31,E$27)</f>
        <v>#NAME?</v>
      </c>
      <c r="F31" s="1" t="e">
        <f ca="1">_xll.DBR($C$26,$B31,F$27)</f>
        <v>#NAME?</v>
      </c>
      <c r="G31" s="1" t="e">
        <f ca="1">_xll.DBR($C$26,$B31,G$27)</f>
        <v>#NAME?</v>
      </c>
      <c r="H31" s="1" t="e">
        <f ca="1">_xll.DBR($C$26,$B31,H$27)</f>
        <v>#NAME?</v>
      </c>
    </row>
    <row r="32" spans="2:8" hidden="1" outlineLevel="1" x14ac:dyDescent="0.25">
      <c r="B32" s="1" t="s">
        <v>34</v>
      </c>
      <c r="C32" s="1" t="e">
        <f ca="1">_xll.DBR($C$26,$B32,C$27)</f>
        <v>#NAME?</v>
      </c>
      <c r="D32" s="1" t="e">
        <f ca="1">_xll.DBR($C$26,$B32,D$27)</f>
        <v>#NAME?</v>
      </c>
      <c r="E32" s="1" t="e">
        <f ca="1">_xll.DBR($C$26,$B32,E$27)</f>
        <v>#NAME?</v>
      </c>
      <c r="F32" s="1" t="e">
        <f ca="1">_xll.DBR($C$26,$B32,F$27)</f>
        <v>#NAME?</v>
      </c>
      <c r="G32" s="1" t="e">
        <f ca="1">_xll.DBR($C$26,$B32,G$27)</f>
        <v>#NAME?</v>
      </c>
      <c r="H32" s="1" t="e">
        <f ca="1">_xll.DBR($C$26,$B32,H$27)</f>
        <v>#NAME?</v>
      </c>
    </row>
    <row r="33" spans="2:23" hidden="1" outlineLevel="1" x14ac:dyDescent="0.25">
      <c r="B33" s="1" t="s">
        <v>39</v>
      </c>
      <c r="C33" s="1" t="e">
        <f ca="1">_xll.DBR($C$26,$B33,C$27)</f>
        <v>#NAME?</v>
      </c>
      <c r="D33" s="1" t="e">
        <f ca="1">_xll.DBR($C$26,$B33,D$27)</f>
        <v>#NAME?</v>
      </c>
      <c r="E33" s="1" t="e">
        <f ca="1">_xll.DBR($C$26,$B33,E$27)</f>
        <v>#NAME?</v>
      </c>
      <c r="F33" s="1" t="e">
        <f ca="1">_xll.DBR($C$26,$B33,F$27)</f>
        <v>#NAME?</v>
      </c>
      <c r="G33" s="1" t="e">
        <f ca="1">_xll.DBR($C$26,$B33,G$27)</f>
        <v>#NAME?</v>
      </c>
      <c r="H33" s="1" t="e">
        <f ca="1">_xll.DBR($C$26,$B33,H$27)</f>
        <v>#NAME?</v>
      </c>
    </row>
    <row r="34" spans="2:23" hidden="1" outlineLevel="1" x14ac:dyDescent="0.25">
      <c r="B34" s="1" t="s">
        <v>35</v>
      </c>
      <c r="C34" s="1" t="e">
        <f ca="1">_xll.DBR($C$26,$B34,C$27)</f>
        <v>#NAME?</v>
      </c>
      <c r="D34" s="1" t="e">
        <f ca="1">_xll.DBR($C$26,$B34,D$27)</f>
        <v>#NAME?</v>
      </c>
      <c r="E34" s="1" t="e">
        <f ca="1">_xll.DBR($C$26,$B34,E$27)</f>
        <v>#NAME?</v>
      </c>
      <c r="F34" s="1" t="e">
        <f ca="1">_xll.DBR($C$26,$B34,F$27)</f>
        <v>#NAME?</v>
      </c>
      <c r="G34" s="1" t="e">
        <f ca="1">_xll.DBR($C$26,$B34,G$27)</f>
        <v>#NAME?</v>
      </c>
      <c r="H34" s="1" t="e">
        <f ca="1">_xll.DBR($C$26,$B34,H$27)</f>
        <v>#NAME?</v>
      </c>
    </row>
    <row r="35" spans="2:23" hidden="1" outlineLevel="1" x14ac:dyDescent="0.25">
      <c r="B35" s="1" t="s">
        <v>36</v>
      </c>
      <c r="C35" s="1" t="e">
        <f ca="1">_xll.DBR($C$26,$B35,C$27)</f>
        <v>#NAME?</v>
      </c>
      <c r="D35" s="1" t="e">
        <f ca="1">_xll.DBR($C$26,$B35,D$27)</f>
        <v>#NAME?</v>
      </c>
      <c r="E35" s="1" t="e">
        <f ca="1">_xll.DBR($C$26,$B35,E$27)</f>
        <v>#NAME?</v>
      </c>
      <c r="F35" s="1" t="e">
        <f ca="1">_xll.DBR($C$26,$B35,F$27)</f>
        <v>#NAME?</v>
      </c>
      <c r="G35" s="1" t="e">
        <f ca="1">_xll.DBR($C$26,$B35,G$27)</f>
        <v>#NAME?</v>
      </c>
      <c r="H35" s="1" t="e">
        <f ca="1">_xll.DBR($C$26,$B35,H$27)</f>
        <v>#NAME?</v>
      </c>
    </row>
    <row r="36" spans="2:23" hidden="1" outlineLevel="1" x14ac:dyDescent="0.25">
      <c r="B36" s="1" t="s">
        <v>37</v>
      </c>
      <c r="C36" s="1" t="e">
        <f ca="1">_xll.DBR($C$26,$B36,C$27)</f>
        <v>#NAME?</v>
      </c>
      <c r="D36" s="1" t="e">
        <f ca="1">_xll.DBR($C$26,$B36,D$27)</f>
        <v>#NAME?</v>
      </c>
      <c r="E36" s="1" t="e">
        <f ca="1">_xll.DBR($C$26,$B36,E$27)</f>
        <v>#NAME?</v>
      </c>
      <c r="F36" s="1" t="e">
        <f ca="1">_xll.DBR($C$26,$B36,F$27)</f>
        <v>#NAME?</v>
      </c>
      <c r="G36" s="1" t="e">
        <f ca="1">_xll.DBR($C$26,$B36,G$27)</f>
        <v>#NAME?</v>
      </c>
      <c r="H36" s="1" t="e">
        <f ca="1">_xll.DBR($C$26,$B36,H$27)</f>
        <v>#NAME?</v>
      </c>
    </row>
    <row r="37" spans="2:23" hidden="1" outlineLevel="1" x14ac:dyDescent="0.25">
      <c r="B37" s="1" t="s">
        <v>29</v>
      </c>
      <c r="C37" s="1" t="e">
        <f ca="1">_xll.DBR($C$26,$B37,C$27)</f>
        <v>#NAME?</v>
      </c>
      <c r="D37" s="1" t="e">
        <f ca="1">_xll.DBR($C$26,$B37,D$27)</f>
        <v>#NAME?</v>
      </c>
      <c r="E37" s="1" t="e">
        <f ca="1">_xll.DBR($C$26,$B37,E$27)</f>
        <v>#NAME?</v>
      </c>
      <c r="F37" s="1" t="e">
        <f ca="1">_xll.DBR($C$26,$B37,F$27)</f>
        <v>#NAME?</v>
      </c>
      <c r="G37" s="1" t="e">
        <f ca="1">_xll.DBR($C$26,$B37,G$27)</f>
        <v>#NAME?</v>
      </c>
      <c r="H37" s="1" t="e">
        <f ca="1">_xll.DBR($C$26,$B37,H$27)</f>
        <v>#NAME?</v>
      </c>
    </row>
    <row r="38" spans="2:23" hidden="1" outlineLevel="1" x14ac:dyDescent="0.25">
      <c r="B38" s="1" t="s">
        <v>40</v>
      </c>
      <c r="C38" s="1" t="e">
        <f ca="1">_xll.DBR($C$26,$B38,C$27)</f>
        <v>#NAME?</v>
      </c>
      <c r="D38" s="1" t="e">
        <f ca="1">_xll.DBR($C$26,$B38,D$27)</f>
        <v>#NAME?</v>
      </c>
      <c r="E38" s="1" t="e">
        <f ca="1">_xll.DBR($C$26,$B38,E$27)</f>
        <v>#NAME?</v>
      </c>
      <c r="F38" s="1" t="e">
        <f ca="1">_xll.DBR($C$26,$B38,F$27)</f>
        <v>#NAME?</v>
      </c>
      <c r="G38" s="1" t="e">
        <f ca="1">_xll.DBR($C$26,$B38,G$27)</f>
        <v>#NAME?</v>
      </c>
      <c r="H38" s="1" t="e">
        <f ca="1">_xll.DBR($C$26,$B38,H$27)</f>
        <v>#NAME?</v>
      </c>
    </row>
    <row r="39" spans="2:23" hidden="1" outlineLevel="1" x14ac:dyDescent="0.25">
      <c r="B39" s="1" t="s">
        <v>41</v>
      </c>
      <c r="C39" s="1" t="e">
        <f ca="1">_xll.DBR($C$26,$B39,C$27)</f>
        <v>#NAME?</v>
      </c>
      <c r="D39" s="1" t="e">
        <f ca="1">_xll.DBR($C$26,$B39,D$27)</f>
        <v>#NAME?</v>
      </c>
      <c r="E39" s="1" t="e">
        <f ca="1">_xll.DBR($C$26,$B39,E$27)</f>
        <v>#NAME?</v>
      </c>
      <c r="F39" s="1" t="e">
        <f ca="1">_xll.DBR($C$26,$B39,F$27)</f>
        <v>#NAME?</v>
      </c>
      <c r="G39" s="1" t="e">
        <f ca="1">_xll.DBR($C$26,$B39,G$27)</f>
        <v>#NAME?</v>
      </c>
      <c r="H39" s="1" t="e">
        <f ca="1">_xll.DBR($C$26,$B39,H$27)</f>
        <v>#NAME?</v>
      </c>
    </row>
    <row r="40" spans="2:23" hidden="1" outlineLevel="1" x14ac:dyDescent="0.25">
      <c r="B40" s="1" t="s">
        <v>42</v>
      </c>
      <c r="C40" s="1" t="e">
        <f ca="1">_xll.DBR($C$26,$B40,C$27)</f>
        <v>#NAME?</v>
      </c>
      <c r="D40" s="1" t="e">
        <f ca="1">_xll.DBR($C$26,$B40,D$27)</f>
        <v>#NAME?</v>
      </c>
      <c r="E40" s="1" t="e">
        <f ca="1">_xll.DBR($C$26,$B40,E$27)</f>
        <v>#NAME?</v>
      </c>
      <c r="F40" s="1" t="e">
        <f ca="1">_xll.DBR($C$26,$B40,F$27)</f>
        <v>#NAME?</v>
      </c>
      <c r="G40" s="1" t="e">
        <f ca="1">_xll.DBR($C$26,$B40,G$27)</f>
        <v>#NAME?</v>
      </c>
      <c r="H40" s="1" t="e">
        <f ca="1">_xll.DBR($C$26,$B40,H$27)</f>
        <v>#NAME?</v>
      </c>
    </row>
    <row r="41" spans="2:23" hidden="1" outlineLevel="1" x14ac:dyDescent="0.25">
      <c r="B41" s="1" t="s">
        <v>43</v>
      </c>
      <c r="C41" s="1" t="e">
        <f ca="1">_xll.DBR($C$26,$B41,C$27)</f>
        <v>#NAME?</v>
      </c>
      <c r="D41" s="1" t="e">
        <f ca="1">_xll.DBR($C$26,$B41,D$27)</f>
        <v>#NAME?</v>
      </c>
      <c r="E41" s="1" t="e">
        <f ca="1">_xll.DBR($C$26,$B41,E$27)</f>
        <v>#NAME?</v>
      </c>
      <c r="F41" s="1" t="e">
        <f ca="1">_xll.DBR($C$26,$B41,F$27)</f>
        <v>#NAME?</v>
      </c>
      <c r="G41" s="1" t="e">
        <f ca="1">_xll.DBR($C$26,$B41,G$27)</f>
        <v>#NAME?</v>
      </c>
      <c r="H41" s="1" t="e">
        <f ca="1">_xll.DBR($C$26,$B41,H$27)</f>
        <v>#NAME?</v>
      </c>
    </row>
    <row r="42" spans="2:23" hidden="1" outlineLevel="1" x14ac:dyDescent="0.25"/>
    <row r="43" spans="2:23" hidden="1" outlineLevel="1" x14ac:dyDescent="0.25"/>
    <row r="44" spans="2:23" hidden="1" outlineLevel="1" x14ac:dyDescent="0.25">
      <c r="F44" s="1"/>
    </row>
    <row r="45" spans="2:23" hidden="1" outlineLevel="1" x14ac:dyDescent="0.25"/>
    <row r="46" spans="2:23" ht="39.75" customHeight="1" collapsed="1" x14ac:dyDescent="0.25"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11" t="e">
        <f ca="1">"Welcome "&amp; psUser</f>
        <v>#NAME?</v>
      </c>
    </row>
    <row r="47" spans="2:23" ht="4.5" customHeight="1" x14ac:dyDescent="0.25"/>
    <row r="48" spans="2:23" ht="30" customHeight="1" x14ac:dyDescent="0.25">
      <c r="J48" s="6"/>
      <c r="K48" s="19" t="e">
        <f ca="1">$C$15</f>
        <v>#NAME?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6"/>
      <c r="W48" s="6"/>
    </row>
    <row r="49" spans="10:23" ht="4.5" customHeight="1" x14ac:dyDescent="0.25"/>
    <row r="53" spans="10:23" ht="24.75" customHeight="1" x14ac:dyDescent="0.25">
      <c r="J53" s="7"/>
      <c r="K53" s="7"/>
      <c r="L53" s="14" t="s">
        <v>38</v>
      </c>
      <c r="M53" s="14"/>
      <c r="N53" s="14"/>
      <c r="O53" s="14"/>
      <c r="P53" s="5"/>
      <c r="R53" s="8"/>
      <c r="S53" s="15" t="s">
        <v>44</v>
      </c>
      <c r="T53" s="15"/>
      <c r="U53" s="15"/>
      <c r="V53" s="15"/>
      <c r="W53" s="8"/>
    </row>
    <row r="54" spans="10:23" ht="4.5" customHeight="1" x14ac:dyDescent="0.25">
      <c r="J54" s="9"/>
      <c r="K54" s="9"/>
      <c r="L54" s="9"/>
      <c r="M54" s="9"/>
      <c r="N54" s="9"/>
      <c r="O54" s="9"/>
      <c r="P54" s="9"/>
      <c r="R54" s="9"/>
      <c r="S54" s="9"/>
      <c r="T54" s="9"/>
      <c r="U54" s="9"/>
      <c r="V54" s="9"/>
      <c r="W54" s="9"/>
    </row>
    <row r="55" spans="10:23" ht="19.5" customHeight="1" x14ac:dyDescent="0.25">
      <c r="J55" s="9"/>
      <c r="K55" s="9"/>
      <c r="L55" s="9"/>
      <c r="M55" s="9"/>
      <c r="N55" s="9"/>
      <c r="O55" s="9"/>
      <c r="P55" s="9"/>
      <c r="R55" s="9"/>
      <c r="S55" s="9"/>
      <c r="T55" s="9"/>
      <c r="U55" s="9"/>
      <c r="V55" s="9"/>
      <c r="W55" s="9"/>
    </row>
    <row r="56" spans="10:23" ht="4.5" customHeight="1" x14ac:dyDescent="0.25">
      <c r="J56" s="9"/>
      <c r="K56" s="9"/>
      <c r="L56" s="9"/>
      <c r="M56" s="9"/>
      <c r="N56" s="9"/>
      <c r="O56" s="9"/>
      <c r="P56" s="9"/>
      <c r="R56" s="9"/>
      <c r="S56" s="9"/>
      <c r="T56" s="9"/>
      <c r="U56" s="9"/>
      <c r="V56" s="9"/>
      <c r="W56" s="9"/>
    </row>
    <row r="57" spans="10:23" ht="19.5" customHeight="1" x14ac:dyDescent="0.25">
      <c r="J57" s="9"/>
      <c r="K57" s="9"/>
      <c r="L57" s="9"/>
      <c r="M57" s="9"/>
      <c r="N57" s="9"/>
      <c r="O57" s="9"/>
      <c r="P57" s="9"/>
      <c r="R57" s="9"/>
      <c r="S57" s="9"/>
      <c r="T57" s="9"/>
      <c r="U57" s="9"/>
      <c r="V57" s="9"/>
      <c r="W57" s="9"/>
    </row>
    <row r="58" spans="10:23" ht="4.5" customHeight="1" x14ac:dyDescent="0.25">
      <c r="J58" s="9"/>
      <c r="K58" s="9"/>
      <c r="L58" s="9"/>
      <c r="M58" s="9"/>
      <c r="N58" s="9"/>
      <c r="O58" s="9"/>
      <c r="P58" s="9"/>
      <c r="R58" s="9"/>
      <c r="S58" s="9"/>
      <c r="T58" s="9"/>
      <c r="U58" s="9"/>
      <c r="V58" s="9"/>
      <c r="W58" s="9"/>
    </row>
    <row r="59" spans="10:23" ht="19.5" customHeight="1" x14ac:dyDescent="0.25">
      <c r="J59" s="9"/>
      <c r="K59" s="9"/>
      <c r="L59" s="9"/>
      <c r="M59" s="9"/>
      <c r="N59" s="9"/>
      <c r="O59" s="9"/>
      <c r="P59" s="9"/>
      <c r="R59" s="9"/>
      <c r="S59" s="9"/>
      <c r="T59" s="9"/>
      <c r="U59" s="9"/>
      <c r="V59" s="9"/>
      <c r="W59" s="9"/>
    </row>
    <row r="60" spans="10:23" ht="4.5" customHeight="1" x14ac:dyDescent="0.25">
      <c r="J60" s="9"/>
      <c r="K60" s="9"/>
      <c r="L60" s="9"/>
      <c r="M60" s="9"/>
      <c r="N60" s="9"/>
      <c r="O60" s="9"/>
      <c r="P60" s="9"/>
      <c r="R60" s="9"/>
      <c r="S60" s="9"/>
      <c r="T60" s="9"/>
      <c r="U60" s="9"/>
      <c r="V60" s="9"/>
      <c r="W60" s="9"/>
    </row>
    <row r="61" spans="10:23" ht="19.5" customHeight="1" x14ac:dyDescent="0.25">
      <c r="J61" s="9"/>
      <c r="K61" s="9"/>
      <c r="L61" s="9"/>
      <c r="M61" s="9"/>
      <c r="N61" s="9"/>
      <c r="O61" s="9"/>
      <c r="P61" s="9"/>
      <c r="R61" s="9"/>
      <c r="S61" s="9"/>
      <c r="T61" s="9"/>
      <c r="U61" s="9"/>
      <c r="V61" s="9"/>
      <c r="W61" s="9"/>
    </row>
    <row r="62" spans="10:23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10:23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10:23" ht="4.5" customHeight="1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4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4.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x14ac:dyDescent="0.25">
      <c r="K88" s="13" t="str">
        <f ca="1">"© Excelerated Consulting Pty Ltd 2001-" &amp; YEAR(NOW())</f>
        <v>© Excelerated Consulting Pty Ltd 2001-2025</v>
      </c>
    </row>
  </sheetData>
  <sheetProtection sheet="1" objects="1" scenarios="1"/>
  <mergeCells count="7">
    <mergeCell ref="L53:O53"/>
    <mergeCell ref="S53:V53"/>
    <mergeCell ref="B1:D1"/>
    <mergeCell ref="B9:D9"/>
    <mergeCell ref="B17:D17"/>
    <mergeCell ref="B25:D25"/>
    <mergeCell ref="K48:U48"/>
  </mergeCells>
  <conditionalFormatting sqref="R53:W53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9" r:id="rId4" name="TIButton4">
          <controlPr defaultSize="0" print="0" autoLine="0" r:id="rId5">
            <anchor moveWithCells="1" sizeWithCells="1">
              <from>
                <xdr:col>18</xdr:col>
                <xdr:colOff>285750</xdr:colOff>
                <xdr:row>60</xdr:row>
                <xdr:rowOff>161925</xdr:rowOff>
              </from>
              <to>
                <xdr:col>21</xdr:col>
                <xdr:colOff>1038225</xdr:colOff>
                <xdr:row>62</xdr:row>
                <xdr:rowOff>38100</xdr:rowOff>
              </to>
            </anchor>
          </controlPr>
        </control>
      </mc:Choice>
      <mc:Fallback>
        <control shapeId="1049" r:id="rId4" name="TIButton4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r:id="rId7">
            <anchor moveWithCells="1" sizeWithCells="1">
              <from>
                <xdr:col>11</xdr:col>
                <xdr:colOff>0</xdr:colOff>
                <xdr:row>53</xdr:row>
                <xdr:rowOff>47625</xdr:rowOff>
              </from>
              <to>
                <xdr:col>14</xdr:col>
                <xdr:colOff>752475</xdr:colOff>
                <xdr:row>56</xdr:row>
                <xdr:rowOff>0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11</xdr:col>
                <xdr:colOff>0</xdr:colOff>
                <xdr:row>56</xdr:row>
                <xdr:rowOff>47625</xdr:rowOff>
              </from>
              <to>
                <xdr:col>14</xdr:col>
                <xdr:colOff>752475</xdr:colOff>
                <xdr:row>58</xdr:row>
                <xdr:rowOff>57150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7" r:id="rId10" name="TIButton3">
          <controlPr defaultSize="0" print="0" autoLine="0" r:id="rId11">
            <anchor moveWithCells="1" sizeWithCells="1">
              <from>
                <xdr:col>11</xdr:col>
                <xdr:colOff>0</xdr:colOff>
                <xdr:row>58</xdr:row>
                <xdr:rowOff>104775</xdr:rowOff>
              </from>
              <to>
                <xdr:col>14</xdr:col>
                <xdr:colOff>752475</xdr:colOff>
                <xdr:row>60</xdr:row>
                <xdr:rowOff>114300</xdr:rowOff>
              </to>
            </anchor>
          </controlPr>
        </control>
      </mc:Choice>
      <mc:Fallback>
        <control shapeId="1027" r:id="rId10" name="TIButton3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10</xdr:col>
                <xdr:colOff>123825</xdr:colOff>
                <xdr:row>49</xdr:row>
                <xdr:rowOff>47625</xdr:rowOff>
              </from>
              <to>
                <xdr:col>13</xdr:col>
                <xdr:colOff>38100</xdr:colOff>
                <xdr:row>51</xdr:row>
                <xdr:rowOff>85725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13</xdr:col>
                <xdr:colOff>57150</xdr:colOff>
                <xdr:row>49</xdr:row>
                <xdr:rowOff>47625</xdr:rowOff>
              </from>
              <to>
                <xdr:col>15</xdr:col>
                <xdr:colOff>352425</xdr:colOff>
                <xdr:row>51</xdr:row>
                <xdr:rowOff>85725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15</xdr:col>
                <xdr:colOff>371475</xdr:colOff>
                <xdr:row>49</xdr:row>
                <xdr:rowOff>38100</xdr:rowOff>
              </from>
              <to>
                <xdr:col>19</xdr:col>
                <xdr:colOff>1104900</xdr:colOff>
                <xdr:row>51</xdr:row>
                <xdr:rowOff>76200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34" r:id="rId18" name="TIButton8">
          <controlPr defaultSize="0" print="0" autoLine="0" r:id="rId19">
            <anchor moveWithCells="1" sizeWithCells="1">
              <from>
                <xdr:col>19</xdr:col>
                <xdr:colOff>1133475</xdr:colOff>
                <xdr:row>49</xdr:row>
                <xdr:rowOff>38100</xdr:rowOff>
              </from>
              <to>
                <xdr:col>22</xdr:col>
                <xdr:colOff>114300</xdr:colOff>
                <xdr:row>51</xdr:row>
                <xdr:rowOff>76200</xdr:rowOff>
              </to>
            </anchor>
          </controlPr>
        </control>
      </mc:Choice>
      <mc:Fallback>
        <control shapeId="1034" r:id="rId18" name="TIButton8"/>
      </mc:Fallback>
    </mc:AlternateContent>
    <mc:AlternateContent xmlns:mc="http://schemas.openxmlformats.org/markup-compatibility/2006">
      <mc:Choice Requires="x14">
        <control shapeId="1035" r:id="rId20" name="TIButton9">
          <controlPr defaultSize="0" print="0" autoLine="0" r:id="rId21">
            <anchor moveWithCells="1" sizeWithCells="1">
              <from>
                <xdr:col>18</xdr:col>
                <xdr:colOff>285750</xdr:colOff>
                <xdr:row>53</xdr:row>
                <xdr:rowOff>47625</xdr:rowOff>
              </from>
              <to>
                <xdr:col>21</xdr:col>
                <xdr:colOff>1038225</xdr:colOff>
                <xdr:row>56</xdr:row>
                <xdr:rowOff>0</xdr:rowOff>
              </to>
            </anchor>
          </controlPr>
        </control>
      </mc:Choice>
      <mc:Fallback>
        <control shapeId="1035" r:id="rId20" name="TIButton9"/>
      </mc:Fallback>
    </mc:AlternateContent>
    <mc:AlternateContent xmlns:mc="http://schemas.openxmlformats.org/markup-compatibility/2006">
      <mc:Choice Requires="x14">
        <control shapeId="1036" r:id="rId22" name="TIButton10">
          <controlPr defaultSize="0" print="0" autoLine="0" r:id="rId23">
            <anchor moveWithCells="1" sizeWithCells="1">
              <from>
                <xdr:col>18</xdr:col>
                <xdr:colOff>285750</xdr:colOff>
                <xdr:row>56</xdr:row>
                <xdr:rowOff>47625</xdr:rowOff>
              </from>
              <to>
                <xdr:col>21</xdr:col>
                <xdr:colOff>1038225</xdr:colOff>
                <xdr:row>58</xdr:row>
                <xdr:rowOff>57150</xdr:rowOff>
              </to>
            </anchor>
          </controlPr>
        </control>
      </mc:Choice>
      <mc:Fallback>
        <control shapeId="1036" r:id="rId22" name="TIButton10"/>
      </mc:Fallback>
    </mc:AlternateContent>
    <mc:AlternateContent xmlns:mc="http://schemas.openxmlformats.org/markup-compatibility/2006">
      <mc:Choice Requires="x14">
        <control shapeId="1037" r:id="rId24" name="TIButton11">
          <controlPr defaultSize="0" print="0" autoLine="0" r:id="rId25">
            <anchor moveWithCells="1" sizeWithCells="1">
              <from>
                <xdr:col>18</xdr:col>
                <xdr:colOff>285750</xdr:colOff>
                <xdr:row>58</xdr:row>
                <xdr:rowOff>104775</xdr:rowOff>
              </from>
              <to>
                <xdr:col>21</xdr:col>
                <xdr:colOff>1038225</xdr:colOff>
                <xdr:row>60</xdr:row>
                <xdr:rowOff>114300</xdr:rowOff>
              </to>
            </anchor>
          </controlPr>
        </control>
      </mc:Choice>
      <mc:Fallback>
        <control shapeId="1037" r:id="rId24" name="TIButton11"/>
      </mc:Fallback>
    </mc:AlternateContent>
    <mc:AlternateContent xmlns:mc="http://schemas.openxmlformats.org/markup-compatibility/2006">
      <mc:Choice Requires="x14">
        <control shapeId="1045" r:id="rId26" name="TIButton18">
          <controlPr defaultSize="0" print="0" autoLine="0" r:id="rId27">
            <anchor moveWithCells="1" sizeWithCells="1">
              <from>
                <xdr:col>11</xdr:col>
                <xdr:colOff>0</xdr:colOff>
                <xdr:row>60</xdr:row>
                <xdr:rowOff>161925</xdr:rowOff>
              </from>
              <to>
                <xdr:col>14</xdr:col>
                <xdr:colOff>752475</xdr:colOff>
                <xdr:row>62</xdr:row>
                <xdr:rowOff>38100</xdr:rowOff>
              </to>
            </anchor>
          </controlPr>
        </control>
      </mc:Choice>
      <mc:Fallback>
        <control shapeId="1045" r:id="rId26" name="TIButton18"/>
      </mc:Fallback>
    </mc:AlternateContent>
    <mc:AlternateContent xmlns:mc="http://schemas.openxmlformats.org/markup-compatibility/2006">
      <mc:Choice Requires="x14">
        <control shapeId="1048" r:id="rId28" name="TIButton21">
          <controlPr defaultSize="0" print="0" autoLine="0" r:id="rId29">
            <anchor moveWithCells="1" sizeWithCells="1">
              <from>
                <xdr:col>11</xdr:col>
                <xdr:colOff>0</xdr:colOff>
                <xdr:row>62</xdr:row>
                <xdr:rowOff>85725</xdr:rowOff>
              </from>
              <to>
                <xdr:col>14</xdr:col>
                <xdr:colOff>752475</xdr:colOff>
                <xdr:row>64</xdr:row>
                <xdr:rowOff>152400</xdr:rowOff>
              </to>
            </anchor>
          </controlPr>
        </control>
      </mc:Choice>
      <mc:Fallback>
        <control shapeId="1048" r:id="rId28" name="TIButton21"/>
      </mc:Fallback>
    </mc:AlternateContent>
    <mc:AlternateContent xmlns:mc="http://schemas.openxmlformats.org/markup-compatibility/2006">
      <mc:Choice Requires="x14">
        <control shapeId="1050" r:id="rId30" name="TIButton12">
          <controlPr defaultSize="0" print="0" autoLine="0" autoPict="0" r:id="rId31">
            <anchor moveWithCells="1" sizeWithCells="1">
              <from>
                <xdr:col>18</xdr:col>
                <xdr:colOff>285750</xdr:colOff>
                <xdr:row>62</xdr:row>
                <xdr:rowOff>85725</xdr:rowOff>
              </from>
              <to>
                <xdr:col>21</xdr:col>
                <xdr:colOff>1038225</xdr:colOff>
                <xdr:row>64</xdr:row>
                <xdr:rowOff>152400</xdr:rowOff>
              </to>
            </anchor>
          </controlPr>
        </control>
      </mc:Choice>
      <mc:Fallback>
        <control shapeId="1050" r:id="rId30" name="TIButton1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Menu</vt:lpstr>
      <vt:lpstr>db_name</vt:lpstr>
      <vt:lpstr>home</vt:lpstr>
      <vt:lpstr>Menu</vt:lpstr>
      <vt:lpstr>psUser</vt:lpstr>
      <vt:lpstr>TM1AdminFavAccCAP</vt:lpstr>
      <vt:lpstr>TM1AdminFavAccWB</vt:lpstr>
      <vt:lpstr>TM1AdminFavAccWS</vt:lpstr>
      <vt:lpstr>TM1AdminFavAppCAP</vt:lpstr>
      <vt:lpstr>TM1AdminFavAppWB</vt:lpstr>
      <vt:lpstr>TM1AdminFavAppWS</vt:lpstr>
      <vt:lpstr>TM1AdminFavListCAP</vt:lpstr>
      <vt:lpstr>TM1AdminFavListWB</vt:lpstr>
      <vt:lpstr>TM1AdminFavListWS</vt:lpstr>
      <vt:lpstr>TM1AdminFavProgCAP</vt:lpstr>
      <vt:lpstr>TM1AdminFavProgWB</vt:lpstr>
      <vt:lpstr>TM1AdminFavProgWS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2025-08-05T04:53:50Z</dcterms:modified>
</cp:coreProperties>
</file>