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A3F5C569-3857-4083-AFB5-BD10EC35E3D2}" xr6:coauthVersionLast="47" xr6:coauthVersionMax="47" xr10:uidLastSave="{00000000-0000-0000-0000-000000000000}"/>
  <bookViews>
    <workbookView xWindow="57480" yWindow="-1965" windowWidth="29040" windowHeight="15840" xr2:uid="{00000000-000D-0000-FFFF-FFFF00000000}"/>
  </bookViews>
  <sheets>
    <sheet name="header" sheetId="1" r:id="rId1"/>
    <sheet name="{PL}PickLst" sheetId="2" state="hidden" r:id="rId2"/>
  </sheets>
  <definedNames>
    <definedName name="db_name">header!$B$2</definedName>
    <definedName name="psApp">header!$B$16</definedName>
    <definedName name="psControlType">header!$B$76</definedName>
    <definedName name="psDesc">header!$B$80</definedName>
    <definedName name="psFavID">header!#REF!</definedName>
    <definedName name="psFunc">header!#REF!</definedName>
    <definedName name="psHLYear">header!$B$37</definedName>
    <definedName name="psID">header!$B$39</definedName>
    <definedName name="psItem">header!#REF!</definedName>
    <definedName name="psMeasCode">header!$B$78</definedName>
    <definedName name="psOC">header!#REF!</definedName>
    <definedName name="psProg">header!#REF!</definedName>
    <definedName name="psReason">header!$B$77</definedName>
    <definedName name="psScenario">header!$B$38</definedName>
    <definedName name="psSPP">header!#REF!</definedName>
    <definedName name="psStatus">header!$B$59</definedName>
    <definedName name="psTitle">header!$B$79</definedName>
    <definedName name="psType">header!#REF!</definedName>
    <definedName name="psUser">header!$B$7</definedName>
    <definedName name="TM1AdjIDListCAP">header!$C$21</definedName>
    <definedName name="TM1AdjIDListWB">header!$E$21</definedName>
    <definedName name="TM1AdjIDListWS">header!$G$21</definedName>
    <definedName name="TM1BackToAdjWB">header!$B$30</definedName>
    <definedName name="TM1BackToAdjWS">header!$C$30</definedName>
    <definedName name="TM1GrpEditAdj01CAP">header!$C$25</definedName>
    <definedName name="TM1GrpEditAdj01WB">header!$E$25</definedName>
    <definedName name="TM1GrpEditAdj01WS">header!$G$25</definedName>
    <definedName name="TM1GrpNewAdj02ExpDataEntryCAP">header!$C$24</definedName>
    <definedName name="TM1GrpNewAdj02ExpDataEntryWB">header!$E$24</definedName>
    <definedName name="TM1GrpNewAdj02ExpDataEntryWS">header!$G$24</definedName>
    <definedName name="TM1GrpNewAdj08RecogDataEntryCAP">header!$C$27</definedName>
    <definedName name="TM1GrpNewAdj08RecogDataEntryWB">header!$E$27</definedName>
    <definedName name="TM1GrpNewAdj08RecogDataEntryWS">header!$G$27</definedName>
    <definedName name="TM1GrpViewAdj01HeaderCAP">header!$C$26</definedName>
    <definedName name="TM1GrpViewAdj01HeaderWB">header!$E$26</definedName>
    <definedName name="TM1GrpViewAdj01HeaderWS">header!$G$26</definedName>
    <definedName name="TM1HomeAEAccVarCAP">header!$C$23</definedName>
    <definedName name="TM1HomeAEAccVarWB">header!$E$23</definedName>
    <definedName name="TM1HomeAEAccVarWS">header!$G$23</definedName>
    <definedName name="TM1HomeAECAP">header!$C$19</definedName>
    <definedName name="TM1HomeAEDataEntryCAP">header!$C$20</definedName>
    <definedName name="TM1HomeAEDataEntryWB">header!$E$20</definedName>
    <definedName name="TM1HomeAEDataEntryWS">header!$G$20</definedName>
    <definedName name="TM1HomeAEWB">header!$E$19</definedName>
    <definedName name="TM1HomeAEWS">header!$G$19</definedName>
    <definedName name="TM1HomeCAP">header!$C$18</definedName>
    <definedName name="TM1HomeWB">header!$E$18</definedName>
    <definedName name="TM1HomeWS">header!$G$18</definedName>
    <definedName name="TM1NewAdj02DataEntryCAP">header!$C$22</definedName>
    <definedName name="TM1NewAdj02DataEntryWB">header!$E$22</definedName>
    <definedName name="TM1NewAdj02DataEntryWS">header!$G$22</definedName>
    <definedName name="TM1REBUILDOPTION">1</definedName>
    <definedName name="TM1RPTDATARNG1" localSheetId="0">header!#REF!</definedName>
    <definedName name="TM1RPTFMTIDCOL" localSheetId="0">header!#REF!</definedName>
    <definedName name="TM1RPTFMTRNG" localSheetId="0">header!#REF!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3" i="1" l="1" a="1"/>
  <c r="B33" i="1"/>
  <c r="B3" i="1" a="1"/>
  <c r="B3" i="1"/>
  <c r="B4" i="1" a="1"/>
  <c r="B4" i="1"/>
  <c r="B5" i="1" a="1"/>
  <c r="B5" i="1"/>
  <c r="B7" i="1"/>
  <c r="B37" i="1" a="1"/>
  <c r="B37" i="1"/>
  <c r="B56" i="1" a="1"/>
  <c r="B56" i="1"/>
  <c r="B38" i="1" a="1"/>
  <c r="B38" i="1"/>
  <c r="B57" i="1" a="1"/>
  <c r="B57" i="1"/>
  <c r="B39" i="1" a="1"/>
  <c r="B39" i="1"/>
  <c r="B58" i="1" a="1"/>
  <c r="B58" i="1"/>
  <c r="B55" i="1" a="1"/>
  <c r="B55" i="1"/>
  <c r="B60" i="1" a="1"/>
  <c r="B60" i="1"/>
  <c r="B15" i="1" a="1"/>
  <c r="B15" i="1"/>
  <c r="G27" i="1" a="1"/>
  <c r="G27" i="1"/>
  <c r="G24" i="1" a="1"/>
  <c r="G24" i="1"/>
  <c r="C30" i="1"/>
  <c r="E27" i="1" a="1"/>
  <c r="E27" i="1"/>
  <c r="E24" i="1" a="1"/>
  <c r="E24" i="1"/>
  <c r="B30" i="1"/>
  <c r="F27" i="1" a="1"/>
  <c r="F27" i="1"/>
  <c r="D27" i="1" a="1"/>
  <c r="D27" i="1"/>
  <c r="C27" i="1" a="1"/>
  <c r="C27" i="1"/>
  <c r="B27" i="1" a="1"/>
  <c r="B27" i="1"/>
  <c r="B36" i="1" a="1"/>
  <c r="B36" i="1"/>
  <c r="P109" i="1" a="1"/>
  <c r="P109" i="1"/>
  <c r="B35" i="1" a="1"/>
  <c r="B35" i="1"/>
  <c r="M109" i="1" a="1"/>
  <c r="M109" i="1"/>
  <c r="P105" i="1" a="1"/>
  <c r="P105" i="1"/>
  <c r="M105" i="1" a="1"/>
  <c r="M105" i="1"/>
  <c r="P101" i="1" a="1"/>
  <c r="P101" i="1"/>
  <c r="M101" i="1" a="1"/>
  <c r="M101" i="1"/>
  <c r="P99" i="1" a="1"/>
  <c r="P99" i="1"/>
  <c r="M99" i="1" a="1"/>
  <c r="M99" i="1"/>
  <c r="P97" i="1" a="1"/>
  <c r="P97" i="1"/>
  <c r="B66" i="1" a="1"/>
  <c r="B66" i="1"/>
  <c r="M95" i="1" a="1"/>
  <c r="M95" i="1"/>
  <c r="B67" i="1" a="1"/>
  <c r="B67" i="1"/>
  <c r="B72" i="1"/>
  <c r="B73" i="1" a="1"/>
  <c r="B73" i="1"/>
  <c r="M97" i="1" a="1"/>
  <c r="M97" i="1"/>
  <c r="B70" i="1"/>
  <c r="B97" i="1" a="1"/>
  <c r="B97" i="1"/>
  <c r="P95" i="1" a="1"/>
  <c r="P95" i="1"/>
  <c r="B10" i="1" a="1"/>
  <c r="B10" i="1"/>
  <c r="B11" i="1" a="1"/>
  <c r="B11" i="1"/>
  <c r="B12" i="1" a="1"/>
  <c r="B12" i="1"/>
  <c r="B63" i="1" a="1"/>
  <c r="B63" i="1"/>
  <c r="B59" i="1" a="1"/>
  <c r="B59" i="1"/>
  <c r="C52" i="1" a="1"/>
  <c r="C52" i="1"/>
  <c r="B52" i="1" a="1"/>
  <c r="B52" i="1"/>
  <c r="C51" i="1" a="1"/>
  <c r="C51" i="1"/>
  <c r="B51" i="1" a="1"/>
  <c r="B51" i="1"/>
  <c r="C50" i="1" a="1"/>
  <c r="C50" i="1"/>
  <c r="B50" i="1" a="1"/>
  <c r="B50" i="1"/>
  <c r="C49" i="1" a="1"/>
  <c r="C49" i="1"/>
  <c r="B49" i="1" a="1"/>
  <c r="B49" i="1"/>
  <c r="C48" i="1" a="1"/>
  <c r="C48" i="1"/>
  <c r="B48" i="1" a="1"/>
  <c r="B48" i="1"/>
  <c r="C47" i="1" a="1"/>
  <c r="C47" i="1"/>
  <c r="B47" i="1" a="1"/>
  <c r="B47" i="1"/>
  <c r="C46" i="1" a="1"/>
  <c r="C46" i="1"/>
  <c r="B46" i="1" a="1"/>
  <c r="B46" i="1"/>
  <c r="C45" i="1" a="1"/>
  <c r="C45" i="1"/>
  <c r="B45" i="1" a="1"/>
  <c r="B45" i="1"/>
  <c r="C44" i="1" a="1"/>
  <c r="C44" i="1"/>
  <c r="B44" i="1" a="1"/>
  <c r="B44" i="1"/>
  <c r="C43" i="1" a="1"/>
  <c r="C43" i="1"/>
  <c r="B43" i="1" a="1"/>
  <c r="B43" i="1"/>
  <c r="C42" i="1" a="1"/>
  <c r="C42" i="1"/>
  <c r="B42" i="1" a="1"/>
  <c r="B42" i="1"/>
  <c r="C41" i="1" a="1"/>
  <c r="C41" i="1"/>
  <c r="B41" i="1" a="1"/>
  <c r="B41" i="1"/>
  <c r="C40" i="1" a="1"/>
  <c r="C40" i="1"/>
  <c r="B40" i="1" a="1"/>
  <c r="B40" i="1"/>
  <c r="C39" i="1" a="1"/>
  <c r="C39" i="1"/>
  <c r="C38" i="1" a="1"/>
  <c r="C38" i="1"/>
  <c r="C37" i="1" a="1"/>
  <c r="C37" i="1"/>
  <c r="G26" i="1" a="1"/>
  <c r="G26" i="1"/>
  <c r="F26" i="1" a="1"/>
  <c r="F26" i="1"/>
  <c r="E26" i="1" a="1"/>
  <c r="E26" i="1"/>
  <c r="D26" i="1" a="1"/>
  <c r="D26" i="1"/>
  <c r="C26" i="1" a="1"/>
  <c r="C26" i="1"/>
  <c r="B26" i="1" a="1"/>
  <c r="B26" i="1"/>
  <c r="G25" i="1" a="1"/>
  <c r="G25" i="1"/>
  <c r="F25" i="1" a="1"/>
  <c r="F25" i="1"/>
  <c r="E25" i="1" a="1"/>
  <c r="E25" i="1"/>
  <c r="D25" i="1" a="1"/>
  <c r="D25" i="1"/>
  <c r="C25" i="1" a="1"/>
  <c r="C25" i="1"/>
  <c r="B25" i="1" a="1"/>
  <c r="B25" i="1"/>
  <c r="F24" i="1" a="1"/>
  <c r="F24" i="1"/>
  <c r="D24" i="1" a="1"/>
  <c r="D24" i="1"/>
  <c r="C24" i="1" a="1"/>
  <c r="C24" i="1"/>
  <c r="B24" i="1" a="1"/>
  <c r="B24" i="1"/>
  <c r="G23" i="1" a="1"/>
  <c r="G23" i="1"/>
  <c r="F23" i="1" a="1"/>
  <c r="F23" i="1"/>
  <c r="E23" i="1" a="1"/>
  <c r="E23" i="1"/>
  <c r="D23" i="1" a="1"/>
  <c r="D23" i="1"/>
  <c r="C23" i="1" a="1"/>
  <c r="C23" i="1"/>
  <c r="B23" i="1" a="1"/>
  <c r="B23" i="1"/>
  <c r="G22" i="1" a="1"/>
  <c r="G22" i="1"/>
  <c r="F22" i="1" a="1"/>
  <c r="F22" i="1"/>
  <c r="E22" i="1" a="1"/>
  <c r="E22" i="1"/>
  <c r="D22" i="1" a="1"/>
  <c r="D22" i="1"/>
  <c r="C22" i="1" a="1"/>
  <c r="C22" i="1"/>
  <c r="B22" i="1" a="1"/>
  <c r="B22" i="1"/>
  <c r="G21" i="1" a="1"/>
  <c r="G21" i="1"/>
  <c r="F21" i="1" a="1"/>
  <c r="F21" i="1"/>
  <c r="E21" i="1" a="1"/>
  <c r="E21" i="1"/>
  <c r="D21" i="1" a="1"/>
  <c r="D21" i="1"/>
  <c r="C21" i="1" a="1"/>
  <c r="C21" i="1"/>
  <c r="B21" i="1" a="1"/>
  <c r="B21" i="1"/>
  <c r="G20" i="1" a="1"/>
  <c r="G20" i="1"/>
  <c r="F20" i="1" a="1"/>
  <c r="F20" i="1"/>
  <c r="E20" i="1" a="1"/>
  <c r="E20" i="1"/>
  <c r="D20" i="1" a="1"/>
  <c r="D20" i="1"/>
  <c r="C20" i="1" a="1"/>
  <c r="C20" i="1"/>
  <c r="B20" i="1" a="1"/>
  <c r="B20" i="1"/>
  <c r="G19" i="1" a="1"/>
  <c r="G19" i="1"/>
  <c r="F19" i="1" a="1"/>
  <c r="F19" i="1"/>
  <c r="E19" i="1" a="1"/>
  <c r="E19" i="1"/>
  <c r="D19" i="1" a="1"/>
  <c r="D19" i="1"/>
  <c r="C19" i="1" a="1"/>
  <c r="C19" i="1"/>
  <c r="B19" i="1" a="1"/>
  <c r="B19" i="1"/>
  <c r="G18" i="1" a="1"/>
  <c r="G18" i="1"/>
  <c r="F18" i="1" a="1"/>
  <c r="F18" i="1"/>
  <c r="E18" i="1" a="1"/>
  <c r="E18" i="1"/>
  <c r="D18" i="1" a="1"/>
  <c r="D18" i="1"/>
  <c r="C18" i="1" a="1"/>
  <c r="C18" i="1"/>
  <c r="B18" i="1" a="1"/>
  <c r="B18" i="1"/>
  <c r="B6" i="1" a="1"/>
  <c r="B6" i="1"/>
  <c r="M93" i="1"/>
  <c r="F33" i="1"/>
  <c r="M107" i="1"/>
  <c r="M106" i="1"/>
  <c r="O91" i="1"/>
  <c r="M91" i="1"/>
  <c r="B81" i="1"/>
  <c r="B80" i="1"/>
  <c r="B79" i="1"/>
  <c r="B78" i="1"/>
  <c r="B77" i="1"/>
  <c r="B76" i="1"/>
  <c r="M103" i="1"/>
  <c r="M10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<sst xmlns="http://schemas.openxmlformats.org/spreadsheetml/2006/main" count="450" uniqueCount="440">
  <si>
    <t>headline year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</si>
  <si>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</si>
  <si>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</si>
  <si>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</si>
  <si>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</si>
  <si>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</si>
  <si>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</si>
  <si>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</si>
  <si>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</si>
  <si>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</si>
  <si>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</si>
  <si>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Client Preference</t>
  </si>
  <si>
    <t>value</t>
  </si>
  <si>
    <t>validate</t>
  </si>
  <si>
    <t>geus hl year</t>
  </si>
  <si>
    <t>geus scenario</t>
  </si>
  <si>
    <t>geus adj</t>
  </si>
  <si>
    <t>geus programme</t>
  </si>
  <si>
    <t>sys_admin archive status</t>
  </si>
  <si>
    <t>AE ID Details</t>
  </si>
  <si>
    <t>Headline Year</t>
  </si>
  <si>
    <t>Scenario</t>
  </si>
  <si>
    <t>Programme</t>
  </si>
  <si>
    <t>Slice</t>
  </si>
  <si>
    <t>ID</t>
  </si>
  <si>
    <t>sys_application MDX</t>
  </si>
  <si>
    <t>Slice View (sys_application)</t>
  </si>
  <si>
    <t>Homepage - Home</t>
  </si>
  <si>
    <t>Homepage - Annual Estimates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</si>
  <si>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</si>
  <si>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</si>
  <si>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</si>
  <si>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</si>
  <si>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</si>
  <si>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</si>
  <si>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</si>
  <si>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Data Entry - New Adj 02 - Adjustment Entry</t>
  </si>
  <si>
    <t>Homepage - Annual Estimates - Data Entry</t>
  </si>
  <si>
    <t>Current Workbook</t>
  </si>
  <si>
    <t>Adjustment - ID List</t>
  </si>
  <si>
    <t>Reason :</t>
  </si>
  <si>
    <t>Control Type  :</t>
  </si>
  <si>
    <t>Subsets To Use In Data Entry</t>
  </si>
  <si>
    <t>Title :</t>
  </si>
  <si>
    <t>Description :</t>
  </si>
  <si>
    <t>Measure Code :</t>
  </si>
  <si>
    <t>Values Used For Cube</t>
  </si>
  <si>
    <t>adj_control type</t>
  </si>
  <si>
    <t>adj_programme code</t>
  </si>
  <si>
    <t>adj_reason</t>
  </si>
  <si>
    <t>adj_measure code</t>
  </si>
  <si>
    <t>adj_title</t>
  </si>
  <si>
    <t>adj_description</t>
  </si>
  <si>
    <t>adj_outcome</t>
  </si>
  <si>
    <t>adj_function</t>
  </si>
  <si>
    <t>adj_spp</t>
  </si>
  <si>
    <t>adj_appropriation type</t>
  </si>
  <si>
    <t>adj_appropriation item</t>
  </si>
  <si>
    <t>Values To Send</t>
  </si>
  <si>
    <t>sys_client preference measure</t>
  </si>
  <si>
    <t>Prepopulate Values</t>
  </si>
  <si>
    <t>Measure Code</t>
  </si>
  <si>
    <t>Send Measure Code</t>
  </si>
  <si>
    <t>Subset Measure Code</t>
  </si>
  <si>
    <t>Subset Measure Code First Element</t>
  </si>
  <si>
    <t>Programme Details</t>
  </si>
  <si>
    <t>Parameters To Send</t>
  </si>
  <si>
    <t>psControlType</t>
  </si>
  <si>
    <t>psReason</t>
  </si>
  <si>
    <t>psMeasCode</t>
  </si>
  <si>
    <t>psTitle</t>
  </si>
  <si>
    <t>psDesc</t>
  </si>
  <si>
    <t>Attribute Cubes</t>
  </si>
  <si>
    <t>TO SEND TO CLIENT</t>
  </si>
  <si>
    <t>Reason Code Attributes</t>
  </si>
  <si>
    <t>reason</t>
  </si>
  <si>
    <t>measure required</t>
  </si>
  <si>
    <t>No Measure</t>
  </si>
  <si>
    <t>Apply Parameters :</t>
  </si>
  <si>
    <t>psApplyParam</t>
  </si>
  <si>
    <t>GEUS ID :</t>
  </si>
  <si>
    <t>Status :</t>
  </si>
  <si>
    <t>status</t>
  </si>
  <si>
    <t>Comments :</t>
  </si>
  <si>
    <t>adj_comments</t>
  </si>
  <si>
    <t>adj_apply param</t>
  </si>
  <si>
    <t>Edit Group Adjustment Details</t>
  </si>
  <si>
    <t>Homepage - Annual Estimates - Account Variation</t>
  </si>
  <si>
    <t>Group Data Entry - New Adj 02 - Expense Data Entry</t>
  </si>
  <si>
    <t>Group Data Entry - Edit Adj 01 - Header Details</t>
  </si>
  <si>
    <t>Group Data Entry - View Adj 01 - Header Details</t>
  </si>
  <si>
    <t>-</t>
  </si>
  <si>
    <t>A001-00001-05000 - Appropriation Act (No. 1) - Operating</t>
  </si>
  <si>
    <t>A001-00001-05001 - Appropriation Act (No. 1) - Departmental Capital Budget</t>
  </si>
  <si>
    <t>A001-00002-05000 - Appropriation Act (No. 3) - Operating</t>
  </si>
  <si>
    <t>A001-00002-05001 - Appropriation Act (No. 3) - Departmental Capital Budget</t>
  </si>
  <si>
    <t>A001-00003-05000 - Appropriation Act (No. 5) - Operating</t>
  </si>
  <si>
    <t>A001-00003-05001 - Appropriation Act (No. 5) - Departmental Capital Budget</t>
  </si>
  <si>
    <t>A001-00004-05000 - Appropriation Act (No. 7) - Operating</t>
  </si>
  <si>
    <t>A001-00004-05001 - Appropriation Act (No. 7) - Departmental Capital Budget</t>
  </si>
  <si>
    <t>A001-00016-05000 - Supply Act (No. 1) - Operating</t>
  </si>
  <si>
    <t>A001-00016-05001 - Supply Act (No. 1) - Departmental Capital Budget</t>
  </si>
  <si>
    <t>A002-00005-05002 - Appropriation Act (No. 2) - SPP</t>
  </si>
  <si>
    <t>A002-00005-05003 - Appropriation Act (No. 2) - New Administered Outcomes</t>
  </si>
  <si>
    <t>A002-00005-05004 - Appropriation Act (No. 2) - Equity Injections</t>
  </si>
  <si>
    <t>A002-00005-05005 - Appropriation Act (No. 2) - Admin Assets and Liabilities</t>
  </si>
  <si>
    <t>A002-00005-05007 - Appropriation Act (No. 2) - Loan</t>
  </si>
  <si>
    <t>A002-00006-05002 - Appropriation Act (No. 4) - SPP</t>
  </si>
  <si>
    <t>A002-00006-05003 - Appropriation Act (No. 4) - New Administered Outcomes</t>
  </si>
  <si>
    <t>A002-00006-05004 - Appropriation Act (No. 4) - Equity Injections</t>
  </si>
  <si>
    <t>A002-00006-05005 - Appropriation Act (No. 4) - Admin Assets and Liabilities</t>
  </si>
  <si>
    <t>A002-00006-05007 - Appropriation Act (No. 4) - Loan</t>
  </si>
  <si>
    <t>A002-00007-05002 - Appropriation Act (No. 6) - SPP</t>
  </si>
  <si>
    <t>A002-00007-05003 - Appropriation Act (No. 6) - New Administered Outcomes</t>
  </si>
  <si>
    <t>A002-00007-05004 - Appropriation Act (No. 6) - Equity Injections</t>
  </si>
  <si>
    <t>A002-00007-05005 - Appropriation Act (No. 6) - Admin Assets and Liabilities</t>
  </si>
  <si>
    <t>A002-00007-05007 - Appropriation Act (No. 6) - Loan</t>
  </si>
  <si>
    <t>A002-00008-05002 - Appropriation Act (No. 8) - SPP</t>
  </si>
  <si>
    <t>A002-00008-05003 - Appropriation Act (No. 8) - New Administered Outcomes</t>
  </si>
  <si>
    <t>A002-00008-05004 - Appropriation Act (No. 8) - Equity Injections</t>
  </si>
  <si>
    <t>A002-00008-05005 - Appropriation Act (No. 8) - Admin Assets and Liabilities</t>
  </si>
  <si>
    <t>A002-00008-05007 - Appropriation Act (No. 8) - Loan</t>
  </si>
  <si>
    <t>A002-00017-05002 - Supply Act (No. 2) - SPP</t>
  </si>
  <si>
    <t>A002-00017-05003 - Supply Act (No. 2) - New Administered Outcomes</t>
  </si>
  <si>
    <t>A002-00017-05004 - Supply Act (No. 2) - Equity Injections</t>
  </si>
  <si>
    <t>A002-00017-05005 - Supply Act (No. 2) - Admin Assets and Liabilities</t>
  </si>
  <si>
    <t>A002-00017-05007 - Supply Act (No. 2) - Loan</t>
  </si>
  <si>
    <t>A006-00019-05000</t>
  </si>
  <si>
    <t>A006-00019-05001</t>
  </si>
  <si>
    <t>A007-00020-05002</t>
  </si>
  <si>
    <t>A007-00020-05004</t>
  </si>
  <si>
    <t>A009-00013-05006 - GST Increase to Appropriations</t>
  </si>
  <si>
    <t>A010-00014-01436 - Nil Approp Impact</t>
  </si>
  <si>
    <t>A100-10000-04200 - ANTSFAA s233 CCB</t>
  </si>
  <si>
    <t>A100-10000-04201 - ANTSFAA s233 CCR</t>
  </si>
  <si>
    <t>A100-10000-04271 - Special Appropriation - A New Tax System (Family Assistance) (Administration) Act 1999 - s233 Child Care Subsidy</t>
  </si>
  <si>
    <t>A100-10022-04062 - AustEducAct s126</t>
  </si>
  <si>
    <t>A100-10105-04073 - HigherEd s238-12 Edu</t>
  </si>
  <si>
    <t>A100-10196-04061 - SchoolAssis2008 s167</t>
  </si>
  <si>
    <t>A100-10256-04107 - TradeSuppLoan s104</t>
  </si>
  <si>
    <t>A100-10262-04247 - VETStudentLoans s115</t>
  </si>
  <si>
    <t>A200-20061-04076 - SOETM DEEWR</t>
  </si>
  <si>
    <t>A200-20132-04183 - GwthFund SpAcct 2015</t>
  </si>
  <si>
    <t>A200-20162-04066 - NYARS SpAcct 2006</t>
  </si>
  <si>
    <t>A300-30029-04202 - EYQF SpAcct</t>
  </si>
  <si>
    <t>A300-30031-04035 - EIF Education SpAcct</t>
  </si>
  <si>
    <t>A300-30032-04031 - EIF Research SpAcct</t>
  </si>
  <si>
    <t>A300-30056-04047 - OSTuition Fund</t>
  </si>
  <si>
    <t>A300-30081-04106 - Studentdent SpAcct</t>
  </si>
  <si>
    <t>1038 - Coal Mining Industry (Long Service Leave) Payroll Levy Act 1992</t>
  </si>
  <si>
    <t>1039</t>
  </si>
  <si>
    <t>1070 - Australian International Education Foundation International Marketing Account</t>
  </si>
  <si>
    <t>1078 - ARC Research Endowment Account - - s21 FMA Act [s62 Australian Research Council Act 2001]</t>
  </si>
  <si>
    <t>1085 - Book Industry - Education Textbook Subsidy Scheme</t>
  </si>
  <si>
    <t>1097 - COMCARE special public money</t>
  </si>
  <si>
    <t>1128 - Federation Fund Account - DEST</t>
  </si>
  <si>
    <t>1139 - Higher Education (HECS) Account</t>
  </si>
  <si>
    <t>1171 - National Science and Technology Centre Account - - s20 FMA Act - - Questacon</t>
  </si>
  <si>
    <t>1173 - National Youth Affairs Research Scheme Account - DEST</t>
  </si>
  <si>
    <t>1208 - Other Trust Moneys Account - DEST</t>
  </si>
  <si>
    <t>1296 - Services for Other Governments and Non-Agency Bodies - DEST</t>
  </si>
  <si>
    <t>1313 - Special Acc - Super Paymts for Aboriginal Tutor Assistance Sch Tutors</t>
  </si>
  <si>
    <t>1314 - Special Public Monies</t>
  </si>
  <si>
    <t>1319 - Students (Financial Supplement) Account</t>
  </si>
  <si>
    <t>1322 - Superannuation Productivity Benefits ATAS Tutors Account</t>
  </si>
  <si>
    <t>1331 - Unallocated - Special Account</t>
  </si>
  <si>
    <t>1350 - ABSTUDY - Secondary</t>
  </si>
  <si>
    <t>1351 - ABSTUDY - Tertiary</t>
  </si>
  <si>
    <t>1352 - ABSTUDY Student Financial Supplement Loans</t>
  </si>
  <si>
    <t>1355 - Assistance for Isolated Children</t>
  </si>
  <si>
    <t>1365 - Coal Mining Industry (long service leave Funding (Act) 1992</t>
  </si>
  <si>
    <t>1373 - Framework for Open Learning</t>
  </si>
  <si>
    <t>1376 - Grants to foster Literacy and Numeracy - Government</t>
  </si>
  <si>
    <t>1379 - Higher Ed Fund Act - Australian Education International</t>
  </si>
  <si>
    <t>1380 - Higher Ed Fund Act - Inst Grants Scheme (research quantum)</t>
  </si>
  <si>
    <t>1381 - Higher Ed Fund Act - Systemic Infrastructure Initiative</t>
  </si>
  <si>
    <t>1382 - Higher Education Funding Act - Regional Protection Fund</t>
  </si>
  <si>
    <t>1383 - Higher Education Funding Act 1988 and Higher Education Support Act 2003</t>
  </si>
  <si>
    <t>1385 - Indigenous Education (Targeted Assistance) Act 2000</t>
  </si>
  <si>
    <t>1386 - Indigenous Education Strategic Initiatives</t>
  </si>
  <si>
    <t>1413 - Social Security (Administration) Act 1999</t>
  </si>
  <si>
    <t>1415 - States Grants -  SAISO - Government</t>
  </si>
  <si>
    <t>1416 - States Grants - Capital - Government</t>
  </si>
  <si>
    <t>1417 - States Grants - Capital - Non-Government</t>
  </si>
  <si>
    <t>1418 - States Grants - Country Areas - Government</t>
  </si>
  <si>
    <t>1419 - States Grants - Country Areas - Non-Government</t>
  </si>
  <si>
    <t>1420 - States Grants - ESL New Arrivals - Government</t>
  </si>
  <si>
    <t>1421 - States Grants - ESL New Arrivals - Non-Government</t>
  </si>
  <si>
    <t>1422 - States Grants - Languages other than English - Government</t>
  </si>
  <si>
    <t>1423 - States Grants - Languages other than English - Non-Government</t>
  </si>
  <si>
    <t>1424 - States Grants - Recurrent - Government</t>
  </si>
  <si>
    <t>1425 - States Grants - Recurrent - Non-Government</t>
  </si>
  <si>
    <t>1426 - States Grants - SAISO - Non-Government</t>
  </si>
  <si>
    <t>1427 - States Grants - Special Education for Non-Gov Grants</t>
  </si>
  <si>
    <t>1431 - Superannuation Payments for former Commissioners</t>
  </si>
  <si>
    <t>1436 - Unallocated - Special Appropriation</t>
  </si>
  <si>
    <t>1438 - Vocational Education and Training - Funding</t>
  </si>
  <si>
    <t>1439 - Vocational Education and Training - National Programmes</t>
  </si>
  <si>
    <t>1468 - Remuneration and Allowances Act 1990</t>
  </si>
  <si>
    <t>1470 - Remuneration Tribunal Act 1973 - - s7(13) Remuneration (including salary) or allowances</t>
  </si>
  <si>
    <t>1629 - Judicial and Statutory Officers (Remuneration and Allowances) Act 1984</t>
  </si>
  <si>
    <t>1633 - States Grants (Advanced Education) Act 1976</t>
  </si>
  <si>
    <t>1725 - Air Passenger Ticket Levy (Collection) Act 2001 - - s22(5) payments relating to the Special Employee Entitlements Scheme for Ansett Group Employees</t>
  </si>
  <si>
    <t>1843 - Higher Education Funding Act 1988 and Higher Education Support Act 2003 -- unallocated--LrnSch_HE</t>
  </si>
  <si>
    <t>1844 - Higher Education Support Act 2003 -- Learning Scholarships (Higher Ed)</t>
  </si>
  <si>
    <t>1845 - Higher Education Funding Act 1988 -- Learning Scholarships (Higher Ed)</t>
  </si>
  <si>
    <t>1846 - Higher Education Funding Act 1988 and Higher Education Support Act 2003 -- unallocated--ResTrn_HE</t>
  </si>
  <si>
    <t>1847 - Higher Education Support Act 2003 -- Research Training (Higher Ed)</t>
  </si>
  <si>
    <t>1848 - Higher Education Funding Act 1988 -- Research Training (Higher Ed)</t>
  </si>
  <si>
    <t>1849 - Higher Education Funding Act 1988 and Higher Education Support Act 2003 -- unallocated--TrnsFund_HE</t>
  </si>
  <si>
    <t>1850 - Higher Education Support Act 2003 -- Transition Fund (Higher Ed)</t>
  </si>
  <si>
    <t>1851 - Higher Education Funding Act 1988 -- Transition Fund (Higher Ed)</t>
  </si>
  <si>
    <t>1852 - Higher Education Funding Act 1988 and Higher Education Support Act 2003 -- unallocated--Enbl_Ldng_HE</t>
  </si>
  <si>
    <t>1853 - Higher Education Support Act 2003 -- Enabling Loading (Higher Ed)</t>
  </si>
  <si>
    <t>1854 - Higher Education Funding Act 1988 -- Enabling Loading (Higher Ed)</t>
  </si>
  <si>
    <t>1855 - Higher Education Funding Act 1988 and Higher Education Support Act 2003 -- unallocated--IndSprtFndHE</t>
  </si>
  <si>
    <t>1856 - Higher Education Support Act 2003 -- Indigenous Support Fund (Higher Ed)</t>
  </si>
  <si>
    <t>1857 - Higher Education Funding Act 1988 -- Indigenous Support Fund (Higher Ed)</t>
  </si>
  <si>
    <t>1858 - Higher Education Funding Act 1988 and Higher Education Support Act 2003 -- unallocated--Nat_Inst_HE</t>
  </si>
  <si>
    <t>1859 - Higher Education Support Act 2003 -- National Institutes (Higher Ed)</t>
  </si>
  <si>
    <t>1860 - Higher Education Funding Act 1988 -- National Institutes (Higher Ed)</t>
  </si>
  <si>
    <t>1861 - Higher Education Funding Act 1988 and Higher Education Support Act 2003 -- unallocated--Qua_Init_HE</t>
  </si>
  <si>
    <t>1862 - Higher Education Support Act 2003 -- Quality Initiatives (Higher Ed)</t>
  </si>
  <si>
    <t>1863 - Higher Education Funding Act 1988 -- Quality Initiatives (Higher Ed)</t>
  </si>
  <si>
    <t>1864 - Higher Education Funding Act 1988 and Higher Education Support Act 2003 -- unallocated -- RegLoad_HE</t>
  </si>
  <si>
    <t>1865 - Higher Education Support Act 2003 -- Regional Loading (Higher Ed)</t>
  </si>
  <si>
    <t>1866 - Higher Education Funding Act 1988 -- Regional Loading (Higher Ed)</t>
  </si>
  <si>
    <t>1867 - Higher Education Funding Act 1988 and Higher Education Support Act 2003 -- unallocated -- CGS_HE</t>
  </si>
  <si>
    <t>1868 - Higher Education Support Act 2003 -- Commonwealth Grants Scheme (CGS) (Higher Ed)</t>
  </si>
  <si>
    <t>1869 - Higher Education Funding Act 1988 -- Commonwealth Grants Scheme (CGS) (Higher Ed)</t>
  </si>
  <si>
    <t>1870 - Schools Assistance (Learning Together Achievement Through Choice and Opportunity) Act 2004 --TrmHost</t>
  </si>
  <si>
    <t>1871 - States Grants (Primary and Secondary Education Assistance) Act 2000 -- School Term Hostels</t>
  </si>
  <si>
    <t>1873 - Social Security (Administration) Act 1999-- Youth Allowance - Secondary</t>
  </si>
  <si>
    <t>1874 - Social Security Act 1991 -- Youth Allowance - Secondary</t>
  </si>
  <si>
    <t>1875 - Schools Assistance (Learning Together Achievement Through Choice and Opportunity) Act 2004 -- Infrs</t>
  </si>
  <si>
    <t>1876 - States Grants (Primary and Secondary Education Assistance) Act 2000 -- Schools Infrastructure</t>
  </si>
  <si>
    <t>1878 - Social Security (Administration) Act 1991-- Fares Allowance (DEST)</t>
  </si>
  <si>
    <t>1879 - Social Security Act 1991 -- Fares Allowance (DEST)</t>
  </si>
  <si>
    <t>1880 - Social Security (Administration) Act 1991-- Austudy Payment (DEST)</t>
  </si>
  <si>
    <t>1881 - Social Security Act 1991 -- Austudy Payment (DEST)</t>
  </si>
  <si>
    <t>1882 - Social Security (Administration) Act 1991-- DEST - Youth Allowance</t>
  </si>
  <si>
    <t>1883 - Social Security Act 1991 -- DEST - Youth Allowance</t>
  </si>
  <si>
    <t>1884 - Social Security (Administration) Act 1991 -- Student Financial Supplement Scheme</t>
  </si>
  <si>
    <t>1885 - Social Security Act 1991 -- Student Financial Supplement Scheme</t>
  </si>
  <si>
    <t>1886 - Higher Education Funding Act 1988 and Higher Education Support Act 2003 -- unallocated --HE_RsrchPrm</t>
  </si>
  <si>
    <t>1887 - Higher Education Support Act 2003 -- Higher Education Research Promotion</t>
  </si>
  <si>
    <t>1888 - Higher Education Funding Act 1988 -- Higher Education Research Promotion</t>
  </si>
  <si>
    <t>1889 - Higher Education Funding Act 1988 and Higher Education Support Act 2003 -- unallocated--RegProtSchHE</t>
  </si>
  <si>
    <t>1890 - Higher Education Support Act 2003 -- Regional Protection Scheme (Higher Ed)</t>
  </si>
  <si>
    <t>1891 - Higher Education Funding Act 1988 -- Regional Protection Scheme (Higher Ed)</t>
  </si>
  <si>
    <t>1892 - Higher Education Funding Act 1988 and Higher Education Support Act 2003 -- unallocated--IntPgrdRSchl</t>
  </si>
  <si>
    <t>1893 - Higher Education Support Act 2003 -- International Postgraduate Research Scholarship Scheme</t>
  </si>
  <si>
    <t>1894 - Higher Education Funding Act 1988 -- International Postgraduate Research Scholarship Scheme</t>
  </si>
  <si>
    <t>1895 - Higher Education Funding Act 1988 and Higher Education Support Act 2003 -- unallocated--PstgrdAwrdSc</t>
  </si>
  <si>
    <t>1896 - Higher Education Support Act 2003 -- Australian Postgraduate Awards Scheme</t>
  </si>
  <si>
    <t>1897 - Higher Education Funding Act 1988 -- Australian Postgraduate Awards Scheme</t>
  </si>
  <si>
    <t>1898 - Higher Education Funding Act 1988 and Higher Education Support Act 2003 -- unallocated--RsInfBlockGr</t>
  </si>
  <si>
    <t>1899 - Higher Education Support Act 2003 -- Research Infrastructure Block Grants</t>
  </si>
  <si>
    <t>1900 - Higher Education Funding Act 1988 -- Research Infrastructure Block Grants</t>
  </si>
  <si>
    <t>1901 - Higher Education Funding Act 1988 and Higher Education Support Act 2003 -- unallocated -- HELP</t>
  </si>
  <si>
    <t>1902 - Higher Education Support Act 2003 -- Higher Education Loan Programmes - HELP</t>
  </si>
  <si>
    <t>1903 - Higher Education Funding Act 1988 -- Higher Education Loan Programmes - HELP</t>
  </si>
  <si>
    <t>1904 - Higher Education Funding Act 1988 and Higher Education Support Act 2003 -- unallocated--Col&amp;StrcRfHE</t>
  </si>
  <si>
    <t>1905 - Higher Education Support Act 2003 -- Collaboration and Structural Reform Programme (Higher Ed)</t>
  </si>
  <si>
    <t>1906 - Higher Education Funding Act 1988 -- Collaboration and Structural Reform Programme (Higher Ed)</t>
  </si>
  <si>
    <t>1907 - Higher Education Funding Act 1988 and Higher Education Support Act 2003 -- unallocated--WorkProd_HE</t>
  </si>
  <si>
    <t>1908 - Higher Education Support Act 2003 -- Workplace Productivity Programme (Higher Ed)</t>
  </si>
  <si>
    <t>1909 - Higher Education Funding Act 1988 -- Workplace Productivity Programme (Higher Ed)</t>
  </si>
  <si>
    <t>1910 - Higher Education Funding Act 1988 and Higher Education Support Act 2003 -- unallocated--LrnTchPrf_HE</t>
  </si>
  <si>
    <t>1911 - Higher Education Support Act 2003 -- Learning and Teaching Performance Fund (Higher Ed)</t>
  </si>
  <si>
    <t>1912 - Higher Education Funding Act 1988 -- Learning and Teaching Performance Fund (Higher Ed)</t>
  </si>
  <si>
    <t>1913 - Higher Education Funding Act 1988 and Higher Education Support Act 2003 -- unallocated--SystmcInf_In</t>
  </si>
  <si>
    <t>1914 - Higher Education Support Act 2003 -- Systemic Infrastructure Initiative</t>
  </si>
  <si>
    <t>1915 - Higher Education Funding Act 1988 -- Systemic Infrastructure Initiative</t>
  </si>
  <si>
    <t>1916 - Higher Education Funding Act 1988 and Higher Education Support Act 2003 -- unallocated--InstGrnts_HE</t>
  </si>
  <si>
    <t>1917 - Higher Education Support Act 2003 -- Institutional Grants Scheme (Higher Ed)</t>
  </si>
  <si>
    <t>1918 - Higher Education Funding Act 1988 -- Institutional Grants Scheme (Higher Ed)</t>
  </si>
  <si>
    <t>1919 - Higher Education Funding Act 1988 and Higher Education Support Act 2003 -- unallocated--ResTrnSch_HE</t>
  </si>
  <si>
    <t>1920 - Higher Education Support Act 2003 -- Research Training Scheme (Higher Ed)</t>
  </si>
  <si>
    <t>1921 - Higher Education Funding Act 1988 -- Research Training Scheme (Higher Ed)</t>
  </si>
  <si>
    <t>1922 - Higher Education Funding Act 1988 and Higher Education Support Act 2003 -- unallocated--OLrnInit_HE</t>
  </si>
  <si>
    <t>1923 - Higher Education Support Act 2003 -- Open Learning Initiative (Higher Ed)</t>
  </si>
  <si>
    <t>1924 - Higher Education Funding Act 1988 -- Open Learning Initiative (Higher Ed)</t>
  </si>
  <si>
    <t>1925 - Higher Education Funding Act 1988 and Higher Education Support Act 2003 -- unallocated--OLrnDfPyS_HE</t>
  </si>
  <si>
    <t>1926 - Higher Education Support Act 2003 -- Open Learning Deferred Payments Scheme (Higher Ed)</t>
  </si>
  <si>
    <t>1927 - Higher Education Funding Act 1988 -- Open Learning Deferred Payments Scheme (Higher Ed)</t>
  </si>
  <si>
    <t>1928 - Higher Education Funding Act 1988 and Higher Education Support Act 2003 -- unallocated--contr_AEdInt</t>
  </si>
  <si>
    <t>1929 - Higher Education Support Act 2003 -- contrib to Australian Education International</t>
  </si>
  <si>
    <t>1930 - Higher Education Funding Act 1988 -- contrib to Australian Education International</t>
  </si>
  <si>
    <t>1931 - Higher Education Funding Act 1988 and Higher Education Support Act 2003 -- unallocated--TchHsp_HE</t>
  </si>
  <si>
    <t>1932 - Higher Education Support Act 2003 -- Teaching Hospitals (Higher Ed)</t>
  </si>
  <si>
    <t>1933 - Higher Education Funding Act 1988 -- Teaching Hospitals (Higher Ed)</t>
  </si>
  <si>
    <t>1934 - Higher Education Funding Act 1988 and Higher Education Support Act 2003 -- unallocated--EquityPrg_HE</t>
  </si>
  <si>
    <t>1935 - Higher Education Support Act 2003 -- Equity Programmes (Higher Ed)</t>
  </si>
  <si>
    <t>1936 - Higher Education Funding Act 1988 -- Equity Programmes (Higher Ed)</t>
  </si>
  <si>
    <t>1937 - Higher Education Funding Act 1988 and Higher Education Support Act 2003 -- unallocated--Mlti-MdCenHE</t>
  </si>
  <si>
    <t>1938 - Higher Education Support Act 2003 -- Cooperative Multi-Media Centres (Higher Ed)</t>
  </si>
  <si>
    <t>1939 - Higher Education Funding Act 1988 -- Cooperative Multi-Media Centres (Higher Ed)</t>
  </si>
  <si>
    <t>1940 - Higher Education Funding Act 1988 and Higher Education Support Act 2003 -- unallocated -- HE_InnvPrg</t>
  </si>
  <si>
    <t>1941 - Higher Education Support Act 2003 -- Higher Education Innovation Programme</t>
  </si>
  <si>
    <t>1942 - Higher Education Funding Act 1988 -- Higher Education Innovation Programme</t>
  </si>
  <si>
    <t>1943 - Higher Education Funding Act 1988 and Higher Education Support Act 2003 -- unallocated--CapDevPoolHE</t>
  </si>
  <si>
    <t>1944 - Higher Education Support Act 2003 -- Capital Development Pool (Higher Ed)</t>
  </si>
  <si>
    <t>1945 - Higher Education Funding Act 1988 -- Capital Development Pool (Higher Ed)</t>
  </si>
  <si>
    <t>1946 - Higher Education Funding Act 1988 and Higher Education Support Act 2003 -- unallocated--SuperGrntsHE</t>
  </si>
  <si>
    <t>1947 - Higher Education Support Act 2003 -- Superannuation Grants (Higher Ed)</t>
  </si>
  <si>
    <t>1948 - Higher Education Funding Act 1988 -- Superannuation Grants (Higher Ed)</t>
  </si>
  <si>
    <t>1949 - Higher Education Funding Act 1988 and Higher Education Support Act 2003 -- unallocated--WrkRefPrg_HE</t>
  </si>
  <si>
    <t>1950 - Higher Education Support Act 2003 -- Workplace Reform Programme Funds (Higher Ed)</t>
  </si>
  <si>
    <t>1951 - Higher Education Funding Act 1988 -- Workplace Reform Programme Funds (Higher Ed)</t>
  </si>
  <si>
    <t>1952 - Higher Education Funding Act 1988 and Higher Education Support Act 2003 -- unallocated--BseOpGrntsHE</t>
  </si>
  <si>
    <t>1953 - Higher Education Support Act 2003 -- Base Operating Grants (Higher Ed)</t>
  </si>
  <si>
    <t>1954 - Higher Education Funding Act 1988 -- Base Operating Grants (Higher Ed)</t>
  </si>
  <si>
    <t>1956 - Vocational Education and Training Funding Act 1992</t>
  </si>
  <si>
    <t>1957 - Schools Assistance (Learning Together Achievement Through Choice and Opportunity) Act 2004 --LOTE_NG</t>
  </si>
  <si>
    <t>1958 - States Grants (Primary and Secondary Education Assistance) Act 2000 -- LOTE - NG</t>
  </si>
  <si>
    <t>1960 - Schools Assistance (Learning Together Achievement Through Choice and Opportunity) Act 2004 --LOTE_Gv</t>
  </si>
  <si>
    <t>1961 - States Grants (Primary and Secondary Education Assistance) Act 2000 -- LOTE - Gv</t>
  </si>
  <si>
    <t>1963 - Appropriation (Supplementary Measures) Act (No. 1) 1999 -- Book Subsidy - Schools</t>
  </si>
  <si>
    <t>1964 - Appropriation (Supplementary Measures) Act (No. 1) 1999 - - Book Industry-Grants to School Libraries</t>
  </si>
  <si>
    <t>1965 - Indigenous Education (Targeted Assistance) Act 2000 -- Indigenous Education Direct Assistance</t>
  </si>
  <si>
    <t>1967 - Schools Assistance (Learning Together Achievement Through Choice and Opportunity) Act 2004 - - Special Education for Non-Gov Grants</t>
  </si>
  <si>
    <t>1969 - States Grants (Primary and Secondary Education Assistance) Act 2000 -- Spec_Ed for NG Grants</t>
  </si>
  <si>
    <t>1970 - Schools Assistance (Learning Together Achievement Through Choice and Opportunity) Act 2004 -- ESL-NG</t>
  </si>
  <si>
    <t>1972 - States Grants (Primary and Secondary Education Assistance) Act 2000 -- ESL New Arrivals - NG</t>
  </si>
  <si>
    <t>1973 - Schools Assistance (Learning Together Achievement Through Choice and Opportunity) Act 2004 --Ctry_NG</t>
  </si>
  <si>
    <t>1975 - States Grants (Primary and Secondary Education Assistance) Act 2000 -- Country Areas - NG</t>
  </si>
  <si>
    <t>1976 - Schools Assistance (Learning Together Achievement Through Choice and Opportunity) Act 2004 --SAIS-NG</t>
  </si>
  <si>
    <t>1977 - States Grants (Primary and Secondary Education Assistance) Act 2000 -- SAISO - Non-Government</t>
  </si>
  <si>
    <t>1979 - Schools Assistance (Learning Together Achievement Through Choice and Opportunity) Act 2004 --LitNmGv</t>
  </si>
  <si>
    <t>1980 - States Grants (Primary and Secondary Education Assistance) Act 2000 -- Grants to foster Lit&amp;Num - Gv</t>
  </si>
  <si>
    <t>1982 - States Grants (Primary and Secondary Education Assistance) Act 2000 -- ESL New Arrivals - Government</t>
  </si>
  <si>
    <t>1983 - Schools Assistance (Learning Together Achievement Through Choice and Opportunity) Act 2004 -- ESL-G</t>
  </si>
  <si>
    <t>1985 - Schools Assistance (Learning Together Achievement Through Choice and Opportunity) Act 2004 - -CtryGv</t>
  </si>
  <si>
    <t>1986 - States Grants (Primary and Secondary Education Assistance) Act 2000 -- Country Areas - Government</t>
  </si>
  <si>
    <t>1988 - Schools Assistance (Learning Together Achievement Through Choice and Opportunity) Act 2004- -SAIS_Gv</t>
  </si>
  <si>
    <t>1989 - States Grants (Primary and Secondary Education Assistance) Act 2000 --  SAISO - Government</t>
  </si>
  <si>
    <t>1991 - Schools Assistance (Learning Together Achievement Through Choice and Opportunity) Act 2004 - -Cp_NG</t>
  </si>
  <si>
    <t>1992 - States Grants (Primary and Secondary Education Assistance) Act 2000 -- Capital - Non-Government</t>
  </si>
  <si>
    <t>1994 - Schools Assistance (Learning Together Achievement Through Choice and Opportunity) Act 2004 - -Cp-Gv</t>
  </si>
  <si>
    <t>1995 - States Grants (Primary and Secondary Education Assistance) Act 2000 -- Capital - Government</t>
  </si>
  <si>
    <t>1997 - Schools Assistance (Learning Together Achievement Through Choice and Opportunity) Act 2004 --Recr_NG</t>
  </si>
  <si>
    <t>1998 - States Grants (Primary and Secondary Education Assistance) Act 2000 -- Recurrent - Non-Government</t>
  </si>
  <si>
    <t>2107 - Indigenous Education (Targeted Assistance) Act 2000 -- Indigenous Education Strategic Initiatives</t>
  </si>
  <si>
    <t>2108 - Appropriation (Supplementary Measures) Act (No. 1) 1999 -- Book Industry-EducTextbook Subsidy Scheme</t>
  </si>
  <si>
    <t>2109 - Student Assistance Act 1973 -- ABSTUDY - Tertiary</t>
  </si>
  <si>
    <t>2110 - Student Assistance Act 1973 -- ABSTUDY Student Financial Supplement Loans</t>
  </si>
  <si>
    <t>2111 - Vocational Education and Training Funding Act 1992 -- Vocational Education and Training - Funding</t>
  </si>
  <si>
    <t>2254 - Safety, Rehabilitation and Compensation Act 1988 - - s90D</t>
  </si>
  <si>
    <t>2272</t>
  </si>
  <si>
    <t>2277 - Social Security (Administration) Act 1999 - - Utilities Allowance</t>
  </si>
  <si>
    <t>2375 - Asbestos-related Claims (Management of Commonwealth Liabilities) Act 2005 - - s8(2) Settlements</t>
  </si>
  <si>
    <t>2379 - Schools Assistance (Learning Together Achievement Through Choice and Opportunity) Act 2004 --Recr_G</t>
  </si>
  <si>
    <t>2380 - Student Assistance Act 1973 -- ABSTUDY - Secondary</t>
  </si>
  <si>
    <t>2381 - Student Assistance Act 1973 -- Assistance for Isolated Children</t>
  </si>
  <si>
    <t>2382 - Australian Technical Colleges (Flexibility in Achieving Australia's Skills Needs) Act 2005 - - s23</t>
  </si>
  <si>
    <t>2383 - Skilling Australia's Workforce Act 2005 - - s40</t>
  </si>
  <si>
    <t>2522 - 2004-2005 Appropriation Act 1, Outcome 1 - - DEST</t>
  </si>
  <si>
    <t>2523 - 2004-2005 Appropriation Act 1, Outcome 2 - - DEST</t>
  </si>
  <si>
    <t>2524 - 2004-2005 Appropriation Act 1, Outcome 3 - - DEST</t>
  </si>
  <si>
    <t>2601 - Administered Revenue - - Unallocated</t>
  </si>
  <si>
    <t>2627 - Net Appropriation Agreement for the Department of Education, Science and Training - - appropriated amounts</t>
  </si>
  <si>
    <t>2703 - Net Appropriation Agreement for the Department of Education, Science and Training - - eligible receipts</t>
  </si>
  <si>
    <t>2857 - Australian International Education Foundation International Marketing Account - - Special Public Money - - s20 FMA Act</t>
  </si>
  <si>
    <t>2858 - Services for Other Government and Non-Agency Bodies - - DEST - - Special Public Money - - s20 FMA Act</t>
  </si>
  <si>
    <t>2859 - Higher Education (HECS) Account - - Special Public Money - - s21 FMA Act [Higher Education Funding Act 1988]</t>
  </si>
  <si>
    <t>2860 - Superannuation Productivity Benefits Aboriginal Tutorial Assistance Scheme Tutors Special Account- - Special Public Money - - s20 FMA Act</t>
  </si>
  <si>
    <t>2905 - National Science and Technology Centre Account - - Special Public Money - - s20 FMA Act - - Questacon</t>
  </si>
  <si>
    <t>2946 - 2005-06 Appropriation Act 1, Outcome 1 - - DEST</t>
  </si>
  <si>
    <t>2947 - 2005-06 Appropriation Act 1, Outcome 2 - - DEST</t>
  </si>
  <si>
    <t>2948 - 2005-06 Appropriation Act 1, Outcome 3 - - DEST</t>
  </si>
  <si>
    <t>3004 - Science and Technology Donations/Sponsorship Special Account - - s20 FMA Act Det 2006/40</t>
  </si>
  <si>
    <t>3005 - Science and Technology Donations/Sponsorship Special Account - - Special Public Money - - s20 FMA Act Det 2006/40</t>
  </si>
  <si>
    <t>3006 - National Youth Affairs Research Scheme Special Account - - s20 FMA Act Det 2006/45</t>
  </si>
  <si>
    <t>3034 - International Marketing of Education Special Account - - s20 FMA Act Det 2006/42</t>
  </si>
  <si>
    <t>3094 - Higher Education Endowment Fund Bill 2007</t>
  </si>
  <si>
    <t>3095 - Higher Education Endowment Fund Special Account - - s21 FMA Act [Higher Education Endowment Fund Bill 2007]</t>
  </si>
  <si>
    <t>3096 - Higher Education Endowment Fund Special Account - - Special Public Money - - s21 FMA Act [Higher Education Endowment Fund Bill 2007]</t>
  </si>
  <si>
    <t>3161 - Disability Services Act 1986 - - s23 recovery of rehabilitation costs from beneficiaries or 3rd parties where compensation has been paid</t>
  </si>
  <si>
    <t>3189 - A New Tax System (Family Assistance) Act 1999 - - Child Care Tax Rebate</t>
  </si>
  <si>
    <t>3190 - A New Tax System (Family Assistance) Act 1999 - - Child Care Benefit</t>
  </si>
  <si>
    <t>3363 - Department of Education, Employment and Workplace Relations Services for Other Entities and Trust Moneys Special Account - - s20 FMA Act Det 2008/14, FRLI Ref F2008L02083</t>
  </si>
  <si>
    <t>3464 - EIF Education Portfolio Special Account - - s21 FMA Act [Nation-building Funds Act 2008]</t>
  </si>
  <si>
    <t>3486 - Schools Assistance Act 2008</t>
  </si>
  <si>
    <t>3776 - Occupational Health and Safety Act 1991 - - s67k Recovery of contribution and penalty, s4 Pecuniary penalty orders</t>
  </si>
  <si>
    <t>3829 - Services for Other Entities and Trust Moneys - Department of Innovation, Industry, Science and Research Special Account - - s20 FMA Act Det 2011/09</t>
  </si>
  <si>
    <t>3908 - Indigenous Education (Targeted Assistance) Act 2000</t>
  </si>
  <si>
    <t>3928 - Fair Entitlements Guarantee Act 2012 - - s51</t>
  </si>
  <si>
    <t>3935</t>
  </si>
  <si>
    <t>3945 - Australian Education Act 2013</t>
  </si>
  <si>
    <t>3953</t>
  </si>
  <si>
    <t>3954</t>
  </si>
  <si>
    <t>4027 - Higher Education Support Act 2003 - - Higher Education Research Promotion - - AAO 2013 DIISRTE to Education</t>
  </si>
  <si>
    <t>4028 - Higher Education Support Act 2003 - - International Postgraduate Research Scholarship Scheme - - AAO 2013 DIISRTE to Education</t>
  </si>
  <si>
    <t>4029 - Higher Education Support Act 2003 - - Research Infrastructure Block Grants - - AAO 2013 DIISRTE to Education</t>
  </si>
  <si>
    <t>4030 - Higher Education Support Act 2003 - - Research Training Scheme (Higher Ed) - - AAO 2013 DIISRTE to Education</t>
  </si>
  <si>
    <t>4031 - EIF Research Portfolio Special Account - - s21 FMA Act [s188 Nation-building Funds Act 2008] - - AAO 2013 DIISRTE to Education</t>
  </si>
  <si>
    <t>4032 - Higher Education Support Act 2003 - - Joint Research Engagement Program - - AAO 2013 DIISRTE to Education</t>
  </si>
  <si>
    <t>4033 - Higher Education Support Act 2003 - - Sustainable Research Excellence in Universities - - AAO 2013 DIISRTE to Education</t>
  </si>
  <si>
    <t>4034 - Higher Education Support Act 2003 - - Australian Postgraduate Awards Scheme - - AAO 2013 DIISRTE to Education</t>
  </si>
  <si>
    <t>4035 - EIF Education Portfolio Special Account - - s21 FMA Act [s181 Nation-building Funds Act 2008] - - AAO 2013 DIISRTE to Education</t>
  </si>
  <si>
    <t>4036 - Higher Education Support Act 2003 - - Collaboration and Structural Reform Programme (Higher Ed) - - AAO 2013 DIISRTE to Education</t>
  </si>
  <si>
    <t>4037 - Higher Education Support Act 2003 - - Commonwealth Grants Scheme (CGS) (Higher Ed) - - AAO 2013 DIISRTE to Education</t>
  </si>
  <si>
    <t>4038 - Higher Education Support Act 2003 - - Enabling Loading (Higher Ed) - - AAO 2013 DIISRTE to Education</t>
  </si>
  <si>
    <t>4039 - Higher Education Support Act 2003 - - Equity Programmes (Higher Ed) - - AAO 2013 DIISRTE to Education</t>
  </si>
  <si>
    <t>4040 - Higher Education Support Act 2003 - - Higher Education Loan Programmes - HELP - - AAO 2013 DIISRTE to Education</t>
  </si>
  <si>
    <t>4041 - Higher Education Support Act 2003 - - Indigenous Support Fund (Higher Ed) - - AAO 2013 DIISRTE to Education</t>
  </si>
  <si>
    <t>4042 - Higher Education Support Act 2003 - - Learning Scholarships (Higher Ed) - - AAO 2013 DIISRTE to Education</t>
  </si>
  <si>
    <t>4043 - Higher Education Support Act 2003 - - National Institutes (Higher Ed) - - AAO 2013 DIISRTE to Education</t>
  </si>
  <si>
    <t>4044 - Higher Education Support Act 2003 - - Quality Initiatives (Higher Ed) - - AAO 2013 DIISRTE to Education</t>
  </si>
  <si>
    <t>4045 - Higher Education Support Act 2003 - - Regional Loading (Higher Ed) - - AAO 2013 DIISRTE to Education</t>
  </si>
  <si>
    <t>4046 - Higher Education Support Act 2003 - - Superannuation Grants (Higher Ed) - - AAO 2013 DIISRTE to Education</t>
  </si>
  <si>
    <t>4047 - Overseas Students Tuition Fund - - s21 FMA Act [s52A Education Services for Overseas Students Legislation Amendment Act 2012] - - AAO 2013 DIISRTE to Education</t>
  </si>
  <si>
    <t>4048 - Higher Education Support Act 2003 - - Collaborative Research Infrastructure Scheme - - s41-10 and s238-12 - - AAO 2013 DIISRTE to Education</t>
  </si>
  <si>
    <t>4059 - A New Tax System (Family Assistance) Act 1999 - - Child Care Tax Rebate - - AAO 2013 DEEWR to Education</t>
  </si>
  <si>
    <t>4060 - A New Tax System (Family Assistance) Act 1999 - - Child Care Benefit - - AAO 2013 DEEWR to Education</t>
  </si>
  <si>
    <t>4061 - Schools Assistance Act 2008 - - s167 - - AAO 2013 DEEWR to Education</t>
  </si>
  <si>
    <t>4062 - Australian Education Act 2013 - - AAO 2013 DEEWR to Education</t>
  </si>
  <si>
    <t>4063 - Coal Mining Industry (Long Service Leave Funding) Act 1992 - - AAO 2013 DEEWR to Employment</t>
  </si>
  <si>
    <t>4064 - Safety, Rehabilitation and Compensation Act 1988 - - s90D - - AAO 2013 DEEWR to Employment</t>
  </si>
  <si>
    <t>4065 - Asbestos-related Claims (Management of Commonwealth Liabilities) Act 2005 - - s8(2) Settlements - - AAO 2013 DEEWR to Employment</t>
  </si>
  <si>
    <t>4066 - National Youth Affairs Research Scheme Special Account - - s20 FMA Act Det 2006/45 - - AAO 2013 DEEWR to Education</t>
  </si>
  <si>
    <t>4067 - Occupational Health and Safety Act 1991 - - s67K Recovery of contribution and penalty, s4 Pecuniary penalty orders - - AAO 2013 DEEWR to Employment</t>
  </si>
  <si>
    <t>4068 - Fair Entitlements Guarantee Act 2012 - - s51 - - AAO 2013 DEEWR to Employment</t>
  </si>
  <si>
    <t>4069 - Early Years Quality Fund Special Account - - s21 FMA Act [ s5 Early Years Quality Fund Special Account Act 2013] - - AAO 2013 DEEWR to Education</t>
  </si>
  <si>
    <t>4070 - Early Years Quality Fund Special Account Act 2013 - - s6 - - AAO 2013 DEEWR to Education</t>
  </si>
  <si>
    <t>4073 - Higher Education Support Act 2003 - - s238-12 financial assistance to higher education providers and students - - AAO 2013 DIICCSRTE to Education</t>
  </si>
  <si>
    <t>4076 - Department of Education, Employment and Workplace Relations Services for Other Entities and Trust Moneys Special Account - - s20 FMA Act Det 2008/14 - - AAO 2013 DEEWR to Education</t>
  </si>
  <si>
    <t>4106 - Student Identifiers Special Account - - s21 FMA Act [s48 Student Identifiers Act 2014] - - AAO 2014 INDUSTRY to EDUCATION</t>
  </si>
  <si>
    <t>4107 - Trade Support Loan Act 2014 - - s104 Appropriation - - AAO 2014 INDUSTRY to EDUCATION</t>
  </si>
  <si>
    <t>4200 - A New Tax System (Family Assistance) (Administration) Act 1999 - - s233 child care benefit - - AAO 2015 DSS to Education</t>
  </si>
  <si>
    <t>4201 - A New Tax System (Family Assistance) (Administration) Act 1999 - - s233 child care rebate - - AAO 2015 DSS to Education</t>
  </si>
  <si>
    <t>4202 - Early Years Quality Fund Special Account - - s80 PGPA Act [s5(1) Early Years Quality Fund Special Account Act 2013] - - AAO 2015 DSS to Education</t>
  </si>
  <si>
    <t>4183 - Growth Fund Skills and Training Special Account 2015 - - s78 PGPA Act Det 2015/04</t>
  </si>
  <si>
    <t>4247 - VET Student Loans Act 2016 - - s115 payments to course providers for VET student loans</t>
  </si>
  <si>
    <t>Group Adj Type</t>
  </si>
  <si>
    <t>Group Data Entry - New Adj 08 - Recognition</t>
  </si>
  <si>
    <t>Back To Adjustment Workbook</t>
  </si>
  <si>
    <t>WorkBook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</si>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</sst>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1" fillId="0" borderId="4" xfId="0" applyFont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2" fillId="3" borderId="0" xfId="0" applyFont="1" applyFill="1" applyAlignment="1">
      <alignment horizontal="right" vertical="center"/>
    </xf>
    <xf numFmtId="0" fontId="1" fillId="0" borderId="0" xfId="0" applyFont="1" applyAlignment="1">
      <alignment horizontal="right" indent="1"/>
    </xf>
    <xf numFmtId="0" fontId="3" fillId="2" borderId="4" xfId="0" applyFont="1" applyFill="1" applyBorder="1" applyAlignment="1">
      <alignment horizontal="center"/>
    </xf>
    <xf numFmtId="0" fontId="2" fillId="3" borderId="0" xfId="0" applyFont="1" applyFill="1" applyAlignment="1">
      <alignment horizontal="right" vertical="center" indent="1"/>
    </xf>
    <xf numFmtId="0" fontId="1" fillId="2" borderId="4" xfId="0" applyFont="1" applyFill="1" applyBorder="1" applyAlignment="1">
      <alignment horizontal="center"/>
    </xf>
    <xf numFmtId="0" fontId="5" fillId="0" borderId="4" xfId="0" applyFont="1" applyBorder="1" applyAlignment="1" applyProtection="1">
      <alignment horizontal="center"/>
      <protection locked="0"/>
    </xf>
    <xf numFmtId="0" fontId="6" fillId="4" borderId="4" xfId="0" applyFont="1" applyFill="1" applyBorder="1" applyAlignment="1">
      <alignment horizontal="center"/>
    </xf>
    <xf numFmtId="0" fontId="0" fillId="0" borderId="5" xfId="0" applyBorder="1"/>
    <xf numFmtId="0" fontId="7" fillId="0" borderId="6" xfId="0" applyFont="1" applyBorder="1" applyAlignment="1">
      <alignment horizontal="center"/>
    </xf>
    <xf numFmtId="0" fontId="4" fillId="0" borderId="0" xfId="0" applyFont="1" applyAlignment="1">
      <alignment horizontal="left" inden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4" fillId="0" borderId="7" xfId="0" applyFont="1" applyBorder="1" applyAlignment="1">
      <alignment horizontal="left" indent="1"/>
    </xf>
    <xf numFmtId="0" fontId="4" fillId="0" borderId="7" xfId="0" applyFont="1" applyBorder="1" applyAlignment="1">
      <alignment horizontal="left" vertical="top" indent="1"/>
    </xf>
    <xf numFmtId="0" fontId="4" fillId="0" borderId="0" xfId="0" applyFont="1" applyAlignment="1">
      <alignment horizontal="left" vertical="top" indent="1"/>
    </xf>
    <xf numFmtId="0" fontId="0" fillId="2" borderId="1" xfId="0" applyFill="1" applyBorder="1" applyAlignment="1" applyProtection="1">
      <alignment horizontal="left" indent="1"/>
      <protection locked="0"/>
    </xf>
    <xf numFmtId="0" fontId="0" fillId="2" borderId="2" xfId="0" applyFill="1" applyBorder="1" applyAlignment="1" applyProtection="1">
      <alignment horizontal="left" indent="1"/>
      <protection locked="0"/>
    </xf>
    <xf numFmtId="0" fontId="0" fillId="2" borderId="3" xfId="0" applyFill="1" applyBorder="1" applyAlignment="1" applyProtection="1">
      <alignment horizontal="left" indent="1"/>
      <protection locked="0"/>
    </xf>
    <xf numFmtId="0" fontId="0" fillId="0" borderId="1" xfId="0" applyBorder="1" applyAlignment="1" applyProtection="1">
      <alignment horizontal="left" indent="1"/>
      <protection locked="0"/>
    </xf>
    <xf numFmtId="0" fontId="0" fillId="0" borderId="2" xfId="0" applyBorder="1" applyAlignment="1" applyProtection="1">
      <alignment horizontal="left" indent="1"/>
      <protection locked="0"/>
    </xf>
    <xf numFmtId="0" fontId="0" fillId="0" borderId="3" xfId="0" applyBorder="1" applyAlignment="1" applyProtection="1">
      <alignment horizontal="left" indent="1"/>
      <protection locked="0"/>
    </xf>
    <xf numFmtId="0" fontId="0" fillId="0" borderId="4" xfId="0" applyBorder="1" applyAlignment="1" applyProtection="1">
      <alignment horizontal="left" vertical="top" indent="1"/>
      <protection locked="0"/>
    </xf>
  </cellXfs>
  <cellStyles count="1">
    <cellStyle name="Normal" xfId="0" builtinId="0"/>
  </cellStyles>
  <dxfs count="2">
    <dxf>
      <font>
        <b/>
        <i val="0"/>
        <color rgb="FFFF0000"/>
      </font>
    </dxf>
    <dxf>
      <font>
        <b/>
        <i val="0"/>
        <color rgb="FF0070C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111"/>
  <ax:ocxPr ax:name="_ExtentY" ax:value="344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jIDListWB"/>
  <ax:ocxPr ax:name="TargetWorksheetName" ax:value="-TM1AdjIDList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AdjIDListCAP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296"/>
  <ax:ocxPr ax:name="_ExtentY" ax:value="503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WB"/>
  <ax:ocxPr ax:name="TargetWorksheetName" ax:value="=TM1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CAP"/>
  <ax:ocxPr ax:name="ResizeButtonToCaption" ax:value="0"/>
</ax:ocx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355"/>
  <ax:ocxPr ax:name="_ExtentY" ax:value="503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AEAccVarWB"/>
  <ax:ocxPr ax:name="TargetWorksheetName" ax:value="=TM1HomeAEAccVar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AEDataEntryCAP"/>
  <ax:ocxPr ax:name="ResizeButtonToCaption" ax:value="0"/>
</ax:ocx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7" Type="http://schemas.openxmlformats.org/officeDocument/2006/relationships/image" Target="../media/image1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6" Type="http://schemas.openxmlformats.org/officeDocument/2006/relationships/image" Target="../media/image2.emf"/><Relationship Id="rId5" Type="http://schemas.openxmlformats.org/officeDocument/2006/relationships/image" Target="../media/image3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45720</xdr:colOff>
          <xdr:row>87</xdr:row>
          <xdr:rowOff>0</xdr:rowOff>
        </xdr:from>
        <xdr:to>
          <xdr:col>9</xdr:col>
          <xdr:colOff>685800</xdr:colOff>
          <xdr:row>87</xdr:row>
          <xdr:rowOff>251460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723900</xdr:colOff>
          <xdr:row>87</xdr:row>
          <xdr:rowOff>0</xdr:rowOff>
        </xdr:from>
        <xdr:to>
          <xdr:col>10</xdr:col>
          <xdr:colOff>822960</xdr:colOff>
          <xdr:row>87</xdr:row>
          <xdr:rowOff>251460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2590800</xdr:colOff>
          <xdr:row>86</xdr:row>
          <xdr:rowOff>45720</xdr:rowOff>
        </xdr:from>
        <xdr:to>
          <xdr:col>10</xdr:col>
          <xdr:colOff>3375660</xdr:colOff>
          <xdr:row>87</xdr:row>
          <xdr:rowOff>251460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868680</xdr:colOff>
          <xdr:row>87</xdr:row>
          <xdr:rowOff>0</xdr:rowOff>
        </xdr:from>
        <xdr:to>
          <xdr:col>10</xdr:col>
          <xdr:colOff>1706880</xdr:colOff>
          <xdr:row>87</xdr:row>
          <xdr:rowOff>251460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2026920</xdr:colOff>
          <xdr:row>111</xdr:row>
          <xdr:rowOff>60960</xdr:rowOff>
        </xdr:from>
        <xdr:to>
          <xdr:col>13</xdr:col>
          <xdr:colOff>426720</xdr:colOff>
          <xdr:row>113</xdr:row>
          <xdr:rowOff>68580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632460</xdr:colOff>
          <xdr:row>111</xdr:row>
          <xdr:rowOff>60960</xdr:rowOff>
        </xdr:from>
        <xdr:to>
          <xdr:col>14</xdr:col>
          <xdr:colOff>693420</xdr:colOff>
          <xdr:row>113</xdr:row>
          <xdr:rowOff>68580</xdr:rowOff>
        </xdr:to>
        <xdr:sp macro="" textlink="">
          <xdr:nvSpPr>
            <xdr:cNvPr id="1033" name="TIButton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1760220</xdr:colOff>
          <xdr:row>87</xdr:row>
          <xdr:rowOff>0</xdr:rowOff>
        </xdr:from>
        <xdr:to>
          <xdr:col>10</xdr:col>
          <xdr:colOff>2545080</xdr:colOff>
          <xdr:row>87</xdr:row>
          <xdr:rowOff>251460</xdr:rowOff>
        </xdr:to>
        <xdr:sp macro="" textlink="">
          <xdr:nvSpPr>
            <xdr:cNvPr id="1040" name="TIButton8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9</xdr:col>
      <xdr:colOff>0</xdr:colOff>
      <xdr:row>0</xdr:row>
      <xdr:rowOff>0</xdr:rowOff>
    </xdr:from>
    <xdr:to>
      <xdr:col>9</xdr:col>
      <xdr:colOff>1007745</xdr:colOff>
      <xdr:row>0</xdr:row>
      <xdr:rowOff>0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00774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28575</xdr:colOff>
      <xdr:row>85</xdr:row>
      <xdr:rowOff>19050</xdr:rowOff>
    </xdr:from>
    <xdr:to>
      <xdr:col>10</xdr:col>
      <xdr:colOff>741045</xdr:colOff>
      <xdr:row>85</xdr:row>
      <xdr:rowOff>476250</xdr:rowOff>
    </xdr:to>
    <xdr:pic>
      <xdr:nvPicPr>
        <xdr:cNvPr id="13" name="Pictur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</sheetPr>
  <dimension ref="A1:R113"/>
  <sheetViews>
    <sheetView showGridLines="0" showRowColHeaders="0" tabSelected="1" showOutlineSymbols="0" topLeftCell="I86" workbookViewId="0">
      <selection sqref="A1:C1"/>
    </sheetView>
  </sheetViews>
  <sheetFormatPr defaultRowHeight="14.4" outlineLevelRow="1" outlineLevelCol="1" x14ac:dyDescent="0.3"/>
  <cols>
    <col min="1" max="1" width="48" hidden="1" customWidth="1" outlineLevel="1"/>
    <col min="2" max="8" width="20.109375" hidden="1" customWidth="1" outlineLevel="1"/>
    <col min="9" max="9" width="0.88671875" customWidth="1" collapsed="1"/>
    <col min="10" max="10" width="15.44140625" customWidth="1"/>
    <col min="11" max="11" width="51.44140625" customWidth="1"/>
    <col min="12" max="12" width="0.88671875" customWidth="1"/>
    <col min="13" max="13" width="35.6640625" customWidth="1"/>
    <col min="14" max="14" width="10.6640625" customWidth="1"/>
    <col min="15" max="15" width="35.6640625" customWidth="1"/>
    <col min="16" max="16" width="29.44140625" customWidth="1"/>
    <col min="17" max="17" width="20.6640625" customWidth="1"/>
  </cols>
  <sheetData>
    <row r="1" spans="1:3" hidden="1" outlineLevel="1" x14ac:dyDescent="0.3">
      <c r="A1" s="20" t="s">
        <v>1</v>
      </c>
      <c r="B1" s="21"/>
      <c r="C1" s="22"/>
    </row>
    <row r="2" spans="1:3" hidden="1" outlineLevel="1" x14ac:dyDescent="0.3">
      <c r="A2" s="2" t="s">
        <v>2</v>
      </c>
      <c r="B2" s="3" t="s">
        <v>439</v>
      </c>
      <c r="C2" s="4"/>
    </row>
    <row r="3" spans="1:3" hidden="1" outlineLevel="1" x14ac:dyDescent="0.3">
      <c r="A3" s="2" t="s">
        <v>3</v>
      </c>
      <c r="B3" s="5" t="str" cm="1">
        <f t="array" aca="1" ref="B3" ca="1">_xll.VIEW(db_name&amp;":}ElementAttributes_}Clients","!","!")</f>
        <v>dcceew_geus:}ElementAttributes_}Clients</v>
      </c>
      <c r="C3" s="4"/>
    </row>
    <row r="4" spans="1:3" hidden="1" outlineLevel="1" x14ac:dyDescent="0.3">
      <c r="A4" s="2" t="s">
        <v>4</v>
      </c>
      <c r="B4" s="3" t="str" cm="1">
        <f t="array" aca="1" ref="B4" ca="1">_xll.TM1USER(db_name)</f>
        <v/>
      </c>
      <c r="C4" s="4"/>
    </row>
    <row r="5" spans="1:3" hidden="1" outlineLevel="1" x14ac:dyDescent="0.3">
      <c r="A5" s="2" t="s">
        <v>5</v>
      </c>
      <c r="B5" s="3" t="str" cm="1">
        <f t="array" aca="1" ref="B5" ca="1">_xll.DBR($B$3,$B$4,$A5)</f>
        <v>*KEY_ERR</v>
      </c>
      <c r="C5" s="4"/>
    </row>
    <row r="6" spans="1:3" hidden="1" outlineLevel="1" x14ac:dyDescent="0.3">
      <c r="A6" s="2" t="s">
        <v>6</v>
      </c>
      <c r="B6" s="3" t="str" cm="1">
        <f t="array" aca="1" ref="B6" ca="1">_xll.DBR($B$3,$B$4,$A6)</f>
        <v>*KEY_ERR</v>
      </c>
      <c r="C6" s="4"/>
    </row>
    <row r="7" spans="1:3" hidden="1" outlineLevel="1" x14ac:dyDescent="0.3">
      <c r="A7" s="2" t="s">
        <v>7</v>
      </c>
      <c r="B7" s="3" t="str">
        <f ca="1">IF(LEFT($B$5,6)="CAM_AD",$B$6,$B$5)</f>
        <v>*KEY_ERR</v>
      </c>
      <c r="C7" s="6"/>
    </row>
    <row r="8" spans="1:3" hidden="1" outlineLevel="1" x14ac:dyDescent="0.3"/>
    <row r="9" spans="1:3" hidden="1" outlineLevel="1" x14ac:dyDescent="0.3">
      <c r="A9" s="20" t="s">
        <v>8</v>
      </c>
      <c r="B9" s="21"/>
      <c r="C9" s="22"/>
    </row>
    <row r="10" spans="1:3" hidden="1" outlineLevel="1" x14ac:dyDescent="0.3">
      <c r="A10" s="2" t="s">
        <v>9</v>
      </c>
      <c r="B10" s="6" t="str" cm="1">
        <f t="array" aca="1" ref="B10" ca="1">_xll.VIEW(db_name&amp;":}ElementAttributes_variables","!","!")</f>
        <v>dcceew_geus:}ElementAttributes_variables</v>
      </c>
      <c r="C10" s="6"/>
    </row>
    <row r="11" spans="1:3" hidden="1" outlineLevel="1" x14ac:dyDescent="0.3">
      <c r="A11" s="2" t="s">
        <v>0</v>
      </c>
      <c r="B11" s="6" t="str" cm="1">
        <f t="array" aca="1" ref="B11" ca="1">_xll.DBR($B$10,$A11,"value")</f>
        <v>*KEY_ERR</v>
      </c>
      <c r="C11" s="6"/>
    </row>
    <row r="12" spans="1:3" hidden="1" outlineLevel="1" x14ac:dyDescent="0.3">
      <c r="A12" s="2" t="s">
        <v>10</v>
      </c>
      <c r="B12" s="6" t="str" cm="1">
        <f t="array" aca="1" ref="B12" ca="1">_xll.DBR($B$10,$A12,"value")</f>
        <v>*KEY_ERR</v>
      </c>
      <c r="C12" s="6"/>
    </row>
    <row r="13" spans="1:3" hidden="1" outlineLevel="1" x14ac:dyDescent="0.3"/>
    <row r="14" spans="1:3" hidden="1" outlineLevel="1" x14ac:dyDescent="0.3">
      <c r="A14" s="20" t="s">
        <v>25</v>
      </c>
      <c r="B14" s="21"/>
      <c r="C14" s="22"/>
    </row>
    <row r="15" spans="1:3" hidden="1" outlineLevel="1" x14ac:dyDescent="0.3">
      <c r="A15" s="6" t="s">
        <v>26</v>
      </c>
      <c r="B15" s="6" t="str" cm="1">
        <f t="array" aca="1" ref="B15" ca="1">_xll.VIEW(db_name&amp;":sys_application","!","!")</f>
        <v>dcceew_geus:sys_application</v>
      </c>
    </row>
    <row r="16" spans="1:3" hidden="1" outlineLevel="1" x14ac:dyDescent="0.3">
      <c r="A16" s="6" t="s">
        <v>38</v>
      </c>
      <c r="B16" s="6" t="s">
        <v>89</v>
      </c>
    </row>
    <row r="17" spans="1:7" hidden="1" outlineLevel="1" x14ac:dyDescent="0.3">
      <c r="A17" s="8" t="s">
        <v>29</v>
      </c>
      <c r="B17" s="9" t="s">
        <v>30</v>
      </c>
      <c r="C17" s="9" t="s">
        <v>31</v>
      </c>
      <c r="D17" s="9" t="s">
        <v>32</v>
      </c>
      <c r="E17" s="9" t="s">
        <v>33</v>
      </c>
      <c r="F17" s="9" t="s">
        <v>34</v>
      </c>
      <c r="G17" s="9" t="s">
        <v>35</v>
      </c>
    </row>
    <row r="18" spans="1:7" hidden="1" outlineLevel="1" x14ac:dyDescent="0.3">
      <c r="A18" s="6" t="s">
        <v>27</v>
      </c>
      <c r="B18" s="6" t="str" cm="1">
        <f t="array" aca="1" ref="B18" ca="1">_xll.DBR($B$15,$A18,B$17)</f>
        <v>*KEY_ERR</v>
      </c>
      <c r="C18" s="6" t="str" cm="1">
        <f t="array" aca="1" ref="C18" ca="1">_xll.DBR($B$15,$A18,C$17)</f>
        <v>*KEY_ERR</v>
      </c>
      <c r="D18" s="6" t="str" cm="1">
        <f t="array" aca="1" ref="D18" ca="1">_xll.DBR($B$15,$A18,D$17)</f>
        <v>*KEY_ERR</v>
      </c>
      <c r="E18" s="6" t="str" cm="1">
        <f t="array" aca="1" ref="E18" ca="1">_xll.DBR($B$15,$A18,E$17)</f>
        <v>*KEY_ERR</v>
      </c>
      <c r="F18" s="6" t="str" cm="1">
        <f t="array" aca="1" ref="F18" ca="1">_xll.DBR($B$15,$A18,F$17)</f>
        <v>*KEY_ERR</v>
      </c>
      <c r="G18" s="6" t="str" cm="1">
        <f t="array" aca="1" ref="G18" ca="1">_xll.DBR($B$15,$A18,G$17)</f>
        <v>*KEY_ERR</v>
      </c>
    </row>
    <row r="19" spans="1:7" hidden="1" outlineLevel="1" x14ac:dyDescent="0.3">
      <c r="A19" s="6" t="s">
        <v>28</v>
      </c>
      <c r="B19" s="6" t="str" cm="1">
        <f t="array" aca="1" ref="B19" ca="1">_xll.DBR($B$15,$A19,B$17)</f>
        <v>*KEY_ERR</v>
      </c>
      <c r="C19" s="6" t="str" cm="1">
        <f t="array" aca="1" ref="C19" ca="1">_xll.DBR($B$15,$A19,C$17)</f>
        <v>*KEY_ERR</v>
      </c>
      <c r="D19" s="6" t="str" cm="1">
        <f t="array" aca="1" ref="D19" ca="1">_xll.DBR($B$15,$A19,D$17)</f>
        <v>*KEY_ERR</v>
      </c>
      <c r="E19" s="6" t="str" cm="1">
        <f t="array" aca="1" ref="E19" ca="1">_xll.DBR($B$15,$A19,E$17)</f>
        <v>*KEY_ERR</v>
      </c>
      <c r="F19" s="6" t="str" cm="1">
        <f t="array" aca="1" ref="F19" ca="1">_xll.DBR($B$15,$A19,F$17)</f>
        <v>*KEY_ERR</v>
      </c>
      <c r="G19" s="6" t="str" cm="1">
        <f t="array" aca="1" ref="G19" ca="1">_xll.DBR($B$15,$A19,G$17)</f>
        <v>*KEY_ERR</v>
      </c>
    </row>
    <row r="20" spans="1:7" hidden="1" outlineLevel="1" x14ac:dyDescent="0.3">
      <c r="A20" s="6" t="s">
        <v>37</v>
      </c>
      <c r="B20" s="6" t="str" cm="1">
        <f t="array" aca="1" ref="B20" ca="1">_xll.DBR($B$15,$A20,B$17)</f>
        <v>*KEY_ERR</v>
      </c>
      <c r="C20" s="6" t="str" cm="1">
        <f t="array" aca="1" ref="C20" ca="1">_xll.DBR($B$15,$A20,C$17)</f>
        <v>*KEY_ERR</v>
      </c>
      <c r="D20" s="6" t="str" cm="1">
        <f t="array" aca="1" ref="D20" ca="1">_xll.DBR($B$15,$A20,D$17)</f>
        <v>*KEY_ERR</v>
      </c>
      <c r="E20" s="6" t="str" cm="1">
        <f t="array" aca="1" ref="E20" ca="1">_xll.DBR($B$15,$A20,E$17)</f>
        <v>*KEY_ERR</v>
      </c>
      <c r="F20" s="6" t="str" cm="1">
        <f t="array" aca="1" ref="F20" ca="1">_xll.DBR($B$15,$A20,F$17)</f>
        <v>*KEY_ERR</v>
      </c>
      <c r="G20" s="6" t="str" cm="1">
        <f t="array" aca="1" ref="G20" ca="1">_xll.DBR($B$15,$A20,G$17)</f>
        <v>*KEY_ERR</v>
      </c>
    </row>
    <row r="21" spans="1:7" hidden="1" outlineLevel="1" x14ac:dyDescent="0.3">
      <c r="A21" s="6" t="s">
        <v>39</v>
      </c>
      <c r="B21" s="6" t="str" cm="1">
        <f t="array" aca="1" ref="B21" ca="1">_xll.DBR($B$15,$A21,B$17)</f>
        <v>*KEY_ERR</v>
      </c>
      <c r="C21" s="6" t="str" cm="1">
        <f t="array" aca="1" ref="C21" ca="1">_xll.DBR($B$15,$A21,C$17)</f>
        <v>*KEY_ERR</v>
      </c>
      <c r="D21" s="6" t="str" cm="1">
        <f t="array" aca="1" ref="D21" ca="1">_xll.DBR($B$15,$A21,D$17)</f>
        <v>*KEY_ERR</v>
      </c>
      <c r="E21" s="6" t="str" cm="1">
        <f t="array" aca="1" ref="E21" ca="1">_xll.DBR($B$15,$A21,E$17)</f>
        <v>*KEY_ERR</v>
      </c>
      <c r="F21" s="6" t="str" cm="1">
        <f t="array" aca="1" ref="F21" ca="1">_xll.DBR($B$15,$A21,F$17)</f>
        <v>*KEY_ERR</v>
      </c>
      <c r="G21" s="6" t="str" cm="1">
        <f t="array" aca="1" ref="G21" ca="1">_xll.DBR($B$15,$A21,G$17)</f>
        <v>*KEY_ERR</v>
      </c>
    </row>
    <row r="22" spans="1:7" hidden="1" outlineLevel="1" x14ac:dyDescent="0.3">
      <c r="A22" s="6" t="s">
        <v>36</v>
      </c>
      <c r="B22" s="6" t="str" cm="1">
        <f t="array" aca="1" ref="B22" ca="1">_xll.DBR($B$15,$A22,B$17)</f>
        <v>*KEY_ERR</v>
      </c>
      <c r="C22" s="6" t="str" cm="1">
        <f t="array" aca="1" ref="C22" ca="1">_xll.DBR($B$15,$A22,C$17)</f>
        <v>*KEY_ERR</v>
      </c>
      <c r="D22" s="6" t="str" cm="1">
        <f t="array" aca="1" ref="D22" ca="1">_xll.DBR($B$15,$A22,D$17)</f>
        <v>*KEY_ERR</v>
      </c>
      <c r="E22" s="6" t="str" cm="1">
        <f t="array" aca="1" ref="E22" ca="1">_xll.DBR($B$15,$A22,E$17)</f>
        <v>*KEY_ERR</v>
      </c>
      <c r="F22" s="6" t="str" cm="1">
        <f t="array" aca="1" ref="F22" ca="1">_xll.DBR($B$15,$A22,F$17)</f>
        <v>*KEY_ERR</v>
      </c>
      <c r="G22" s="6" t="str" cm="1">
        <f t="array" aca="1" ref="G22" ca="1">_xll.DBR($B$15,$A22,G$17)</f>
        <v>*KEY_ERR</v>
      </c>
    </row>
    <row r="23" spans="1:7" hidden="1" outlineLevel="1" x14ac:dyDescent="0.3">
      <c r="A23" s="6" t="s">
        <v>87</v>
      </c>
      <c r="B23" s="6" t="str" cm="1">
        <f t="array" aca="1" ref="B23" ca="1">_xll.DBR($B$15,$A23,B$17)</f>
        <v>*KEY_ERR</v>
      </c>
      <c r="C23" s="6" t="str" cm="1">
        <f t="array" aca="1" ref="C23" ca="1">_xll.DBR($B$15,$A23,C$17)</f>
        <v>*KEY_ERR</v>
      </c>
      <c r="D23" s="6" t="str" cm="1">
        <f t="array" aca="1" ref="D23" ca="1">_xll.DBR($B$15,$A23,D$17)</f>
        <v>*KEY_ERR</v>
      </c>
      <c r="E23" s="6" t="str" cm="1">
        <f t="array" aca="1" ref="E23" ca="1">_xll.DBR($B$15,$A23,E$17)</f>
        <v>*KEY_ERR</v>
      </c>
      <c r="F23" s="6" t="str" cm="1">
        <f t="array" aca="1" ref="F23" ca="1">_xll.DBR($B$15,$A23,F$17)</f>
        <v>*KEY_ERR</v>
      </c>
      <c r="G23" s="6" t="str" cm="1">
        <f t="array" aca="1" ref="G23" ca="1">_xll.DBR($B$15,$A23,G$17)</f>
        <v>*KEY_ERR</v>
      </c>
    </row>
    <row r="24" spans="1:7" hidden="1" outlineLevel="1" x14ac:dyDescent="0.3">
      <c r="A24" s="6" t="s">
        <v>88</v>
      </c>
      <c r="B24" s="6" t="str" cm="1">
        <f t="array" aca="1" ref="B24" ca="1">_xll.DBR($B$15,$A24,B$17)</f>
        <v>*KEY_ERR</v>
      </c>
      <c r="C24" s="6" t="str" cm="1">
        <f t="array" aca="1" ref="C24" ca="1">_xll.DBR($B$15,$A24,C$17)</f>
        <v>*KEY_ERR</v>
      </c>
      <c r="D24" s="6" t="str" cm="1">
        <f t="array" aca="1" ref="D24" ca="1">_xll.DBR($B$15,$A24,D$17)</f>
        <v>*KEY_ERR</v>
      </c>
      <c r="E24" s="6" t="str" cm="1">
        <f t="array" aca="1" ref="E24" ca="1">_xll.DBR($B$15,$A24,E$17)</f>
        <v>*KEY_ERR</v>
      </c>
      <c r="F24" s="6" t="str" cm="1">
        <f t="array" aca="1" ref="F24" ca="1">_xll.DBR($B$15,$A24,F$17)</f>
        <v>*KEY_ERR</v>
      </c>
      <c r="G24" s="6" t="str" cm="1">
        <f t="array" aca="1" ref="G24" ca="1">_xll.DBR($B$15,$A24,G$17)</f>
        <v>*KEY_ERR</v>
      </c>
    </row>
    <row r="25" spans="1:7" hidden="1" outlineLevel="1" x14ac:dyDescent="0.3">
      <c r="A25" s="6" t="s">
        <v>89</v>
      </c>
      <c r="B25" s="6" t="str" cm="1">
        <f t="array" aca="1" ref="B25" ca="1">_xll.DBR($B$15,$A25,B$17)</f>
        <v>*KEY_ERR</v>
      </c>
      <c r="C25" s="6" t="str" cm="1">
        <f t="array" aca="1" ref="C25" ca="1">_xll.DBR($B$15,$A25,C$17)</f>
        <v>*KEY_ERR</v>
      </c>
      <c r="D25" s="6" t="str" cm="1">
        <f t="array" aca="1" ref="D25" ca="1">_xll.DBR($B$15,$A25,D$17)</f>
        <v>*KEY_ERR</v>
      </c>
      <c r="E25" s="6" t="str" cm="1">
        <f t="array" aca="1" ref="E25" ca="1">_xll.DBR($B$15,$A25,E$17)</f>
        <v>*KEY_ERR</v>
      </c>
      <c r="F25" s="6" t="str" cm="1">
        <f t="array" aca="1" ref="F25" ca="1">_xll.DBR($B$15,$A25,F$17)</f>
        <v>*KEY_ERR</v>
      </c>
      <c r="G25" s="6" t="str" cm="1">
        <f t="array" aca="1" ref="G25" ca="1">_xll.DBR($B$15,$A25,G$17)</f>
        <v>*KEY_ERR</v>
      </c>
    </row>
    <row r="26" spans="1:7" hidden="1" outlineLevel="1" x14ac:dyDescent="0.3">
      <c r="A26" s="6" t="s">
        <v>90</v>
      </c>
      <c r="B26" s="6" t="str" cm="1">
        <f t="array" aca="1" ref="B26" ca="1">_xll.DBR($B$15,$A26,B$17)</f>
        <v>*KEY_ERR</v>
      </c>
      <c r="C26" s="6" t="str" cm="1">
        <f t="array" aca="1" ref="C26" ca="1">_xll.DBR($B$15,$A26,C$17)</f>
        <v>*KEY_ERR</v>
      </c>
      <c r="D26" s="6" t="str" cm="1">
        <f t="array" aca="1" ref="D26" ca="1">_xll.DBR($B$15,$A26,D$17)</f>
        <v>*KEY_ERR</v>
      </c>
      <c r="E26" s="6" t="str" cm="1">
        <f t="array" aca="1" ref="E26" ca="1">_xll.DBR($B$15,$A26,E$17)</f>
        <v>*KEY_ERR</v>
      </c>
      <c r="F26" s="6" t="str" cm="1">
        <f t="array" aca="1" ref="F26" ca="1">_xll.DBR($B$15,$A26,F$17)</f>
        <v>*KEY_ERR</v>
      </c>
      <c r="G26" s="6" t="str" cm="1">
        <f t="array" aca="1" ref="G26" ca="1">_xll.DBR($B$15,$A26,G$17)</f>
        <v>*KEY_ERR</v>
      </c>
    </row>
    <row r="27" spans="1:7" hidden="1" outlineLevel="1" x14ac:dyDescent="0.3">
      <c r="A27" s="6" t="s">
        <v>436</v>
      </c>
      <c r="B27" s="6" t="str" cm="1">
        <f t="array" aca="1" ref="B27" ca="1">_xll.DBR($B$15,$A27,B$17)</f>
        <v>*KEY_ERR</v>
      </c>
      <c r="C27" s="6" t="str" cm="1">
        <f t="array" aca="1" ref="C27" ca="1">_xll.DBR($B$15,$A27,C$17)</f>
        <v>*KEY_ERR</v>
      </c>
      <c r="D27" s="6" t="str" cm="1">
        <f t="array" aca="1" ref="D27" ca="1">_xll.DBR($B$15,$A27,D$17)</f>
        <v>*KEY_ERR</v>
      </c>
      <c r="E27" s="6" t="str" cm="1">
        <f t="array" aca="1" ref="E27" ca="1">_xll.DBR($B$15,$A27,E$17)</f>
        <v>*KEY_ERR</v>
      </c>
      <c r="F27" s="6" t="str" cm="1">
        <f t="array" aca="1" ref="F27" ca="1">_xll.DBR($B$15,$A27,F$17)</f>
        <v>*KEY_ERR</v>
      </c>
      <c r="G27" s="6" t="str" cm="1">
        <f t="array" aca="1" ref="G27" ca="1">_xll.DBR($B$15,$A27,G$17)</f>
        <v>*KEY_ERR</v>
      </c>
    </row>
    <row r="28" spans="1:7" hidden="1" outlineLevel="1" x14ac:dyDescent="0.3"/>
    <row r="29" spans="1:7" hidden="1" outlineLevel="1" x14ac:dyDescent="0.3">
      <c r="B29" s="18" t="s">
        <v>438</v>
      </c>
      <c r="C29" s="18" t="s">
        <v>35</v>
      </c>
    </row>
    <row r="30" spans="1:7" hidden="1" outlineLevel="1" x14ac:dyDescent="0.3">
      <c r="A30" s="2" t="s">
        <v>437</v>
      </c>
      <c r="B30" s="6" t="str">
        <f ca="1">IF($B$60="Compliance",TM1GrpNewAdj08RecogDataEntryWB,TM1GrpNewAdj02ExpDataEntryWB)</f>
        <v>*KEY_ERR</v>
      </c>
      <c r="C30" s="6" t="str">
        <f ca="1">IF($B$60="Compliance",TM1GrpNewAdj08RecogDataEntryWS,TM1GrpNewAdj02ExpDataEntryWS)</f>
        <v>*KEY_ERR</v>
      </c>
    </row>
    <row r="31" spans="1:7" hidden="1" outlineLevel="1" x14ac:dyDescent="0.3"/>
    <row r="32" spans="1:7" hidden="1" outlineLevel="1" x14ac:dyDescent="0.3">
      <c r="A32" s="20" t="s">
        <v>11</v>
      </c>
      <c r="B32" s="21"/>
      <c r="C32" s="22"/>
      <c r="E32" s="20" t="s">
        <v>42</v>
      </c>
      <c r="F32" s="21"/>
      <c r="G32" s="22"/>
    </row>
    <row r="33" spans="1:7" hidden="1" outlineLevel="1" x14ac:dyDescent="0.3">
      <c r="A33" s="2" t="s">
        <v>9</v>
      </c>
      <c r="B33" s="6" t="str" cm="1">
        <f t="array" aca="1" ref="B33" ca="1">_xll.VIEW(db_name&amp;":sys_client preference","!","!","!")</f>
        <v>dcceew_geus:sys_client preference</v>
      </c>
      <c r="C33" s="6"/>
      <c r="E33" s="6" t="s">
        <v>22</v>
      </c>
      <c r="F33" s="6" t="str">
        <f ca="1">"sys_ae_"&amp;$M$93</f>
        <v>sys_ae_*KEY_ERR</v>
      </c>
      <c r="G33" s="6"/>
    </row>
    <row r="34" spans="1:7" hidden="1" outlineLevel="1" x14ac:dyDescent="0.3">
      <c r="A34" s="2"/>
      <c r="B34" s="7" t="s">
        <v>12</v>
      </c>
      <c r="C34" s="7" t="s">
        <v>13</v>
      </c>
    </row>
    <row r="35" spans="1:7" hidden="1" outlineLevel="1" x14ac:dyDescent="0.3">
      <c r="A35" s="2" t="s">
        <v>59</v>
      </c>
      <c r="B35" s="6" t="str" cm="1">
        <f t="array" aca="1" ref="B35" ca="1">_xll.SUBNM(db_name&amp;":sys_client preference measure","","value")</f>
        <v/>
      </c>
      <c r="C35" s="7"/>
    </row>
    <row r="36" spans="1:7" hidden="1" outlineLevel="1" x14ac:dyDescent="0.3">
      <c r="A36" s="2" t="s">
        <v>59</v>
      </c>
      <c r="B36" s="6" t="str" cm="1">
        <f t="array" aca="1" ref="B36" ca="1">_xll.SUBNM(db_name&amp;":sys_client preference measure","","validate")</f>
        <v/>
      </c>
      <c r="C36" s="7"/>
    </row>
    <row r="37" spans="1:7" hidden="1" outlineLevel="1" x14ac:dyDescent="0.3">
      <c r="A37" s="2" t="s">
        <v>14</v>
      </c>
      <c r="B37" s="6" t="str" cm="1">
        <f t="array" aca="1" ref="B37" ca="1">_xll.DBR($B$33,psUser,$A37,"value")</f>
        <v>*KEY_ERR</v>
      </c>
      <c r="C37" s="6" t="str" cm="1">
        <f t="array" aca="1" ref="C37" ca="1">_xll.DBR($B$33,psUser,$A37,C$34)</f>
        <v>*KEY_ERR</v>
      </c>
    </row>
    <row r="38" spans="1:7" hidden="1" outlineLevel="1" x14ac:dyDescent="0.3">
      <c r="A38" s="2" t="s">
        <v>15</v>
      </c>
      <c r="B38" s="6" t="str" cm="1">
        <f t="array" aca="1" ref="B38" ca="1">_xll.DBR($B$33,psUser,$A38,"value")</f>
        <v>*KEY_ERR</v>
      </c>
      <c r="C38" s="6" t="str" cm="1">
        <f t="array" aca="1" ref="C38" ca="1">_xll.DBR($B$33,psUser,$A38,C$34)</f>
        <v>*KEY_ERR</v>
      </c>
    </row>
    <row r="39" spans="1:7" hidden="1" outlineLevel="1" x14ac:dyDescent="0.3">
      <c r="A39" s="2" t="s">
        <v>16</v>
      </c>
      <c r="B39" s="6" t="str" cm="1">
        <f t="array" aca="1" ref="B39" ca="1">_xll.DBR($B$33,psUser,$A39,"value")</f>
        <v>*KEY_ERR</v>
      </c>
      <c r="C39" s="6" t="str" cm="1">
        <f t="array" aca="1" ref="C39" ca="1">_xll.DBR($B$33,psUser,$A39,C$34)</f>
        <v>*KEY_ERR</v>
      </c>
    </row>
    <row r="40" spans="1:7" hidden="1" outlineLevel="1" x14ac:dyDescent="0.3">
      <c r="A40" s="2" t="s">
        <v>17</v>
      </c>
      <c r="B40" s="6" t="str" cm="1">
        <f t="array" aca="1" ref="B40" ca="1">_xll.DBR($B$33,psUser,$A40,"value")</f>
        <v>*KEY_ERR</v>
      </c>
      <c r="C40" s="6" t="str" cm="1">
        <f t="array" aca="1" ref="C40" ca="1">_xll.DBR($B$33,psUser,$A40,"value")</f>
        <v>*KEY_ERR</v>
      </c>
    </row>
    <row r="41" spans="1:7" hidden="1" outlineLevel="1" x14ac:dyDescent="0.3">
      <c r="A41" s="2" t="s">
        <v>18</v>
      </c>
      <c r="B41" s="6" t="str" cm="1">
        <f t="array" aca="1" ref="B41" ca="1">_xll.DBR($B$33,psUser,$A41,B$34)</f>
        <v>*KEY_ERR</v>
      </c>
      <c r="C41" s="6" t="str" cm="1">
        <f t="array" aca="1" ref="C41" ca="1">_xll.DBR($B$33,psUser,$A41,C$34)</f>
        <v>*KEY_ERR</v>
      </c>
    </row>
    <row r="42" spans="1:7" hidden="1" outlineLevel="1" x14ac:dyDescent="0.3">
      <c r="A42" s="6" t="s">
        <v>47</v>
      </c>
      <c r="B42" s="6" t="str" cm="1">
        <f t="array" aca="1" ref="B42" ca="1">_xll.DBR($B$33,psUser,$A42,B$34)</f>
        <v>*KEY_ERR</v>
      </c>
      <c r="C42" s="6" t="str" cm="1">
        <f t="array" aca="1" ref="C42" ca="1">_xll.DBR($B$33,psUser,$A42,C$34)</f>
        <v>*KEY_ERR</v>
      </c>
    </row>
    <row r="43" spans="1:7" hidden="1" outlineLevel="1" x14ac:dyDescent="0.3">
      <c r="A43" s="6" t="s">
        <v>48</v>
      </c>
      <c r="B43" s="6" t="str" cm="1">
        <f t="array" aca="1" ref="B43" ca="1">_xll.DBR($B$33,psUser,$A43,B$34)</f>
        <v>*KEY_ERR</v>
      </c>
      <c r="C43" s="6" t="str" cm="1">
        <f t="array" aca="1" ref="C43" ca="1">_xll.DBR($B$33,psUser,$A43,C$34)</f>
        <v>*KEY_ERR</v>
      </c>
    </row>
    <row r="44" spans="1:7" hidden="1" outlineLevel="1" x14ac:dyDescent="0.3">
      <c r="A44" s="6" t="s">
        <v>49</v>
      </c>
      <c r="B44" s="6" t="str" cm="1">
        <f t="array" aca="1" ref="B44" ca="1">_xll.DBR($B$33,psUser,$A44,B$34)</f>
        <v>*KEY_ERR</v>
      </c>
      <c r="C44" s="6" t="str" cm="1">
        <f t="array" aca="1" ref="C44" ca="1">_xll.DBR($B$33,psUser,$A44,C$34)</f>
        <v>*KEY_ERR</v>
      </c>
    </row>
    <row r="45" spans="1:7" hidden="1" outlineLevel="1" x14ac:dyDescent="0.3">
      <c r="A45" s="6" t="s">
        <v>50</v>
      </c>
      <c r="B45" s="6" t="str" cm="1">
        <f t="array" aca="1" ref="B45" ca="1">_xll.DBR($B$33,psUser,$A45,B$34)</f>
        <v>*KEY_ERR</v>
      </c>
      <c r="C45" s="6" t="str" cm="1">
        <f t="array" aca="1" ref="C45" ca="1">_xll.DBR($B$33,psUser,$A45,C$34)</f>
        <v>*KEY_ERR</v>
      </c>
    </row>
    <row r="46" spans="1:7" hidden="1" outlineLevel="1" x14ac:dyDescent="0.3">
      <c r="A46" s="6" t="s">
        <v>51</v>
      </c>
      <c r="B46" s="6" t="str" cm="1">
        <f t="array" aca="1" ref="B46" ca="1">_xll.DBR($B$33,psUser,$A46,B$34)</f>
        <v>*KEY_ERR</v>
      </c>
      <c r="C46" s="6" t="str" cm="1">
        <f t="array" aca="1" ref="C46" ca="1">_xll.DBR($B$33,psUser,$A46,C$34)</f>
        <v>*KEY_ERR</v>
      </c>
    </row>
    <row r="47" spans="1:7" hidden="1" outlineLevel="1" x14ac:dyDescent="0.3">
      <c r="A47" s="6" t="s">
        <v>52</v>
      </c>
      <c r="B47" s="6" t="str" cm="1">
        <f t="array" aca="1" ref="B47" ca="1">_xll.DBR($B$33,psUser,$A47,B$34)</f>
        <v>*KEY_ERR</v>
      </c>
      <c r="C47" s="6" t="str" cm="1">
        <f t="array" aca="1" ref="C47" ca="1">_xll.DBR($B$33,psUser,$A47,C$34)</f>
        <v>*KEY_ERR</v>
      </c>
    </row>
    <row r="48" spans="1:7" hidden="1" outlineLevel="1" x14ac:dyDescent="0.3">
      <c r="A48" s="6" t="s">
        <v>53</v>
      </c>
      <c r="B48" s="6" t="str" cm="1">
        <f t="array" aca="1" ref="B48" ca="1">_xll.DBR($B$33,psUser,$A48,B$34)</f>
        <v>*KEY_ERR</v>
      </c>
      <c r="C48" s="6" t="str" cm="1">
        <f t="array" aca="1" ref="C48" ca="1">_xll.DBR($B$33,psUser,$A48,C$34)</f>
        <v>*KEY_ERR</v>
      </c>
    </row>
    <row r="49" spans="1:5" hidden="1" outlineLevel="1" x14ac:dyDescent="0.3">
      <c r="A49" s="6" t="s">
        <v>54</v>
      </c>
      <c r="B49" s="6" t="str" cm="1">
        <f t="array" aca="1" ref="B49" ca="1">_xll.DBR($B$33,psUser,$A49,B$34)</f>
        <v>*KEY_ERR</v>
      </c>
      <c r="C49" s="6" t="str" cm="1">
        <f t="array" aca="1" ref="C49" ca="1">_xll.DBR($B$33,psUser,$A49,C$34)</f>
        <v>*KEY_ERR</v>
      </c>
    </row>
    <row r="50" spans="1:5" hidden="1" outlineLevel="1" x14ac:dyDescent="0.3">
      <c r="A50" s="6" t="s">
        <v>55</v>
      </c>
      <c r="B50" s="6" t="str" cm="1">
        <f t="array" aca="1" ref="B50" ca="1">_xll.DBR($B$33,psUser,$A50,B$34)</f>
        <v>*KEY_ERR</v>
      </c>
      <c r="C50" s="6" t="str" cm="1">
        <f t="array" aca="1" ref="C50" ca="1">_xll.DBR($B$33,psUser,$A50,C$34)</f>
        <v>*KEY_ERR</v>
      </c>
    </row>
    <row r="51" spans="1:5" hidden="1" outlineLevel="1" x14ac:dyDescent="0.3">
      <c r="A51" s="6" t="s">
        <v>56</v>
      </c>
      <c r="B51" s="6" t="str" cm="1">
        <f t="array" aca="1" ref="B51" ca="1">_xll.DBR($B$33,psUser,$A51,B$34)</f>
        <v>*KEY_ERR</v>
      </c>
      <c r="C51" s="6" t="str" cm="1">
        <f t="array" aca="1" ref="C51" ca="1">_xll.DBR($B$33,psUser,$A51,C$34)</f>
        <v>*KEY_ERR</v>
      </c>
    </row>
    <row r="52" spans="1:5" hidden="1" outlineLevel="1" x14ac:dyDescent="0.3">
      <c r="A52" s="6" t="s">
        <v>57</v>
      </c>
      <c r="B52" s="6" t="str" cm="1">
        <f t="array" aca="1" ref="B52" ca="1">_xll.DBR($B$33,psUser,$A52,B$34)</f>
        <v>*KEY_ERR</v>
      </c>
      <c r="C52" s="6" t="str" cm="1">
        <f t="array" aca="1" ref="C52" ca="1">_xll.DBR($B$33,psUser,$A52,C$34)</f>
        <v>*KEY_ERR</v>
      </c>
    </row>
    <row r="53" spans="1:5" hidden="1" outlineLevel="1" x14ac:dyDescent="0.3"/>
    <row r="54" spans="1:5" hidden="1" outlineLevel="1" x14ac:dyDescent="0.3">
      <c r="A54" s="20" t="s">
        <v>19</v>
      </c>
      <c r="B54" s="21"/>
      <c r="C54" s="22"/>
    </row>
    <row r="55" spans="1:5" hidden="1" outlineLevel="1" x14ac:dyDescent="0.3">
      <c r="A55" s="2" t="s">
        <v>23</v>
      </c>
      <c r="B55" s="6" t="str" cm="1">
        <f t="array" aca="1" ref="B55" ca="1">_xll.VIEW(db_name&amp;":AE id details",$B$56,$B$57,$B$58,"!")</f>
        <v>dcceew_geus:AE id details</v>
      </c>
      <c r="C55" s="6"/>
    </row>
    <row r="56" spans="1:5" hidden="1" outlineLevel="1" x14ac:dyDescent="0.3">
      <c r="A56" s="2" t="s">
        <v>20</v>
      </c>
      <c r="B56" s="6" t="str" cm="1">
        <f t="array" aca="1" ref="B56" ca="1">_xll.SUBNM(db_name&amp;":headline year","Default",$B$37)</f>
        <v/>
      </c>
      <c r="C56" s="6"/>
    </row>
    <row r="57" spans="1:5" hidden="1" outlineLevel="1" x14ac:dyDescent="0.3">
      <c r="A57" s="2" t="s">
        <v>21</v>
      </c>
      <c r="B57" s="6" t="str" cm="1">
        <f t="array" aca="1" ref="B57" ca="1">_xll.SUBNM(db_name&amp;":scenario","Default",$B$38)</f>
        <v/>
      </c>
      <c r="C57" s="6"/>
    </row>
    <row r="58" spans="1:5" hidden="1" outlineLevel="1" x14ac:dyDescent="0.3">
      <c r="A58" s="2" t="s">
        <v>24</v>
      </c>
      <c r="B58" s="6" t="str" cm="1">
        <f t="array" aca="1" ref="B58" ca="1">_xll.SUBNM(db_name&amp;":id","",$B$39)</f>
        <v/>
      </c>
      <c r="C58" s="6"/>
    </row>
    <row r="59" spans="1:5" hidden="1" outlineLevel="1" x14ac:dyDescent="0.3">
      <c r="A59" s="2" t="s">
        <v>82</v>
      </c>
      <c r="B59" s="6" t="str" cm="1">
        <f t="array" aca="1" ref="B59" ca="1">_xll.DBR($B$55,$B$56,$B$57,$B$58,$A59)</f>
        <v>*KEY_ERR</v>
      </c>
      <c r="C59" s="6"/>
    </row>
    <row r="60" spans="1:5" hidden="1" outlineLevel="1" x14ac:dyDescent="0.3">
      <c r="A60" s="17" t="s">
        <v>435</v>
      </c>
      <c r="B60" s="6" t="str" cm="1">
        <f t="array" aca="1" ref="B60" ca="1">_xll.DBR($B$55,$B$56,$B$57,$B$58,$A60)</f>
        <v>*KEY_ERR</v>
      </c>
    </row>
    <row r="61" spans="1:5" hidden="1" outlineLevel="1" x14ac:dyDescent="0.3"/>
    <row r="62" spans="1:5" hidden="1" outlineLevel="1" x14ac:dyDescent="0.3">
      <c r="A62" s="20" t="s">
        <v>65</v>
      </c>
      <c r="B62" s="21"/>
      <c r="C62" s="22"/>
      <c r="D62" s="14" t="s">
        <v>73</v>
      </c>
      <c r="E62" s="14" t="s">
        <v>72</v>
      </c>
    </row>
    <row r="63" spans="1:5" hidden="1" outlineLevel="1" x14ac:dyDescent="0.3">
      <c r="A63" s="2" t="s">
        <v>23</v>
      </c>
      <c r="B63" s="6" t="str" cm="1">
        <f t="array" aca="1" ref="B63" ca="1">_xll.VIEW(db_name&amp;":programme details",$B$11,$B$12,"!","!")</f>
        <v>dcceew_geus:programme details</v>
      </c>
      <c r="C63" s="6"/>
    </row>
    <row r="64" spans="1:5" hidden="1" outlineLevel="1" x14ac:dyDescent="0.3"/>
    <row r="65" spans="1:4" hidden="1" outlineLevel="1" x14ac:dyDescent="0.3">
      <c r="A65" s="23" t="s">
        <v>74</v>
      </c>
      <c r="B65" s="24"/>
    </row>
    <row r="66" spans="1:4" hidden="1" outlineLevel="1" x14ac:dyDescent="0.3">
      <c r="A66" s="6" t="s">
        <v>75</v>
      </c>
      <c r="B66" s="6" t="str" cm="1">
        <f t="array" aca="1" ref="B66" ca="1">_xll.VIEW(db_name&amp;":}ElementAttributes_"&amp; A66,"!","!")</f>
        <v>dcceew_geus:}ElementAttributes_reason</v>
      </c>
    </row>
    <row r="67" spans="1:4" hidden="1" outlineLevel="1" x14ac:dyDescent="0.3">
      <c r="A67" s="6" t="s">
        <v>76</v>
      </c>
      <c r="B67" s="6" t="str" cm="1">
        <f t="array" aca="1" ref="B67" ca="1">_xll.DBR($B$66,$M$95,$A67)</f>
        <v>*KEY_ERR</v>
      </c>
    </row>
    <row r="68" spans="1:4" hidden="1" outlineLevel="1" x14ac:dyDescent="0.3"/>
    <row r="69" spans="1:4" hidden="1" outlineLevel="1" x14ac:dyDescent="0.3">
      <c r="A69" s="20" t="s">
        <v>60</v>
      </c>
      <c r="B69" s="21"/>
      <c r="C69" s="22"/>
    </row>
    <row r="70" spans="1:4" hidden="1" outlineLevel="1" x14ac:dyDescent="0.3">
      <c r="A70" s="2" t="s">
        <v>61</v>
      </c>
      <c r="B70" s="6" t="str">
        <f ca="1">IF($M$95="","",IF(AND($B$67="Y",$M$97&lt;&gt;""),$M$97,"No Measure"))</f>
        <v>No Measure</v>
      </c>
    </row>
    <row r="71" spans="1:4" hidden="1" outlineLevel="1" x14ac:dyDescent="0.3">
      <c r="A71" s="2" t="s">
        <v>62</v>
      </c>
      <c r="B71" s="6"/>
      <c r="D71" t="s">
        <v>77</v>
      </c>
    </row>
    <row r="72" spans="1:4" hidden="1" outlineLevel="1" x14ac:dyDescent="0.3">
      <c r="A72" s="2" t="s">
        <v>63</v>
      </c>
      <c r="B72" s="6" t="str">
        <f ca="1">IF($B$67="Y","sys_adj measure code only","sys_adj no measure code")</f>
        <v>sys_adj no measure code</v>
      </c>
    </row>
    <row r="73" spans="1:4" hidden="1" outlineLevel="1" x14ac:dyDescent="0.3">
      <c r="A73" s="2" t="s">
        <v>64</v>
      </c>
      <c r="B73" s="6" t="str" cm="1">
        <f t="array" aca="1" ref="B73" ca="1">_xll.SUBNM(db_name&amp;":measure code",$B$72,1)</f>
        <v/>
      </c>
    </row>
    <row r="74" spans="1:4" hidden="1" outlineLevel="1" x14ac:dyDescent="0.3"/>
    <row r="75" spans="1:4" hidden="1" outlineLevel="1" x14ac:dyDescent="0.3">
      <c r="A75" s="20" t="s">
        <v>66</v>
      </c>
      <c r="B75" s="21"/>
      <c r="C75" s="22"/>
    </row>
    <row r="76" spans="1:4" hidden="1" outlineLevel="1" x14ac:dyDescent="0.3">
      <c r="A76" s="6" t="s">
        <v>67</v>
      </c>
      <c r="B76" s="6" t="str">
        <f ca="1">$M$93</f>
        <v>*KEY_ERR</v>
      </c>
    </row>
    <row r="77" spans="1:4" hidden="1" outlineLevel="1" x14ac:dyDescent="0.3">
      <c r="A77" s="6" t="s">
        <v>68</v>
      </c>
      <c r="B77" s="6" t="str">
        <f ca="1">$M$95</f>
        <v>*KEY_ERR</v>
      </c>
    </row>
    <row r="78" spans="1:4" hidden="1" outlineLevel="1" x14ac:dyDescent="0.3">
      <c r="A78" s="6" t="s">
        <v>69</v>
      </c>
      <c r="B78" s="6" t="str">
        <f ca="1">$M$97</f>
        <v/>
      </c>
    </row>
    <row r="79" spans="1:4" hidden="1" outlineLevel="1" x14ac:dyDescent="0.3">
      <c r="A79" s="6" t="s">
        <v>70</v>
      </c>
      <c r="B79" s="6" t="str">
        <f ca="1">$M$99</f>
        <v>*KEY_ERR</v>
      </c>
    </row>
    <row r="80" spans="1:4" hidden="1" outlineLevel="1" x14ac:dyDescent="0.3">
      <c r="A80" s="6" t="s">
        <v>71</v>
      </c>
      <c r="B80" s="6" t="str">
        <f ca="1">$M$101</f>
        <v>*KEY_ERR</v>
      </c>
    </row>
    <row r="81" spans="1:18" hidden="1" outlineLevel="1" x14ac:dyDescent="0.3">
      <c r="A81" s="6" t="s">
        <v>79</v>
      </c>
      <c r="B81" s="6" t="str">
        <f ca="1">$M$109</f>
        <v>*KEY_ERR</v>
      </c>
    </row>
    <row r="82" spans="1:18" hidden="1" outlineLevel="1" x14ac:dyDescent="0.3"/>
    <row r="83" spans="1:18" hidden="1" outlineLevel="1" x14ac:dyDescent="0.3"/>
    <row r="84" spans="1:18" hidden="1" outlineLevel="1" x14ac:dyDescent="0.3"/>
    <row r="85" spans="1:18" hidden="1" outlineLevel="1" x14ac:dyDescent="0.3"/>
    <row r="86" spans="1:18" ht="39.75" customHeight="1" collapsed="1" x14ac:dyDescent="0.3">
      <c r="I86" s="10"/>
      <c r="J86" s="10"/>
      <c r="K86" s="10"/>
      <c r="L86" s="10"/>
      <c r="M86" s="10"/>
      <c r="N86" s="10"/>
      <c r="O86" s="10"/>
      <c r="P86" s="10"/>
      <c r="Q86" s="13" t="s">
        <v>86</v>
      </c>
    </row>
    <row r="87" spans="1:18" ht="4.5" customHeight="1" x14ac:dyDescent="0.3"/>
    <row r="88" spans="1:18" ht="24" customHeight="1" x14ac:dyDescent="0.3"/>
    <row r="89" spans="1:18" ht="2.1" customHeight="1" x14ac:dyDescent="0.3">
      <c r="I89" s="10"/>
      <c r="J89" s="10"/>
      <c r="K89" s="10"/>
      <c r="L89" s="10"/>
      <c r="M89" s="10"/>
      <c r="N89" s="10"/>
      <c r="O89" s="10"/>
      <c r="P89" s="10"/>
      <c r="Q89" s="10"/>
    </row>
    <row r="90" spans="1:18" ht="5.0999999999999996" customHeight="1" x14ac:dyDescent="0.3"/>
    <row r="91" spans="1:18" ht="15.6" x14ac:dyDescent="0.3">
      <c r="A91" s="1" t="s">
        <v>46</v>
      </c>
      <c r="B91" s="1" t="s">
        <v>58</v>
      </c>
      <c r="K91" s="11" t="s">
        <v>80</v>
      </c>
      <c r="M91" s="12" t="str">
        <f ca="1">psID</f>
        <v>*KEY_ERR</v>
      </c>
      <c r="N91" s="11" t="s">
        <v>81</v>
      </c>
      <c r="O91" s="16" t="str">
        <f ca="1">psStatus</f>
        <v>*KEY_ERR</v>
      </c>
    </row>
    <row r="92" spans="1:18" ht="5.0999999999999996" customHeight="1" x14ac:dyDescent="0.3">
      <c r="P92" s="11"/>
      <c r="Q92" s="11"/>
      <c r="R92" s="11"/>
    </row>
    <row r="93" spans="1:18" x14ac:dyDescent="0.3">
      <c r="A93" s="6" t="s">
        <v>47</v>
      </c>
      <c r="B93" s="6"/>
      <c r="K93" s="11" t="s">
        <v>41</v>
      </c>
      <c r="M93" s="28" t="str">
        <f ca="1">$B$42</f>
        <v>*KEY_ERR</v>
      </c>
      <c r="N93" s="29"/>
      <c r="O93" s="30"/>
    </row>
    <row r="94" spans="1:18" ht="5.0999999999999996" customHeight="1" x14ac:dyDescent="0.3"/>
    <row r="95" spans="1:18" x14ac:dyDescent="0.3">
      <c r="A95" s="6" t="s">
        <v>49</v>
      </c>
      <c r="K95" s="11" t="s">
        <v>40</v>
      </c>
      <c r="M95" s="31" t="str" cm="1">
        <f t="array" aca="1" ref="M95" ca="1">_xll.DBR($B$33,$B$4,$A95,$B$35)</f>
        <v>*KEY_ERR</v>
      </c>
      <c r="N95" s="32"/>
      <c r="O95" s="33"/>
      <c r="P95" s="25" t="str" cm="1">
        <f t="array" aca="1" ref="P95" ca="1">_xll.DBR($B$33,$B$4,$A95,$B$36)</f>
        <v>*KEY_ERR</v>
      </c>
      <c r="Q95" s="19"/>
      <c r="R95" s="19"/>
    </row>
    <row r="96" spans="1:18" ht="5.0999999999999996" customHeight="1" x14ac:dyDescent="0.3"/>
    <row r="97" spans="1:18" x14ac:dyDescent="0.3">
      <c r="A97" s="6" t="s">
        <v>50</v>
      </c>
      <c r="B97" s="6" t="str" cm="1">
        <f t="array" aca="1" ref="B97" ca="1">IF($M$97="",_xll.DBSS($B$70,$B$33,$B$4,$A97,$B$35),"")</f>
        <v>*KEY_ERR</v>
      </c>
      <c r="K97" s="11" t="s">
        <v>45</v>
      </c>
      <c r="M97" s="31" t="str" cm="1">
        <f t="array" aca="1" ref="M97" ca="1">_xll.SUBNM(db_name&amp;":measure code",$B$72,$B$73,"CBMS code and description")</f>
        <v/>
      </c>
      <c r="N97" s="32"/>
      <c r="O97" s="33"/>
      <c r="P97" s="25" t="str" cm="1">
        <f t="array" aca="1" ref="P97" ca="1">_xll.DBR($B$33,$B$4,$A97,$B$36)</f>
        <v>*KEY_ERR</v>
      </c>
      <c r="Q97" s="19"/>
      <c r="R97" s="19"/>
    </row>
    <row r="98" spans="1:18" ht="5.0999999999999996" customHeight="1" x14ac:dyDescent="0.3"/>
    <row r="99" spans="1:18" x14ac:dyDescent="0.3">
      <c r="A99" s="6" t="s">
        <v>51</v>
      </c>
      <c r="K99" s="11" t="s">
        <v>43</v>
      </c>
      <c r="M99" s="31" t="str" cm="1">
        <f t="array" aca="1" ref="M99" ca="1">_xll.DBR($B$33,$B$4,$A99,$B$35)</f>
        <v>*KEY_ERR</v>
      </c>
      <c r="N99" s="32"/>
      <c r="O99" s="33"/>
      <c r="P99" s="25" t="str" cm="1">
        <f t="array" aca="1" ref="P99" ca="1">_xll.DBR($B$33,$B$4,$A99,$B$36)</f>
        <v>*KEY_ERR</v>
      </c>
      <c r="Q99" s="19"/>
      <c r="R99" s="19"/>
    </row>
    <row r="100" spans="1:18" ht="5.0999999999999996" customHeight="1" x14ac:dyDescent="0.3"/>
    <row r="101" spans="1:18" x14ac:dyDescent="0.3">
      <c r="A101" s="6" t="s">
        <v>52</v>
      </c>
      <c r="K101" s="11" t="s">
        <v>44</v>
      </c>
      <c r="M101" s="34" t="str" cm="1">
        <f t="array" aca="1" ref="M101" ca="1">_xll.DBR($B$33,$B$4,$A101,$B$35)</f>
        <v>*KEY_ERR</v>
      </c>
      <c r="N101" s="34"/>
      <c r="O101" s="34"/>
      <c r="P101" s="26" t="str" cm="1">
        <f t="array" aca="1" ref="P101" ca="1">_xll.DBR($B$33,$B$4,$A101,$B$36)</f>
        <v>*KEY_ERR</v>
      </c>
      <c r="Q101" s="27"/>
      <c r="R101" s="27"/>
    </row>
    <row r="102" spans="1:18" x14ac:dyDescent="0.3">
      <c r="M102" s="34" t="str">
        <f ca="1">_xll.DBR($B$33,$B$4,$A102,$B$35)</f>
        <v>*KEY_ERR</v>
      </c>
      <c r="N102" s="34"/>
      <c r="O102" s="34"/>
      <c r="P102" s="26"/>
      <c r="Q102" s="27"/>
      <c r="R102" s="27"/>
    </row>
    <row r="103" spans="1:18" x14ac:dyDescent="0.3">
      <c r="K103" s="1"/>
      <c r="L103" s="1"/>
      <c r="M103" s="34" t="str">
        <f ca="1">_xll.DBR($B$33,$B$4,$A103,$B$35)</f>
        <v>*KEY_ERR</v>
      </c>
      <c r="N103" s="34"/>
      <c r="O103" s="34"/>
      <c r="P103" s="26"/>
      <c r="Q103" s="27"/>
      <c r="R103" s="27"/>
    </row>
    <row r="104" spans="1:18" ht="6" customHeight="1" x14ac:dyDescent="0.3">
      <c r="K104" s="1"/>
      <c r="L104" s="1"/>
    </row>
    <row r="105" spans="1:18" x14ac:dyDescent="0.3">
      <c r="A105" s="6" t="s">
        <v>84</v>
      </c>
      <c r="K105" s="11" t="s">
        <v>83</v>
      </c>
      <c r="M105" s="34" t="str" cm="1">
        <f t="array" aca="1" ref="M105" ca="1">_xll.DBR($B$33,$B$4,$A105,$B$35)</f>
        <v>*KEY_ERR</v>
      </c>
      <c r="N105" s="34"/>
      <c r="O105" s="34"/>
      <c r="P105" s="26" t="str" cm="1">
        <f t="array" aca="1" ref="P105" ca="1">_xll.DBR($B$33,$B$4,$A105,$B$36)</f>
        <v>*KEY_ERR</v>
      </c>
      <c r="Q105" s="27"/>
      <c r="R105" s="27"/>
    </row>
    <row r="106" spans="1:18" x14ac:dyDescent="0.3">
      <c r="M106" s="34" t="str">
        <f ca="1">_xll.DBR($B$33,$B$4,$A106,$B$35)</f>
        <v>*KEY_ERR</v>
      </c>
      <c r="N106" s="34"/>
      <c r="O106" s="34"/>
      <c r="P106" s="26"/>
      <c r="Q106" s="27"/>
      <c r="R106" s="27"/>
    </row>
    <row r="107" spans="1:18" x14ac:dyDescent="0.3">
      <c r="K107" s="1"/>
      <c r="L107" s="1"/>
      <c r="M107" s="34" t="str">
        <f ca="1">_xll.DBR($B$33,$B$4,$A107,$B$35)</f>
        <v>*KEY_ERR</v>
      </c>
      <c r="N107" s="34"/>
      <c r="O107" s="34"/>
      <c r="P107" s="26"/>
      <c r="Q107" s="27"/>
      <c r="R107" s="27"/>
    </row>
    <row r="108" spans="1:18" ht="5.0999999999999996" customHeight="1" x14ac:dyDescent="0.3">
      <c r="K108" s="1"/>
      <c r="L108" s="1"/>
    </row>
    <row r="109" spans="1:18" x14ac:dyDescent="0.3">
      <c r="A109" s="6" t="s">
        <v>85</v>
      </c>
      <c r="K109" s="11" t="s">
        <v>78</v>
      </c>
      <c r="L109" s="11"/>
      <c r="M109" s="15" t="str" cm="1">
        <f t="array" aca="1" ref="M109" ca="1">_xll.DBR($B$33,$B$4,$A109,$B$35)</f>
        <v>*KEY_ERR</v>
      </c>
      <c r="P109" s="19" t="str" cm="1">
        <f t="array" aca="1" ref="P109" ca="1">_xll.DBR($B$33,$B$4,$A109,$B$36)</f>
        <v>*KEY_ERR</v>
      </c>
      <c r="Q109" s="19"/>
      <c r="R109" s="19"/>
    </row>
    <row r="110" spans="1:18" ht="4.5" customHeight="1" x14ac:dyDescent="0.3">
      <c r="K110" s="1"/>
      <c r="L110" s="1"/>
    </row>
    <row r="111" spans="1:18" ht="5.0999999999999996" customHeight="1" x14ac:dyDescent="0.3">
      <c r="K111" s="1"/>
      <c r="L111" s="1"/>
    </row>
    <row r="112" spans="1:18" x14ac:dyDescent="0.3">
      <c r="K112" s="1"/>
      <c r="L112" s="1"/>
    </row>
    <row r="113" spans="11:12" ht="5.0999999999999996" customHeight="1" x14ac:dyDescent="0.3">
      <c r="K113" s="1"/>
      <c r="L113" s="1"/>
    </row>
  </sheetData>
  <sheetProtection sheet="1" objects="1" scenarios="1"/>
  <mergeCells count="22">
    <mergeCell ref="E32:G32"/>
    <mergeCell ref="A1:C1"/>
    <mergeCell ref="A9:C9"/>
    <mergeCell ref="A32:C32"/>
    <mergeCell ref="A54:C54"/>
    <mergeCell ref="A14:C14"/>
    <mergeCell ref="P109:R109"/>
    <mergeCell ref="A69:C69"/>
    <mergeCell ref="A62:C62"/>
    <mergeCell ref="A75:C75"/>
    <mergeCell ref="A65:B65"/>
    <mergeCell ref="P99:R99"/>
    <mergeCell ref="P97:R97"/>
    <mergeCell ref="P95:R95"/>
    <mergeCell ref="P101:R103"/>
    <mergeCell ref="M93:O93"/>
    <mergeCell ref="M95:O95"/>
    <mergeCell ref="M99:O99"/>
    <mergeCell ref="M97:O97"/>
    <mergeCell ref="M101:O103"/>
    <mergeCell ref="M105:O107"/>
    <mergeCell ref="P105:R107"/>
  </mergeCells>
  <conditionalFormatting sqref="O91">
    <cfRule type="containsText" dxfId="1" priority="1" operator="containsText" text="approve">
      <formula>NOT(ISERROR(SEARCH("approve",O91)))</formula>
    </cfRule>
    <cfRule type="beginsWith" dxfId="0" priority="2" operator="beginsWith" text="un">
      <formula>LEFT(O91,LEN("un"))="un"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  <controls>
    <mc:AlternateContent xmlns:mc="http://schemas.openxmlformats.org/markup-compatibility/2006">
      <mc:Choice Requires="x14">
        <control shapeId="1040" r:id="rId4" name="TIButton8">
          <controlPr defaultSize="0" print="0" autoLine="0" autoPict="0" r:id="rId5">
            <anchor moveWithCells="1" sizeWithCells="1">
              <from>
                <xdr:col>10</xdr:col>
                <xdr:colOff>1760220</xdr:colOff>
                <xdr:row>87</xdr:row>
                <xdr:rowOff>0</xdr:rowOff>
              </from>
              <to>
                <xdr:col>10</xdr:col>
                <xdr:colOff>2545080</xdr:colOff>
                <xdr:row>87</xdr:row>
                <xdr:rowOff>251460</xdr:rowOff>
              </to>
            </anchor>
          </controlPr>
        </control>
      </mc:Choice>
      <mc:Fallback>
        <control shapeId="1040" r:id="rId4" name="TIButton8"/>
      </mc:Fallback>
    </mc:AlternateContent>
    <mc:AlternateContent xmlns:mc="http://schemas.openxmlformats.org/markup-compatibility/2006">
      <mc:Choice Requires="x14">
        <control shapeId="1033" r:id="rId6" name="TIButton7">
          <controlPr defaultSize="0" print="0" autoLine="0" autoPict="0" r:id="rId7">
            <anchor moveWithCells="1" sizeWithCells="1">
              <from>
                <xdr:col>13</xdr:col>
                <xdr:colOff>632460</xdr:colOff>
                <xdr:row>111</xdr:row>
                <xdr:rowOff>60960</xdr:rowOff>
              </from>
              <to>
                <xdr:col>14</xdr:col>
                <xdr:colOff>693420</xdr:colOff>
                <xdr:row>113</xdr:row>
                <xdr:rowOff>68580</xdr:rowOff>
              </to>
            </anchor>
          </controlPr>
        </control>
      </mc:Choice>
      <mc:Fallback>
        <control shapeId="1033" r:id="rId6" name="TIButton7"/>
      </mc:Fallback>
    </mc:AlternateContent>
    <mc:AlternateContent xmlns:mc="http://schemas.openxmlformats.org/markup-compatibility/2006">
      <mc:Choice Requires="x14">
        <control shapeId="1032" r:id="rId8" name="TIButton6">
          <controlPr defaultSize="0" print="0" autoLine="0" autoPict="0" r:id="rId9">
            <anchor moveWithCells="1" sizeWithCells="1">
              <from>
                <xdr:col>12</xdr:col>
                <xdr:colOff>2026920</xdr:colOff>
                <xdr:row>111</xdr:row>
                <xdr:rowOff>60960</xdr:rowOff>
              </from>
              <to>
                <xdr:col>13</xdr:col>
                <xdr:colOff>426720</xdr:colOff>
                <xdr:row>113</xdr:row>
                <xdr:rowOff>68580</xdr:rowOff>
              </to>
            </anchor>
          </controlPr>
        </control>
      </mc:Choice>
      <mc:Fallback>
        <control shapeId="1032" r:id="rId8" name="TIButton6"/>
      </mc:Fallback>
    </mc:AlternateContent>
    <mc:AlternateContent xmlns:mc="http://schemas.openxmlformats.org/markup-compatibility/2006">
      <mc:Choice Requires="x14">
        <control shapeId="1029" r:id="rId10" name="TIButton5">
          <controlPr defaultSize="0" print="0" autoLine="0" autoPict="0" r:id="rId11">
            <anchor moveWithCells="1" sizeWithCells="1">
              <from>
                <xdr:col>10</xdr:col>
                <xdr:colOff>868680</xdr:colOff>
                <xdr:row>87</xdr:row>
                <xdr:rowOff>0</xdr:rowOff>
              </from>
              <to>
                <xdr:col>10</xdr:col>
                <xdr:colOff>1706880</xdr:colOff>
                <xdr:row>87</xdr:row>
                <xdr:rowOff>251460</xdr:rowOff>
              </to>
            </anchor>
          </controlPr>
        </control>
      </mc:Choice>
      <mc:Fallback>
        <control shapeId="1029" r:id="rId10" name="TIButton5"/>
      </mc:Fallback>
    </mc:AlternateContent>
    <mc:AlternateContent xmlns:mc="http://schemas.openxmlformats.org/markup-compatibility/2006">
      <mc:Choice Requires="x14">
        <control shapeId="1025" r:id="rId12" name="TIButton1">
          <controlPr defaultSize="0" print="0" autoLine="0" autoPict="0" r:id="rId13">
            <anchor moveWithCells="1" sizeWithCells="1">
              <from>
                <xdr:col>9</xdr:col>
                <xdr:colOff>45720</xdr:colOff>
                <xdr:row>87</xdr:row>
                <xdr:rowOff>0</xdr:rowOff>
              </from>
              <to>
                <xdr:col>9</xdr:col>
                <xdr:colOff>685800</xdr:colOff>
                <xdr:row>87</xdr:row>
                <xdr:rowOff>251460</xdr:rowOff>
              </to>
            </anchor>
          </controlPr>
        </control>
      </mc:Choice>
      <mc:Fallback>
        <control shapeId="1025" r:id="rId12" name="TIButton1"/>
      </mc:Fallback>
    </mc:AlternateContent>
    <mc:AlternateContent xmlns:mc="http://schemas.openxmlformats.org/markup-compatibility/2006">
      <mc:Choice Requires="x14">
        <control shapeId="1026" r:id="rId14" name="TIButton2">
          <controlPr defaultSize="0" print="0" autoLine="0" autoPict="0" r:id="rId15">
            <anchor moveWithCells="1" sizeWithCells="1">
              <from>
                <xdr:col>9</xdr:col>
                <xdr:colOff>723900</xdr:colOff>
                <xdr:row>87</xdr:row>
                <xdr:rowOff>0</xdr:rowOff>
              </from>
              <to>
                <xdr:col>10</xdr:col>
                <xdr:colOff>822960</xdr:colOff>
                <xdr:row>87</xdr:row>
                <xdr:rowOff>251460</xdr:rowOff>
              </to>
            </anchor>
          </controlPr>
        </control>
      </mc:Choice>
      <mc:Fallback>
        <control shapeId="1026" r:id="rId14" name="TIButton2"/>
      </mc:Fallback>
    </mc:AlternateContent>
    <mc:AlternateContent xmlns:mc="http://schemas.openxmlformats.org/markup-compatibility/2006">
      <mc:Choice Requires="x14">
        <control shapeId="1027" r:id="rId16" name="TIButton3">
          <controlPr defaultSize="0" print="0" autoLine="0" autoPict="0" r:id="rId17">
            <anchor moveWithCells="1" sizeWithCells="1">
              <from>
                <xdr:col>10</xdr:col>
                <xdr:colOff>2590800</xdr:colOff>
                <xdr:row>86</xdr:row>
                <xdr:rowOff>45720</xdr:rowOff>
              </from>
              <to>
                <xdr:col>10</xdr:col>
                <xdr:colOff>3375660</xdr:colOff>
                <xdr:row>87</xdr:row>
                <xdr:rowOff>251460</xdr:rowOff>
              </to>
            </anchor>
          </controlPr>
        </control>
      </mc:Choice>
      <mc:Fallback>
        <control shapeId="1027" r:id="rId16" name="TIButton3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3C15C-5A42-4B2D-B837-E225298BA874}">
  <sheetPr codeName="Sheet2"/>
  <dimension ref="A1:A344"/>
  <sheetViews>
    <sheetView workbookViewId="0"/>
  </sheetViews>
  <sheetFormatPr defaultRowHeight="14.4" x14ac:dyDescent="0.3"/>
  <sheetData>
    <row r="1" spans="1:1" x14ac:dyDescent="0.3">
      <c r="A1" t="s">
        <v>91</v>
      </c>
    </row>
    <row r="2" spans="1:1" x14ac:dyDescent="0.3">
      <c r="A2" t="s">
        <v>92</v>
      </c>
    </row>
    <row r="3" spans="1:1" x14ac:dyDescent="0.3">
      <c r="A3" t="s">
        <v>93</v>
      </c>
    </row>
    <row r="4" spans="1:1" x14ac:dyDescent="0.3">
      <c r="A4" t="s">
        <v>94</v>
      </c>
    </row>
    <row r="5" spans="1:1" x14ac:dyDescent="0.3">
      <c r="A5" t="s">
        <v>95</v>
      </c>
    </row>
    <row r="6" spans="1:1" x14ac:dyDescent="0.3">
      <c r="A6" t="s">
        <v>96</v>
      </c>
    </row>
    <row r="7" spans="1:1" x14ac:dyDescent="0.3">
      <c r="A7" t="s">
        <v>97</v>
      </c>
    </row>
    <row r="8" spans="1:1" x14ac:dyDescent="0.3">
      <c r="A8" t="s">
        <v>98</v>
      </c>
    </row>
    <row r="9" spans="1:1" x14ac:dyDescent="0.3">
      <c r="A9" t="s">
        <v>99</v>
      </c>
    </row>
    <row r="10" spans="1:1" x14ac:dyDescent="0.3">
      <c r="A10" t="s">
        <v>100</v>
      </c>
    </row>
    <row r="11" spans="1:1" x14ac:dyDescent="0.3">
      <c r="A11" t="s">
        <v>101</v>
      </c>
    </row>
    <row r="12" spans="1:1" x14ac:dyDescent="0.3">
      <c r="A12" t="s">
        <v>102</v>
      </c>
    </row>
    <row r="13" spans="1:1" x14ac:dyDescent="0.3">
      <c r="A13" t="s">
        <v>103</v>
      </c>
    </row>
    <row r="14" spans="1:1" x14ac:dyDescent="0.3">
      <c r="A14" t="s">
        <v>104</v>
      </c>
    </row>
    <row r="15" spans="1:1" x14ac:dyDescent="0.3">
      <c r="A15" t="s">
        <v>105</v>
      </c>
    </row>
    <row r="16" spans="1:1" x14ac:dyDescent="0.3">
      <c r="A16" t="s">
        <v>106</v>
      </c>
    </row>
    <row r="17" spans="1:1" x14ac:dyDescent="0.3">
      <c r="A17" t="s">
        <v>107</v>
      </c>
    </row>
    <row r="18" spans="1:1" x14ac:dyDescent="0.3">
      <c r="A18" t="s">
        <v>108</v>
      </c>
    </row>
    <row r="19" spans="1:1" x14ac:dyDescent="0.3">
      <c r="A19" t="s">
        <v>109</v>
      </c>
    </row>
    <row r="20" spans="1:1" x14ac:dyDescent="0.3">
      <c r="A20" t="s">
        <v>110</v>
      </c>
    </row>
    <row r="21" spans="1:1" x14ac:dyDescent="0.3">
      <c r="A21" t="s">
        <v>111</v>
      </c>
    </row>
    <row r="22" spans="1:1" x14ac:dyDescent="0.3">
      <c r="A22" t="s">
        <v>112</v>
      </c>
    </row>
    <row r="23" spans="1:1" x14ac:dyDescent="0.3">
      <c r="A23" t="s">
        <v>113</v>
      </c>
    </row>
    <row r="24" spans="1:1" x14ac:dyDescent="0.3">
      <c r="A24" t="s">
        <v>114</v>
      </c>
    </row>
    <row r="25" spans="1:1" x14ac:dyDescent="0.3">
      <c r="A25" t="s">
        <v>115</v>
      </c>
    </row>
    <row r="26" spans="1:1" x14ac:dyDescent="0.3">
      <c r="A26" t="s">
        <v>116</v>
      </c>
    </row>
    <row r="27" spans="1:1" x14ac:dyDescent="0.3">
      <c r="A27" t="s">
        <v>117</v>
      </c>
    </row>
    <row r="28" spans="1:1" x14ac:dyDescent="0.3">
      <c r="A28" t="s">
        <v>118</v>
      </c>
    </row>
    <row r="29" spans="1:1" x14ac:dyDescent="0.3">
      <c r="A29" t="s">
        <v>119</v>
      </c>
    </row>
    <row r="30" spans="1:1" x14ac:dyDescent="0.3">
      <c r="A30" t="s">
        <v>120</v>
      </c>
    </row>
    <row r="31" spans="1:1" x14ac:dyDescent="0.3">
      <c r="A31" t="s">
        <v>121</v>
      </c>
    </row>
    <row r="32" spans="1:1" x14ac:dyDescent="0.3">
      <c r="A32" t="s">
        <v>122</v>
      </c>
    </row>
    <row r="33" spans="1:1" x14ac:dyDescent="0.3">
      <c r="A33" t="s">
        <v>123</v>
      </c>
    </row>
    <row r="34" spans="1:1" x14ac:dyDescent="0.3">
      <c r="A34" t="s">
        <v>124</v>
      </c>
    </row>
    <row r="35" spans="1:1" x14ac:dyDescent="0.3">
      <c r="A35" t="s">
        <v>125</v>
      </c>
    </row>
    <row r="36" spans="1:1" x14ac:dyDescent="0.3">
      <c r="A36" t="s">
        <v>126</v>
      </c>
    </row>
    <row r="37" spans="1:1" x14ac:dyDescent="0.3">
      <c r="A37" t="s">
        <v>127</v>
      </c>
    </row>
    <row r="38" spans="1:1" x14ac:dyDescent="0.3">
      <c r="A38" t="s">
        <v>128</v>
      </c>
    </row>
    <row r="39" spans="1:1" x14ac:dyDescent="0.3">
      <c r="A39" t="s">
        <v>129</v>
      </c>
    </row>
    <row r="40" spans="1:1" x14ac:dyDescent="0.3">
      <c r="A40" t="s">
        <v>130</v>
      </c>
    </row>
    <row r="41" spans="1:1" x14ac:dyDescent="0.3">
      <c r="A41" t="s">
        <v>131</v>
      </c>
    </row>
    <row r="42" spans="1:1" x14ac:dyDescent="0.3">
      <c r="A42" t="s">
        <v>132</v>
      </c>
    </row>
    <row r="43" spans="1:1" x14ac:dyDescent="0.3">
      <c r="A43" t="s">
        <v>133</v>
      </c>
    </row>
    <row r="44" spans="1:1" x14ac:dyDescent="0.3">
      <c r="A44" t="s">
        <v>134</v>
      </c>
    </row>
    <row r="45" spans="1:1" x14ac:dyDescent="0.3">
      <c r="A45" t="s">
        <v>135</v>
      </c>
    </row>
    <row r="46" spans="1:1" x14ac:dyDescent="0.3">
      <c r="A46" t="s">
        <v>136</v>
      </c>
    </row>
    <row r="47" spans="1:1" x14ac:dyDescent="0.3">
      <c r="A47" t="s">
        <v>137</v>
      </c>
    </row>
    <row r="48" spans="1:1" x14ac:dyDescent="0.3">
      <c r="A48" t="s">
        <v>138</v>
      </c>
    </row>
    <row r="49" spans="1:1" x14ac:dyDescent="0.3">
      <c r="A49" t="s">
        <v>139</v>
      </c>
    </row>
    <row r="50" spans="1:1" x14ac:dyDescent="0.3">
      <c r="A50" t="s">
        <v>140</v>
      </c>
    </row>
    <row r="51" spans="1:1" x14ac:dyDescent="0.3">
      <c r="A51" t="s">
        <v>141</v>
      </c>
    </row>
    <row r="52" spans="1:1" x14ac:dyDescent="0.3">
      <c r="A52" t="s">
        <v>142</v>
      </c>
    </row>
    <row r="53" spans="1:1" x14ac:dyDescent="0.3">
      <c r="A53" t="s">
        <v>143</v>
      </c>
    </row>
    <row r="54" spans="1:1" x14ac:dyDescent="0.3">
      <c r="A54" t="s">
        <v>144</v>
      </c>
    </row>
    <row r="55" spans="1:1" x14ac:dyDescent="0.3">
      <c r="A55" t="s">
        <v>145</v>
      </c>
    </row>
    <row r="56" spans="1:1" x14ac:dyDescent="0.3">
      <c r="A56" t="s">
        <v>146</v>
      </c>
    </row>
    <row r="57" spans="1:1" x14ac:dyDescent="0.3">
      <c r="A57" t="s">
        <v>147</v>
      </c>
    </row>
    <row r="58" spans="1:1" x14ac:dyDescent="0.3">
      <c r="A58" t="s">
        <v>148</v>
      </c>
    </row>
    <row r="59" spans="1:1" x14ac:dyDescent="0.3">
      <c r="A59" t="s">
        <v>149</v>
      </c>
    </row>
    <row r="60" spans="1:1" x14ac:dyDescent="0.3">
      <c r="A60" t="s">
        <v>150</v>
      </c>
    </row>
    <row r="61" spans="1:1" x14ac:dyDescent="0.3">
      <c r="A61" t="s">
        <v>151</v>
      </c>
    </row>
    <row r="62" spans="1:1" x14ac:dyDescent="0.3">
      <c r="A62" t="s">
        <v>152</v>
      </c>
    </row>
    <row r="63" spans="1:1" x14ac:dyDescent="0.3">
      <c r="A63" t="s">
        <v>153</v>
      </c>
    </row>
    <row r="64" spans="1:1" x14ac:dyDescent="0.3">
      <c r="A64" t="s">
        <v>154</v>
      </c>
    </row>
    <row r="65" spans="1:1" x14ac:dyDescent="0.3">
      <c r="A65" t="s">
        <v>155</v>
      </c>
    </row>
    <row r="66" spans="1:1" x14ac:dyDescent="0.3">
      <c r="A66" t="s">
        <v>156</v>
      </c>
    </row>
    <row r="67" spans="1:1" x14ac:dyDescent="0.3">
      <c r="A67" t="s">
        <v>157</v>
      </c>
    </row>
    <row r="68" spans="1:1" x14ac:dyDescent="0.3">
      <c r="A68" t="s">
        <v>158</v>
      </c>
    </row>
    <row r="69" spans="1:1" x14ac:dyDescent="0.3">
      <c r="A69" t="s">
        <v>159</v>
      </c>
    </row>
    <row r="70" spans="1:1" x14ac:dyDescent="0.3">
      <c r="A70" t="s">
        <v>160</v>
      </c>
    </row>
    <row r="71" spans="1:1" x14ac:dyDescent="0.3">
      <c r="A71" t="s">
        <v>161</v>
      </c>
    </row>
    <row r="72" spans="1:1" x14ac:dyDescent="0.3">
      <c r="A72" t="s">
        <v>162</v>
      </c>
    </row>
    <row r="73" spans="1:1" x14ac:dyDescent="0.3">
      <c r="A73" t="s">
        <v>163</v>
      </c>
    </row>
    <row r="74" spans="1:1" x14ac:dyDescent="0.3">
      <c r="A74" t="s">
        <v>164</v>
      </c>
    </row>
    <row r="75" spans="1:1" x14ac:dyDescent="0.3">
      <c r="A75" t="s">
        <v>165</v>
      </c>
    </row>
    <row r="76" spans="1:1" x14ac:dyDescent="0.3">
      <c r="A76" t="s">
        <v>166</v>
      </c>
    </row>
    <row r="77" spans="1:1" x14ac:dyDescent="0.3">
      <c r="A77" t="s">
        <v>167</v>
      </c>
    </row>
    <row r="78" spans="1:1" x14ac:dyDescent="0.3">
      <c r="A78" t="s">
        <v>168</v>
      </c>
    </row>
    <row r="79" spans="1:1" x14ac:dyDescent="0.3">
      <c r="A79" t="s">
        <v>169</v>
      </c>
    </row>
    <row r="80" spans="1:1" x14ac:dyDescent="0.3">
      <c r="A80" t="s">
        <v>170</v>
      </c>
    </row>
    <row r="81" spans="1:1" x14ac:dyDescent="0.3">
      <c r="A81" t="s">
        <v>171</v>
      </c>
    </row>
    <row r="82" spans="1:1" x14ac:dyDescent="0.3">
      <c r="A82" t="s">
        <v>172</v>
      </c>
    </row>
    <row r="83" spans="1:1" x14ac:dyDescent="0.3">
      <c r="A83" t="s">
        <v>173</v>
      </c>
    </row>
    <row r="84" spans="1:1" x14ac:dyDescent="0.3">
      <c r="A84" t="s">
        <v>174</v>
      </c>
    </row>
    <row r="85" spans="1:1" x14ac:dyDescent="0.3">
      <c r="A85" t="s">
        <v>175</v>
      </c>
    </row>
    <row r="86" spans="1:1" x14ac:dyDescent="0.3">
      <c r="A86" t="s">
        <v>176</v>
      </c>
    </row>
    <row r="87" spans="1:1" x14ac:dyDescent="0.3">
      <c r="A87" t="s">
        <v>177</v>
      </c>
    </row>
    <row r="88" spans="1:1" x14ac:dyDescent="0.3">
      <c r="A88" t="s">
        <v>178</v>
      </c>
    </row>
    <row r="89" spans="1:1" x14ac:dyDescent="0.3">
      <c r="A89" t="s">
        <v>179</v>
      </c>
    </row>
    <row r="90" spans="1:1" x14ac:dyDescent="0.3">
      <c r="A90" t="s">
        <v>180</v>
      </c>
    </row>
    <row r="91" spans="1:1" x14ac:dyDescent="0.3">
      <c r="A91" t="s">
        <v>181</v>
      </c>
    </row>
    <row r="92" spans="1:1" x14ac:dyDescent="0.3">
      <c r="A92" t="s">
        <v>182</v>
      </c>
    </row>
    <row r="93" spans="1:1" x14ac:dyDescent="0.3">
      <c r="A93" t="s">
        <v>183</v>
      </c>
    </row>
    <row r="94" spans="1:1" x14ac:dyDescent="0.3">
      <c r="A94" t="s">
        <v>184</v>
      </c>
    </row>
    <row r="95" spans="1:1" x14ac:dyDescent="0.3">
      <c r="A95" t="s">
        <v>185</v>
      </c>
    </row>
    <row r="96" spans="1:1" x14ac:dyDescent="0.3">
      <c r="A96" t="s">
        <v>186</v>
      </c>
    </row>
    <row r="97" spans="1:1" x14ac:dyDescent="0.3">
      <c r="A97" t="s">
        <v>187</v>
      </c>
    </row>
    <row r="98" spans="1:1" x14ac:dyDescent="0.3">
      <c r="A98" t="s">
        <v>188</v>
      </c>
    </row>
    <row r="99" spans="1:1" x14ac:dyDescent="0.3">
      <c r="A99" t="s">
        <v>189</v>
      </c>
    </row>
    <row r="100" spans="1:1" x14ac:dyDescent="0.3">
      <c r="A100" t="s">
        <v>190</v>
      </c>
    </row>
    <row r="101" spans="1:1" x14ac:dyDescent="0.3">
      <c r="A101" t="s">
        <v>191</v>
      </c>
    </row>
    <row r="102" spans="1:1" x14ac:dyDescent="0.3">
      <c r="A102" t="s">
        <v>192</v>
      </c>
    </row>
    <row r="103" spans="1:1" x14ac:dyDescent="0.3">
      <c r="A103" t="s">
        <v>193</v>
      </c>
    </row>
    <row r="104" spans="1:1" x14ac:dyDescent="0.3">
      <c r="A104" t="s">
        <v>194</v>
      </c>
    </row>
    <row r="105" spans="1:1" x14ac:dyDescent="0.3">
      <c r="A105" t="s">
        <v>195</v>
      </c>
    </row>
    <row r="106" spans="1:1" x14ac:dyDescent="0.3">
      <c r="A106" t="s">
        <v>196</v>
      </c>
    </row>
    <row r="107" spans="1:1" x14ac:dyDescent="0.3">
      <c r="A107" t="s">
        <v>197</v>
      </c>
    </row>
    <row r="108" spans="1:1" x14ac:dyDescent="0.3">
      <c r="A108" t="s">
        <v>198</v>
      </c>
    </row>
    <row r="109" spans="1:1" x14ac:dyDescent="0.3">
      <c r="A109" t="s">
        <v>199</v>
      </c>
    </row>
    <row r="110" spans="1:1" x14ac:dyDescent="0.3">
      <c r="A110" t="s">
        <v>200</v>
      </c>
    </row>
    <row r="111" spans="1:1" x14ac:dyDescent="0.3">
      <c r="A111" t="s">
        <v>201</v>
      </c>
    </row>
    <row r="112" spans="1:1" x14ac:dyDescent="0.3">
      <c r="A112" t="s">
        <v>202</v>
      </c>
    </row>
    <row r="113" spans="1:1" x14ac:dyDescent="0.3">
      <c r="A113" t="s">
        <v>203</v>
      </c>
    </row>
    <row r="114" spans="1:1" x14ac:dyDescent="0.3">
      <c r="A114" t="s">
        <v>204</v>
      </c>
    </row>
    <row r="115" spans="1:1" x14ac:dyDescent="0.3">
      <c r="A115" t="s">
        <v>205</v>
      </c>
    </row>
    <row r="116" spans="1:1" x14ac:dyDescent="0.3">
      <c r="A116" t="s">
        <v>206</v>
      </c>
    </row>
    <row r="117" spans="1:1" x14ac:dyDescent="0.3">
      <c r="A117" t="s">
        <v>207</v>
      </c>
    </row>
    <row r="118" spans="1:1" x14ac:dyDescent="0.3">
      <c r="A118" t="s">
        <v>208</v>
      </c>
    </row>
    <row r="119" spans="1:1" x14ac:dyDescent="0.3">
      <c r="A119" t="s">
        <v>209</v>
      </c>
    </row>
    <row r="120" spans="1:1" x14ac:dyDescent="0.3">
      <c r="A120" t="s">
        <v>210</v>
      </c>
    </row>
    <row r="121" spans="1:1" x14ac:dyDescent="0.3">
      <c r="A121" t="s">
        <v>211</v>
      </c>
    </row>
    <row r="122" spans="1:1" x14ac:dyDescent="0.3">
      <c r="A122" t="s">
        <v>212</v>
      </c>
    </row>
    <row r="123" spans="1:1" x14ac:dyDescent="0.3">
      <c r="A123" t="s">
        <v>213</v>
      </c>
    </row>
    <row r="124" spans="1:1" x14ac:dyDescent="0.3">
      <c r="A124" t="s">
        <v>214</v>
      </c>
    </row>
    <row r="125" spans="1:1" x14ac:dyDescent="0.3">
      <c r="A125" t="s">
        <v>215</v>
      </c>
    </row>
    <row r="126" spans="1:1" x14ac:dyDescent="0.3">
      <c r="A126" t="s">
        <v>216</v>
      </c>
    </row>
    <row r="127" spans="1:1" x14ac:dyDescent="0.3">
      <c r="A127" t="s">
        <v>217</v>
      </c>
    </row>
    <row r="128" spans="1:1" x14ac:dyDescent="0.3">
      <c r="A128" t="s">
        <v>218</v>
      </c>
    </row>
    <row r="129" spans="1:1" x14ac:dyDescent="0.3">
      <c r="A129" t="s">
        <v>219</v>
      </c>
    </row>
    <row r="130" spans="1:1" x14ac:dyDescent="0.3">
      <c r="A130" t="s">
        <v>220</v>
      </c>
    </row>
    <row r="131" spans="1:1" x14ac:dyDescent="0.3">
      <c r="A131" t="s">
        <v>221</v>
      </c>
    </row>
    <row r="132" spans="1:1" x14ac:dyDescent="0.3">
      <c r="A132" t="s">
        <v>222</v>
      </c>
    </row>
    <row r="133" spans="1:1" x14ac:dyDescent="0.3">
      <c r="A133" t="s">
        <v>223</v>
      </c>
    </row>
    <row r="134" spans="1:1" x14ac:dyDescent="0.3">
      <c r="A134" t="s">
        <v>224</v>
      </c>
    </row>
    <row r="135" spans="1:1" x14ac:dyDescent="0.3">
      <c r="A135" t="s">
        <v>225</v>
      </c>
    </row>
    <row r="136" spans="1:1" x14ac:dyDescent="0.3">
      <c r="A136" t="s">
        <v>226</v>
      </c>
    </row>
    <row r="137" spans="1:1" x14ac:dyDescent="0.3">
      <c r="A137" t="s">
        <v>227</v>
      </c>
    </row>
    <row r="138" spans="1:1" x14ac:dyDescent="0.3">
      <c r="A138" t="s">
        <v>228</v>
      </c>
    </row>
    <row r="139" spans="1:1" x14ac:dyDescent="0.3">
      <c r="A139" t="s">
        <v>229</v>
      </c>
    </row>
    <row r="140" spans="1:1" x14ac:dyDescent="0.3">
      <c r="A140" t="s">
        <v>230</v>
      </c>
    </row>
    <row r="141" spans="1:1" x14ac:dyDescent="0.3">
      <c r="A141" t="s">
        <v>231</v>
      </c>
    </row>
    <row r="142" spans="1:1" x14ac:dyDescent="0.3">
      <c r="A142" t="s">
        <v>232</v>
      </c>
    </row>
    <row r="143" spans="1:1" x14ac:dyDescent="0.3">
      <c r="A143" t="s">
        <v>233</v>
      </c>
    </row>
    <row r="144" spans="1:1" x14ac:dyDescent="0.3">
      <c r="A144" t="s">
        <v>234</v>
      </c>
    </row>
    <row r="145" spans="1:1" x14ac:dyDescent="0.3">
      <c r="A145" t="s">
        <v>235</v>
      </c>
    </row>
    <row r="146" spans="1:1" x14ac:dyDescent="0.3">
      <c r="A146" t="s">
        <v>236</v>
      </c>
    </row>
    <row r="147" spans="1:1" x14ac:dyDescent="0.3">
      <c r="A147" t="s">
        <v>237</v>
      </c>
    </row>
    <row r="148" spans="1:1" x14ac:dyDescent="0.3">
      <c r="A148" t="s">
        <v>238</v>
      </c>
    </row>
    <row r="149" spans="1:1" x14ac:dyDescent="0.3">
      <c r="A149" t="s">
        <v>239</v>
      </c>
    </row>
    <row r="150" spans="1:1" x14ac:dyDescent="0.3">
      <c r="A150" t="s">
        <v>240</v>
      </c>
    </row>
    <row r="151" spans="1:1" x14ac:dyDescent="0.3">
      <c r="A151" t="s">
        <v>241</v>
      </c>
    </row>
    <row r="152" spans="1:1" x14ac:dyDescent="0.3">
      <c r="A152" t="s">
        <v>242</v>
      </c>
    </row>
    <row r="153" spans="1:1" x14ac:dyDescent="0.3">
      <c r="A153" t="s">
        <v>243</v>
      </c>
    </row>
    <row r="154" spans="1:1" x14ac:dyDescent="0.3">
      <c r="A154" t="s">
        <v>244</v>
      </c>
    </row>
    <row r="155" spans="1:1" x14ac:dyDescent="0.3">
      <c r="A155" t="s">
        <v>245</v>
      </c>
    </row>
    <row r="156" spans="1:1" x14ac:dyDescent="0.3">
      <c r="A156" t="s">
        <v>246</v>
      </c>
    </row>
    <row r="157" spans="1:1" x14ac:dyDescent="0.3">
      <c r="A157" t="s">
        <v>247</v>
      </c>
    </row>
    <row r="158" spans="1:1" x14ac:dyDescent="0.3">
      <c r="A158" t="s">
        <v>248</v>
      </c>
    </row>
    <row r="159" spans="1:1" x14ac:dyDescent="0.3">
      <c r="A159" t="s">
        <v>249</v>
      </c>
    </row>
    <row r="160" spans="1:1" x14ac:dyDescent="0.3">
      <c r="A160" t="s">
        <v>250</v>
      </c>
    </row>
    <row r="161" spans="1:1" x14ac:dyDescent="0.3">
      <c r="A161" t="s">
        <v>251</v>
      </c>
    </row>
    <row r="162" spans="1:1" x14ac:dyDescent="0.3">
      <c r="A162" t="s">
        <v>252</v>
      </c>
    </row>
    <row r="163" spans="1:1" x14ac:dyDescent="0.3">
      <c r="A163" t="s">
        <v>253</v>
      </c>
    </row>
    <row r="164" spans="1:1" x14ac:dyDescent="0.3">
      <c r="A164" t="s">
        <v>254</v>
      </c>
    </row>
    <row r="165" spans="1:1" x14ac:dyDescent="0.3">
      <c r="A165" t="s">
        <v>255</v>
      </c>
    </row>
    <row r="166" spans="1:1" x14ac:dyDescent="0.3">
      <c r="A166" t="s">
        <v>256</v>
      </c>
    </row>
    <row r="167" spans="1:1" x14ac:dyDescent="0.3">
      <c r="A167" t="s">
        <v>257</v>
      </c>
    </row>
    <row r="168" spans="1:1" x14ac:dyDescent="0.3">
      <c r="A168" t="s">
        <v>258</v>
      </c>
    </row>
    <row r="169" spans="1:1" x14ac:dyDescent="0.3">
      <c r="A169" t="s">
        <v>259</v>
      </c>
    </row>
    <row r="170" spans="1:1" x14ac:dyDescent="0.3">
      <c r="A170" t="s">
        <v>260</v>
      </c>
    </row>
    <row r="171" spans="1:1" x14ac:dyDescent="0.3">
      <c r="A171" t="s">
        <v>261</v>
      </c>
    </row>
    <row r="172" spans="1:1" x14ac:dyDescent="0.3">
      <c r="A172" t="s">
        <v>262</v>
      </c>
    </row>
    <row r="173" spans="1:1" x14ac:dyDescent="0.3">
      <c r="A173" t="s">
        <v>263</v>
      </c>
    </row>
    <row r="174" spans="1:1" x14ac:dyDescent="0.3">
      <c r="A174" t="s">
        <v>264</v>
      </c>
    </row>
    <row r="175" spans="1:1" x14ac:dyDescent="0.3">
      <c r="A175" t="s">
        <v>265</v>
      </c>
    </row>
    <row r="176" spans="1:1" x14ac:dyDescent="0.3">
      <c r="A176" t="s">
        <v>266</v>
      </c>
    </row>
    <row r="177" spans="1:1" x14ac:dyDescent="0.3">
      <c r="A177" t="s">
        <v>267</v>
      </c>
    </row>
    <row r="178" spans="1:1" x14ac:dyDescent="0.3">
      <c r="A178" t="s">
        <v>268</v>
      </c>
    </row>
    <row r="179" spans="1:1" x14ac:dyDescent="0.3">
      <c r="A179" t="s">
        <v>269</v>
      </c>
    </row>
    <row r="180" spans="1:1" x14ac:dyDescent="0.3">
      <c r="A180" t="s">
        <v>270</v>
      </c>
    </row>
    <row r="181" spans="1:1" x14ac:dyDescent="0.3">
      <c r="A181" t="s">
        <v>271</v>
      </c>
    </row>
    <row r="182" spans="1:1" x14ac:dyDescent="0.3">
      <c r="A182" t="s">
        <v>272</v>
      </c>
    </row>
    <row r="183" spans="1:1" x14ac:dyDescent="0.3">
      <c r="A183" t="s">
        <v>273</v>
      </c>
    </row>
    <row r="184" spans="1:1" x14ac:dyDescent="0.3">
      <c r="A184" t="s">
        <v>274</v>
      </c>
    </row>
    <row r="185" spans="1:1" x14ac:dyDescent="0.3">
      <c r="A185" t="s">
        <v>275</v>
      </c>
    </row>
    <row r="186" spans="1:1" x14ac:dyDescent="0.3">
      <c r="A186" t="s">
        <v>276</v>
      </c>
    </row>
    <row r="187" spans="1:1" x14ac:dyDescent="0.3">
      <c r="A187" t="s">
        <v>277</v>
      </c>
    </row>
    <row r="188" spans="1:1" x14ac:dyDescent="0.3">
      <c r="A188" t="s">
        <v>278</v>
      </c>
    </row>
    <row r="189" spans="1:1" x14ac:dyDescent="0.3">
      <c r="A189" t="s">
        <v>279</v>
      </c>
    </row>
    <row r="190" spans="1:1" x14ac:dyDescent="0.3">
      <c r="A190" t="s">
        <v>280</v>
      </c>
    </row>
    <row r="191" spans="1:1" x14ac:dyDescent="0.3">
      <c r="A191" t="s">
        <v>281</v>
      </c>
    </row>
    <row r="192" spans="1:1" x14ac:dyDescent="0.3">
      <c r="A192" t="s">
        <v>282</v>
      </c>
    </row>
    <row r="193" spans="1:1" x14ac:dyDescent="0.3">
      <c r="A193" t="s">
        <v>283</v>
      </c>
    </row>
    <row r="194" spans="1:1" x14ac:dyDescent="0.3">
      <c r="A194" t="s">
        <v>284</v>
      </c>
    </row>
    <row r="195" spans="1:1" x14ac:dyDescent="0.3">
      <c r="A195" t="s">
        <v>285</v>
      </c>
    </row>
    <row r="196" spans="1:1" x14ac:dyDescent="0.3">
      <c r="A196" t="s">
        <v>286</v>
      </c>
    </row>
    <row r="197" spans="1:1" x14ac:dyDescent="0.3">
      <c r="A197" t="s">
        <v>287</v>
      </c>
    </row>
    <row r="198" spans="1:1" x14ac:dyDescent="0.3">
      <c r="A198" t="s">
        <v>288</v>
      </c>
    </row>
    <row r="199" spans="1:1" x14ac:dyDescent="0.3">
      <c r="A199" t="s">
        <v>289</v>
      </c>
    </row>
    <row r="200" spans="1:1" x14ac:dyDescent="0.3">
      <c r="A200" t="s">
        <v>290</v>
      </c>
    </row>
    <row r="201" spans="1:1" x14ac:dyDescent="0.3">
      <c r="A201" t="s">
        <v>291</v>
      </c>
    </row>
    <row r="202" spans="1:1" x14ac:dyDescent="0.3">
      <c r="A202" t="s">
        <v>292</v>
      </c>
    </row>
    <row r="203" spans="1:1" x14ac:dyDescent="0.3">
      <c r="A203" t="s">
        <v>293</v>
      </c>
    </row>
    <row r="204" spans="1:1" x14ac:dyDescent="0.3">
      <c r="A204" t="s">
        <v>294</v>
      </c>
    </row>
    <row r="205" spans="1:1" x14ac:dyDescent="0.3">
      <c r="A205" t="s">
        <v>295</v>
      </c>
    </row>
    <row r="206" spans="1:1" x14ac:dyDescent="0.3">
      <c r="A206" t="s">
        <v>296</v>
      </c>
    </row>
    <row r="207" spans="1:1" x14ac:dyDescent="0.3">
      <c r="A207" t="s">
        <v>297</v>
      </c>
    </row>
    <row r="208" spans="1:1" x14ac:dyDescent="0.3">
      <c r="A208" t="s">
        <v>298</v>
      </c>
    </row>
    <row r="209" spans="1:1" x14ac:dyDescent="0.3">
      <c r="A209" t="s">
        <v>299</v>
      </c>
    </row>
    <row r="210" spans="1:1" x14ac:dyDescent="0.3">
      <c r="A210" t="s">
        <v>300</v>
      </c>
    </row>
    <row r="211" spans="1:1" x14ac:dyDescent="0.3">
      <c r="A211" t="s">
        <v>301</v>
      </c>
    </row>
    <row r="212" spans="1:1" x14ac:dyDescent="0.3">
      <c r="A212" t="s">
        <v>302</v>
      </c>
    </row>
    <row r="213" spans="1:1" x14ac:dyDescent="0.3">
      <c r="A213" t="s">
        <v>303</v>
      </c>
    </row>
    <row r="214" spans="1:1" x14ac:dyDescent="0.3">
      <c r="A214" t="s">
        <v>304</v>
      </c>
    </row>
    <row r="215" spans="1:1" x14ac:dyDescent="0.3">
      <c r="A215" t="s">
        <v>305</v>
      </c>
    </row>
    <row r="216" spans="1:1" x14ac:dyDescent="0.3">
      <c r="A216" t="s">
        <v>306</v>
      </c>
    </row>
    <row r="217" spans="1:1" x14ac:dyDescent="0.3">
      <c r="A217" t="s">
        <v>307</v>
      </c>
    </row>
    <row r="218" spans="1:1" x14ac:dyDescent="0.3">
      <c r="A218" t="s">
        <v>308</v>
      </c>
    </row>
    <row r="219" spans="1:1" x14ac:dyDescent="0.3">
      <c r="A219" t="s">
        <v>309</v>
      </c>
    </row>
    <row r="220" spans="1:1" x14ac:dyDescent="0.3">
      <c r="A220" t="s">
        <v>310</v>
      </c>
    </row>
    <row r="221" spans="1:1" x14ac:dyDescent="0.3">
      <c r="A221" t="s">
        <v>311</v>
      </c>
    </row>
    <row r="222" spans="1:1" x14ac:dyDescent="0.3">
      <c r="A222" t="s">
        <v>312</v>
      </c>
    </row>
    <row r="223" spans="1:1" x14ac:dyDescent="0.3">
      <c r="A223" t="s">
        <v>313</v>
      </c>
    </row>
    <row r="224" spans="1:1" x14ac:dyDescent="0.3">
      <c r="A224" t="s">
        <v>314</v>
      </c>
    </row>
    <row r="225" spans="1:1" x14ac:dyDescent="0.3">
      <c r="A225" t="s">
        <v>315</v>
      </c>
    </row>
    <row r="226" spans="1:1" x14ac:dyDescent="0.3">
      <c r="A226" t="s">
        <v>316</v>
      </c>
    </row>
    <row r="227" spans="1:1" x14ac:dyDescent="0.3">
      <c r="A227" t="s">
        <v>317</v>
      </c>
    </row>
    <row r="228" spans="1:1" x14ac:dyDescent="0.3">
      <c r="A228" t="s">
        <v>318</v>
      </c>
    </row>
    <row r="229" spans="1:1" x14ac:dyDescent="0.3">
      <c r="A229" t="s">
        <v>319</v>
      </c>
    </row>
    <row r="230" spans="1:1" x14ac:dyDescent="0.3">
      <c r="A230" t="s">
        <v>320</v>
      </c>
    </row>
    <row r="231" spans="1:1" x14ac:dyDescent="0.3">
      <c r="A231" t="s">
        <v>321</v>
      </c>
    </row>
    <row r="232" spans="1:1" x14ac:dyDescent="0.3">
      <c r="A232" t="s">
        <v>322</v>
      </c>
    </row>
    <row r="233" spans="1:1" x14ac:dyDescent="0.3">
      <c r="A233" t="s">
        <v>323</v>
      </c>
    </row>
    <row r="234" spans="1:1" x14ac:dyDescent="0.3">
      <c r="A234" t="s">
        <v>324</v>
      </c>
    </row>
    <row r="235" spans="1:1" x14ac:dyDescent="0.3">
      <c r="A235" t="s">
        <v>325</v>
      </c>
    </row>
    <row r="236" spans="1:1" x14ac:dyDescent="0.3">
      <c r="A236" t="s">
        <v>326</v>
      </c>
    </row>
    <row r="237" spans="1:1" x14ac:dyDescent="0.3">
      <c r="A237" t="s">
        <v>327</v>
      </c>
    </row>
    <row r="238" spans="1:1" x14ac:dyDescent="0.3">
      <c r="A238" t="s">
        <v>328</v>
      </c>
    </row>
    <row r="239" spans="1:1" x14ac:dyDescent="0.3">
      <c r="A239" t="s">
        <v>329</v>
      </c>
    </row>
    <row r="240" spans="1:1" x14ac:dyDescent="0.3">
      <c r="A240" t="s">
        <v>330</v>
      </c>
    </row>
    <row r="241" spans="1:1" x14ac:dyDescent="0.3">
      <c r="A241" t="s">
        <v>331</v>
      </c>
    </row>
    <row r="242" spans="1:1" x14ac:dyDescent="0.3">
      <c r="A242" t="s">
        <v>332</v>
      </c>
    </row>
    <row r="243" spans="1:1" x14ac:dyDescent="0.3">
      <c r="A243" t="s">
        <v>333</v>
      </c>
    </row>
    <row r="244" spans="1:1" x14ac:dyDescent="0.3">
      <c r="A244" t="s">
        <v>334</v>
      </c>
    </row>
    <row r="245" spans="1:1" x14ac:dyDescent="0.3">
      <c r="A245" t="s">
        <v>335</v>
      </c>
    </row>
    <row r="246" spans="1:1" x14ac:dyDescent="0.3">
      <c r="A246" t="s">
        <v>336</v>
      </c>
    </row>
    <row r="247" spans="1:1" x14ac:dyDescent="0.3">
      <c r="A247" t="s">
        <v>337</v>
      </c>
    </row>
    <row r="248" spans="1:1" x14ac:dyDescent="0.3">
      <c r="A248" t="s">
        <v>338</v>
      </c>
    </row>
    <row r="249" spans="1:1" x14ac:dyDescent="0.3">
      <c r="A249" t="s">
        <v>339</v>
      </c>
    </row>
    <row r="250" spans="1:1" x14ac:dyDescent="0.3">
      <c r="A250" t="s">
        <v>340</v>
      </c>
    </row>
    <row r="251" spans="1:1" x14ac:dyDescent="0.3">
      <c r="A251" t="s">
        <v>341</v>
      </c>
    </row>
    <row r="252" spans="1:1" x14ac:dyDescent="0.3">
      <c r="A252" t="s">
        <v>342</v>
      </c>
    </row>
    <row r="253" spans="1:1" x14ac:dyDescent="0.3">
      <c r="A253" t="s">
        <v>343</v>
      </c>
    </row>
    <row r="254" spans="1:1" x14ac:dyDescent="0.3">
      <c r="A254" t="s">
        <v>344</v>
      </c>
    </row>
    <row r="255" spans="1:1" x14ac:dyDescent="0.3">
      <c r="A255" t="s">
        <v>345</v>
      </c>
    </row>
    <row r="256" spans="1:1" x14ac:dyDescent="0.3">
      <c r="A256" t="s">
        <v>346</v>
      </c>
    </row>
    <row r="257" spans="1:1" x14ac:dyDescent="0.3">
      <c r="A257" t="s">
        <v>347</v>
      </c>
    </row>
    <row r="258" spans="1:1" x14ac:dyDescent="0.3">
      <c r="A258" t="s">
        <v>348</v>
      </c>
    </row>
    <row r="259" spans="1:1" x14ac:dyDescent="0.3">
      <c r="A259" t="s">
        <v>349</v>
      </c>
    </row>
    <row r="260" spans="1:1" x14ac:dyDescent="0.3">
      <c r="A260" t="s">
        <v>350</v>
      </c>
    </row>
    <row r="261" spans="1:1" x14ac:dyDescent="0.3">
      <c r="A261" t="s">
        <v>351</v>
      </c>
    </row>
    <row r="262" spans="1:1" x14ac:dyDescent="0.3">
      <c r="A262" t="s">
        <v>352</v>
      </c>
    </row>
    <row r="263" spans="1:1" x14ac:dyDescent="0.3">
      <c r="A263" t="s">
        <v>353</v>
      </c>
    </row>
    <row r="264" spans="1:1" x14ac:dyDescent="0.3">
      <c r="A264" t="s">
        <v>354</v>
      </c>
    </row>
    <row r="265" spans="1:1" x14ac:dyDescent="0.3">
      <c r="A265" t="s">
        <v>355</v>
      </c>
    </row>
    <row r="266" spans="1:1" x14ac:dyDescent="0.3">
      <c r="A266" t="s">
        <v>356</v>
      </c>
    </row>
    <row r="267" spans="1:1" x14ac:dyDescent="0.3">
      <c r="A267" t="s">
        <v>357</v>
      </c>
    </row>
    <row r="268" spans="1:1" x14ac:dyDescent="0.3">
      <c r="A268" t="s">
        <v>358</v>
      </c>
    </row>
    <row r="269" spans="1:1" x14ac:dyDescent="0.3">
      <c r="A269" t="s">
        <v>359</v>
      </c>
    </row>
    <row r="270" spans="1:1" x14ac:dyDescent="0.3">
      <c r="A270" t="s">
        <v>360</v>
      </c>
    </row>
    <row r="271" spans="1:1" x14ac:dyDescent="0.3">
      <c r="A271" t="s">
        <v>361</v>
      </c>
    </row>
    <row r="272" spans="1:1" x14ac:dyDescent="0.3">
      <c r="A272" t="s">
        <v>362</v>
      </c>
    </row>
    <row r="273" spans="1:1" x14ac:dyDescent="0.3">
      <c r="A273" t="s">
        <v>363</v>
      </c>
    </row>
    <row r="274" spans="1:1" x14ac:dyDescent="0.3">
      <c r="A274" t="s">
        <v>364</v>
      </c>
    </row>
    <row r="275" spans="1:1" x14ac:dyDescent="0.3">
      <c r="A275" t="s">
        <v>365</v>
      </c>
    </row>
    <row r="276" spans="1:1" x14ac:dyDescent="0.3">
      <c r="A276" t="s">
        <v>366</v>
      </c>
    </row>
    <row r="277" spans="1:1" x14ac:dyDescent="0.3">
      <c r="A277" t="s">
        <v>367</v>
      </c>
    </row>
    <row r="278" spans="1:1" x14ac:dyDescent="0.3">
      <c r="A278" t="s">
        <v>368</v>
      </c>
    </row>
    <row r="279" spans="1:1" x14ac:dyDescent="0.3">
      <c r="A279" t="s">
        <v>369</v>
      </c>
    </row>
    <row r="280" spans="1:1" x14ac:dyDescent="0.3">
      <c r="A280" t="s">
        <v>370</v>
      </c>
    </row>
    <row r="281" spans="1:1" x14ac:dyDescent="0.3">
      <c r="A281" t="s">
        <v>371</v>
      </c>
    </row>
    <row r="282" spans="1:1" x14ac:dyDescent="0.3">
      <c r="A282" t="s">
        <v>372</v>
      </c>
    </row>
    <row r="283" spans="1:1" x14ac:dyDescent="0.3">
      <c r="A283" t="s">
        <v>373</v>
      </c>
    </row>
    <row r="284" spans="1:1" x14ac:dyDescent="0.3">
      <c r="A284" t="s">
        <v>374</v>
      </c>
    </row>
    <row r="285" spans="1:1" x14ac:dyDescent="0.3">
      <c r="A285" t="s">
        <v>375</v>
      </c>
    </row>
    <row r="286" spans="1:1" x14ac:dyDescent="0.3">
      <c r="A286" t="s">
        <v>376</v>
      </c>
    </row>
    <row r="287" spans="1:1" x14ac:dyDescent="0.3">
      <c r="A287" t="s">
        <v>377</v>
      </c>
    </row>
    <row r="288" spans="1:1" x14ac:dyDescent="0.3">
      <c r="A288" t="s">
        <v>378</v>
      </c>
    </row>
    <row r="289" spans="1:1" x14ac:dyDescent="0.3">
      <c r="A289" t="s">
        <v>379</v>
      </c>
    </row>
    <row r="290" spans="1:1" x14ac:dyDescent="0.3">
      <c r="A290" t="s">
        <v>380</v>
      </c>
    </row>
    <row r="291" spans="1:1" x14ac:dyDescent="0.3">
      <c r="A291" t="s">
        <v>381</v>
      </c>
    </row>
    <row r="292" spans="1:1" x14ac:dyDescent="0.3">
      <c r="A292" t="s">
        <v>382</v>
      </c>
    </row>
    <row r="293" spans="1:1" x14ac:dyDescent="0.3">
      <c r="A293" t="s">
        <v>383</v>
      </c>
    </row>
    <row r="294" spans="1:1" x14ac:dyDescent="0.3">
      <c r="A294" t="s">
        <v>384</v>
      </c>
    </row>
    <row r="295" spans="1:1" x14ac:dyDescent="0.3">
      <c r="A295" t="s">
        <v>385</v>
      </c>
    </row>
    <row r="296" spans="1:1" x14ac:dyDescent="0.3">
      <c r="A296" t="s">
        <v>386</v>
      </c>
    </row>
    <row r="297" spans="1:1" x14ac:dyDescent="0.3">
      <c r="A297" t="s">
        <v>387</v>
      </c>
    </row>
    <row r="298" spans="1:1" x14ac:dyDescent="0.3">
      <c r="A298" t="s">
        <v>388</v>
      </c>
    </row>
    <row r="299" spans="1:1" x14ac:dyDescent="0.3">
      <c r="A299" t="s">
        <v>389</v>
      </c>
    </row>
    <row r="300" spans="1:1" x14ac:dyDescent="0.3">
      <c r="A300" t="s">
        <v>390</v>
      </c>
    </row>
    <row r="301" spans="1:1" x14ac:dyDescent="0.3">
      <c r="A301" t="s">
        <v>391</v>
      </c>
    </row>
    <row r="302" spans="1:1" x14ac:dyDescent="0.3">
      <c r="A302" t="s">
        <v>392</v>
      </c>
    </row>
    <row r="303" spans="1:1" x14ac:dyDescent="0.3">
      <c r="A303" t="s">
        <v>393</v>
      </c>
    </row>
    <row r="304" spans="1:1" x14ac:dyDescent="0.3">
      <c r="A304" t="s">
        <v>394</v>
      </c>
    </row>
    <row r="305" spans="1:1" x14ac:dyDescent="0.3">
      <c r="A305" t="s">
        <v>395</v>
      </c>
    </row>
    <row r="306" spans="1:1" x14ac:dyDescent="0.3">
      <c r="A306" t="s">
        <v>396</v>
      </c>
    </row>
    <row r="307" spans="1:1" x14ac:dyDescent="0.3">
      <c r="A307" t="s">
        <v>397</v>
      </c>
    </row>
    <row r="308" spans="1:1" x14ac:dyDescent="0.3">
      <c r="A308" t="s">
        <v>398</v>
      </c>
    </row>
    <row r="309" spans="1:1" x14ac:dyDescent="0.3">
      <c r="A309" t="s">
        <v>399</v>
      </c>
    </row>
    <row r="310" spans="1:1" x14ac:dyDescent="0.3">
      <c r="A310" t="s">
        <v>400</v>
      </c>
    </row>
    <row r="311" spans="1:1" x14ac:dyDescent="0.3">
      <c r="A311" t="s">
        <v>401</v>
      </c>
    </row>
    <row r="312" spans="1:1" x14ac:dyDescent="0.3">
      <c r="A312" t="s">
        <v>402</v>
      </c>
    </row>
    <row r="313" spans="1:1" x14ac:dyDescent="0.3">
      <c r="A313" t="s">
        <v>403</v>
      </c>
    </row>
    <row r="314" spans="1:1" x14ac:dyDescent="0.3">
      <c r="A314" t="s">
        <v>404</v>
      </c>
    </row>
    <row r="315" spans="1:1" x14ac:dyDescent="0.3">
      <c r="A315" t="s">
        <v>405</v>
      </c>
    </row>
    <row r="316" spans="1:1" x14ac:dyDescent="0.3">
      <c r="A316" t="s">
        <v>406</v>
      </c>
    </row>
    <row r="317" spans="1:1" x14ac:dyDescent="0.3">
      <c r="A317" t="s">
        <v>407</v>
      </c>
    </row>
    <row r="318" spans="1:1" x14ac:dyDescent="0.3">
      <c r="A318" t="s">
        <v>408</v>
      </c>
    </row>
    <row r="319" spans="1:1" x14ac:dyDescent="0.3">
      <c r="A319" t="s">
        <v>409</v>
      </c>
    </row>
    <row r="320" spans="1:1" x14ac:dyDescent="0.3">
      <c r="A320" t="s">
        <v>410</v>
      </c>
    </row>
    <row r="321" spans="1:1" x14ac:dyDescent="0.3">
      <c r="A321" t="s">
        <v>411</v>
      </c>
    </row>
    <row r="322" spans="1:1" x14ac:dyDescent="0.3">
      <c r="A322" t="s">
        <v>412</v>
      </c>
    </row>
    <row r="323" spans="1:1" x14ac:dyDescent="0.3">
      <c r="A323" t="s">
        <v>413</v>
      </c>
    </row>
    <row r="324" spans="1:1" x14ac:dyDescent="0.3">
      <c r="A324" t="s">
        <v>414</v>
      </c>
    </row>
    <row r="325" spans="1:1" x14ac:dyDescent="0.3">
      <c r="A325" t="s">
        <v>415</v>
      </c>
    </row>
    <row r="326" spans="1:1" x14ac:dyDescent="0.3">
      <c r="A326" t="s">
        <v>416</v>
      </c>
    </row>
    <row r="327" spans="1:1" x14ac:dyDescent="0.3">
      <c r="A327" t="s">
        <v>417</v>
      </c>
    </row>
    <row r="328" spans="1:1" x14ac:dyDescent="0.3">
      <c r="A328" t="s">
        <v>418</v>
      </c>
    </row>
    <row r="329" spans="1:1" x14ac:dyDescent="0.3">
      <c r="A329" t="s">
        <v>419</v>
      </c>
    </row>
    <row r="330" spans="1:1" x14ac:dyDescent="0.3">
      <c r="A330" t="s">
        <v>420</v>
      </c>
    </row>
    <row r="331" spans="1:1" x14ac:dyDescent="0.3">
      <c r="A331" t="s">
        <v>421</v>
      </c>
    </row>
    <row r="332" spans="1:1" x14ac:dyDescent="0.3">
      <c r="A332" t="s">
        <v>422</v>
      </c>
    </row>
    <row r="333" spans="1:1" x14ac:dyDescent="0.3">
      <c r="A333" t="s">
        <v>423</v>
      </c>
    </row>
    <row r="334" spans="1:1" x14ac:dyDescent="0.3">
      <c r="A334" t="s">
        <v>424</v>
      </c>
    </row>
    <row r="335" spans="1:1" x14ac:dyDescent="0.3">
      <c r="A335" t="s">
        <v>425</v>
      </c>
    </row>
    <row r="336" spans="1:1" x14ac:dyDescent="0.3">
      <c r="A336" t="s">
        <v>426</v>
      </c>
    </row>
    <row r="337" spans="1:1" x14ac:dyDescent="0.3">
      <c r="A337" t="s">
        <v>427</v>
      </c>
    </row>
    <row r="338" spans="1:1" x14ac:dyDescent="0.3">
      <c r="A338" t="s">
        <v>428</v>
      </c>
    </row>
    <row r="339" spans="1:1" x14ac:dyDescent="0.3">
      <c r="A339" t="s">
        <v>429</v>
      </c>
    </row>
    <row r="340" spans="1:1" x14ac:dyDescent="0.3">
      <c r="A340" t="s">
        <v>430</v>
      </c>
    </row>
    <row r="341" spans="1:1" x14ac:dyDescent="0.3">
      <c r="A341" t="s">
        <v>431</v>
      </c>
    </row>
    <row r="342" spans="1:1" x14ac:dyDescent="0.3">
      <c r="A342" t="s">
        <v>432</v>
      </c>
    </row>
    <row r="343" spans="1:1" x14ac:dyDescent="0.3">
      <c r="A343" t="s">
        <v>433</v>
      </c>
    </row>
    <row r="344" spans="1:1" x14ac:dyDescent="0.3">
      <c r="A344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44</vt:i4>
      </vt:variant>
    </vt:vector>
  </HeadingPairs>
  <TitlesOfParts>
    <vt:vector size="46" baseType="lpstr">
      <vt:lpstr>header</vt:lpstr>
      <vt:lpstr>{PL}PickLst</vt:lpstr>
      <vt:lpstr>db_name</vt:lpstr>
      <vt:lpstr>psApp</vt:lpstr>
      <vt:lpstr>psControlType</vt:lpstr>
      <vt:lpstr>psDesc</vt:lpstr>
      <vt:lpstr>psHLYear</vt:lpstr>
      <vt:lpstr>psID</vt:lpstr>
      <vt:lpstr>psMeasCode</vt:lpstr>
      <vt:lpstr>psReason</vt:lpstr>
      <vt:lpstr>psScenario</vt:lpstr>
      <vt:lpstr>psStatus</vt:lpstr>
      <vt:lpstr>psTitle</vt:lpstr>
      <vt:lpstr>psUser</vt:lpstr>
      <vt:lpstr>TM1AdjIDListCAP</vt:lpstr>
      <vt:lpstr>TM1AdjIDListWB</vt:lpstr>
      <vt:lpstr>TM1AdjIDListWS</vt:lpstr>
      <vt:lpstr>TM1BackToAdjWB</vt:lpstr>
      <vt:lpstr>TM1BackToAdjWS</vt:lpstr>
      <vt:lpstr>TM1GrpEditAdj01CAP</vt:lpstr>
      <vt:lpstr>TM1GrpEditAdj01WB</vt:lpstr>
      <vt:lpstr>TM1GrpEditAdj01WS</vt:lpstr>
      <vt:lpstr>TM1GrpNewAdj02ExpDataEntryCAP</vt:lpstr>
      <vt:lpstr>TM1GrpNewAdj02ExpDataEntryWB</vt:lpstr>
      <vt:lpstr>TM1GrpNewAdj02ExpDataEntryWS</vt:lpstr>
      <vt:lpstr>TM1GrpNewAdj08RecogDataEntryCAP</vt:lpstr>
      <vt:lpstr>TM1GrpNewAdj08RecogDataEntryWB</vt:lpstr>
      <vt:lpstr>TM1GrpNewAdj08RecogDataEntryWS</vt:lpstr>
      <vt:lpstr>TM1GrpViewAdj01HeaderCAP</vt:lpstr>
      <vt:lpstr>TM1GrpViewAdj01HeaderWB</vt:lpstr>
      <vt:lpstr>TM1GrpViewAdj01HeaderWS</vt:lpstr>
      <vt:lpstr>TM1HomeAEAccVarCAP</vt:lpstr>
      <vt:lpstr>TM1HomeAEAccVarWB</vt:lpstr>
      <vt:lpstr>TM1HomeAEAccVarWS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TM1NewAdj02DataEntryCAP</vt:lpstr>
      <vt:lpstr>TM1NewAdj02DataEntryWB</vt:lpstr>
      <vt:lpstr>TM1NewAdj02DataEntryWS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dcterms:created xsi:type="dcterms:W3CDTF">2019-04-05T03:30:50Z</dcterms:created>
  <dcterms:modified xsi:type="dcterms:W3CDTF">2023-02-14T22:32:17Z</dcterms:modified>
</cp:coreProperties>
</file>