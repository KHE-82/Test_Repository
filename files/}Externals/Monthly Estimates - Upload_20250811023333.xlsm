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9C4A3D13-B35F-44FD-85D7-22473A17AB67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upload" sheetId="1" r:id="rId1"/>
    <sheet name="{PL}PickLst" sheetId="2" state="hidden" r:id="rId2"/>
  </sheets>
  <definedNames>
    <definedName name="db_name">upload!$B$2</definedName>
    <definedName name="psApp">upload!$B$29</definedName>
    <definedName name="psClear">upload!$F$42</definedName>
    <definedName name="psClearData">upload!#REF!</definedName>
    <definedName name="psFFType">upload!$B$51</definedName>
    <definedName name="psFile">upload!$F$41</definedName>
    <definedName name="psFileName">upload!$M$86</definedName>
    <definedName name="psHLYear">upload!$F$39</definedName>
    <definedName name="psID">upload!$F$44</definedName>
    <definedName name="psMapping">upload!$F$43</definedName>
    <definedName name="psProg">upload!$M$73</definedName>
    <definedName name="psScenario">upload!$F$40</definedName>
    <definedName name="psUser">upload!$B$4</definedName>
    <definedName name="TM1ExtractAB_Confirm">upload!$F$50</definedName>
    <definedName name="TM1ExtractAB_Fail">upload!$F$49</definedName>
    <definedName name="TM1ExtractAB_Success">upload!$F$48</definedName>
    <definedName name="TM1MEHomeCAP">upload!$C$31</definedName>
    <definedName name="TM1MEHomeWB">upload!$E$31</definedName>
    <definedName name="TM1MEHomeWS">upload!$G$31</definedName>
    <definedName name="TM1MEOSDataEntryCAP">upload!$C$32</definedName>
    <definedName name="TM1MEOSDataEntryWB">upload!$E$32</definedName>
    <definedName name="TM1MEOSDataEntryWS">upload!$G$32</definedName>
    <definedName name="TM1MEUploadCAP">upload!$C$33</definedName>
    <definedName name="TM1MEUploadTempCAP">upload!$C$34</definedName>
    <definedName name="TM1MEUploadTempWB">upload!$E$34</definedName>
    <definedName name="TM1MEUploadTempWS">upload!$G$34</definedName>
    <definedName name="TM1MEUploadWB">upload!$E$33</definedName>
    <definedName name="TM1MEUploadWS">upload!$G$33</definedName>
    <definedName name="TM1MEValidateCAP">upload!$C$35</definedName>
    <definedName name="TM1MEValidateWB">upload!$E$35</definedName>
    <definedName name="TM1MEValidateWS">upload!$G$35</definedName>
    <definedName name="TM1UploadAB_Confirm">upload!$B$50</definedName>
    <definedName name="TM1UploadAB_Fail">upload!$B$49</definedName>
    <definedName name="TM1UploadAB_Success">upload!$B$48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" i="1" l="1" a="1"/>
  <c r="F10" i="1"/>
  <c r="F11" i="1" a="1"/>
  <c r="F11" i="1"/>
  <c r="F39" i="1"/>
  <c r="B39" i="1" a="1"/>
  <c r="B39" i="1"/>
  <c r="B4" i="1" a="1"/>
  <c r="B4" i="1"/>
  <c r="C45" i="1" a="1"/>
  <c r="C45" i="1"/>
  <c r="B45" i="1" a="1"/>
  <c r="B45" i="1"/>
  <c r="C44" i="1" a="1"/>
  <c r="C44" i="1"/>
  <c r="B44" i="1" a="1"/>
  <c r="B44" i="1"/>
  <c r="C43" i="1" a="1"/>
  <c r="C43" i="1"/>
  <c r="B43" i="1" a="1"/>
  <c r="B43" i="1"/>
  <c r="C42" i="1" a="1"/>
  <c r="C42" i="1"/>
  <c r="B42" i="1" a="1"/>
  <c r="B42" i="1"/>
  <c r="B41" i="1" a="1"/>
  <c r="B41" i="1"/>
  <c r="B28" i="1" a="1"/>
  <c r="B28" i="1"/>
  <c r="G35" i="1" a="1"/>
  <c r="G35" i="1"/>
  <c r="F35" i="1" a="1"/>
  <c r="F35" i="1"/>
  <c r="E35" i="1" a="1"/>
  <c r="E35" i="1"/>
  <c r="D35" i="1" a="1"/>
  <c r="D35" i="1"/>
  <c r="C35" i="1" a="1"/>
  <c r="C35" i="1"/>
  <c r="B35" i="1" a="1"/>
  <c r="B35" i="1"/>
  <c r="G34" i="1" a="1"/>
  <c r="G34" i="1"/>
  <c r="F34" i="1" a="1"/>
  <c r="F34" i="1"/>
  <c r="E34" i="1" a="1"/>
  <c r="E34" i="1"/>
  <c r="D34" i="1" a="1"/>
  <c r="D34" i="1"/>
  <c r="C34" i="1" a="1"/>
  <c r="C34" i="1"/>
  <c r="B34" i="1" a="1"/>
  <c r="B34" i="1"/>
  <c r="G33" i="1" a="1"/>
  <c r="G33" i="1"/>
  <c r="F33" i="1" a="1"/>
  <c r="F33" i="1"/>
  <c r="E33" i="1" a="1"/>
  <c r="E33" i="1"/>
  <c r="D33" i="1" a="1"/>
  <c r="D33" i="1"/>
  <c r="C33" i="1" a="1"/>
  <c r="C33" i="1"/>
  <c r="B33" i="1" a="1"/>
  <c r="B33" i="1"/>
  <c r="G32" i="1" a="1"/>
  <c r="G32" i="1"/>
  <c r="F32" i="1" a="1"/>
  <c r="F32" i="1"/>
  <c r="E32" i="1" a="1"/>
  <c r="E32" i="1"/>
  <c r="D32" i="1" a="1"/>
  <c r="D32" i="1"/>
  <c r="C32" i="1" a="1"/>
  <c r="C32" i="1"/>
  <c r="B32" i="1" a="1"/>
  <c r="B32" i="1"/>
  <c r="G31" i="1" a="1"/>
  <c r="G31" i="1"/>
  <c r="F31" i="1" a="1"/>
  <c r="F31" i="1"/>
  <c r="E31" i="1" a="1"/>
  <c r="E31" i="1"/>
  <c r="D31" i="1" a="1"/>
  <c r="D31" i="1"/>
  <c r="C31" i="1" a="1"/>
  <c r="C31" i="1"/>
  <c r="B31" i="1" a="1"/>
  <c r="B31" i="1"/>
  <c r="B10" i="1" a="1"/>
  <c r="B10" i="1"/>
  <c r="B21" i="1" a="1"/>
  <c r="B21" i="1"/>
  <c r="B19" i="1" a="1"/>
  <c r="B19" i="1"/>
  <c r="B16" i="1" a="1"/>
  <c r="B16" i="1"/>
  <c r="B15" i="1" a="1"/>
  <c r="B15" i="1"/>
  <c r="B14" i="1" a="1"/>
  <c r="B14" i="1"/>
  <c r="B13" i="1" a="1"/>
  <c r="B13" i="1"/>
  <c r="F12" i="1" a="1"/>
  <c r="F12" i="1"/>
  <c r="B12" i="1" a="1"/>
  <c r="B12" i="1"/>
  <c r="B11" i="1" a="1"/>
  <c r="B11" i="1"/>
  <c r="B3" i="1" a="1"/>
  <c r="B3" i="1"/>
  <c r="B6" i="1" a="1"/>
  <c r="B6" i="1"/>
  <c r="B5" i="1" a="1"/>
  <c r="B5" i="1"/>
  <c r="M76" i="1"/>
  <c r="M73" i="1" a="1"/>
  <c r="M73" i="1"/>
  <c r="M71" i="1"/>
  <c r="M69" i="1"/>
  <c r="F48" i="1"/>
  <c r="F41" i="1"/>
  <c r="F40" i="1"/>
  <c r="M95" i="1"/>
  <c r="M94" i="1"/>
  <c r="M93" i="1"/>
  <c r="B7" i="1"/>
  <c r="M88" i="1"/>
  <c r="B22" i="1"/>
  <c r="M84" i="1"/>
  <c r="M98" i="1"/>
  <c r="B2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<sst xmlns="http://schemas.openxmlformats.org/spreadsheetml/2006/main" count="106" uniqueCount="96">
  <si>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</si>
  <si>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</si>
  <si>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</si>
  <si>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</si>
  <si>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</si>
  <si>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</si>
  <si>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</si>
  <si>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</si>
  <si>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</si>
  <si>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</si>
  <si>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</si>
  <si>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</si>
  <si>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</si>
  <si>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</si>
  <si>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</si>
  <si>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</si>
  <si>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</si>
  <si>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</si>
  <si>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</si>
  <si>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Client Preference</t>
  </si>
  <si>
    <t>value</t>
  </si>
  <si>
    <t>validate</t>
  </si>
  <si>
    <t>sys_client preference measure</t>
  </si>
  <si>
    <t>geus hl year</t>
  </si>
  <si>
    <t>geus scenario</t>
  </si>
  <si>
    <t>geus adj</t>
  </si>
  <si>
    <t>approved non-flat file</t>
  </si>
  <si>
    <t>CBMS</t>
  </si>
  <si>
    <t>Copy</t>
  </si>
  <si>
    <t>Reverse</t>
  </si>
  <si>
    <t>Copy and Reverse</t>
  </si>
  <si>
    <t>Delete</t>
  </si>
  <si>
    <t>Enter File Name :</t>
  </si>
  <si>
    <t>Upload Validation :</t>
  </si>
  <si>
    <t>Note :</t>
  </si>
  <si>
    <t>The upload process will put you in a queue and may take a few moments to complete.</t>
  </si>
  <si>
    <t>Note : When upload fails, error log files will also be saved in the same directory.</t>
  </si>
  <si>
    <t>Note : Add the file extension (*.csv)</t>
  </si>
  <si>
    <t xml:space="preserve">Please ensure the upload file has enforced the following formats : </t>
  </si>
  <si>
    <t>- Store attachments in the location as indicated below</t>
  </si>
  <si>
    <t>General Comments :</t>
  </si>
  <si>
    <t>save location</t>
  </si>
  <si>
    <t>sys_shared directory</t>
  </si>
  <si>
    <t>sys_Web URL</t>
  </si>
  <si>
    <t>sys_Web URL Linked Folder</t>
  </si>
  <si>
    <t>Hyperlink Configuration</t>
  </si>
  <si>
    <t>Full File Path</t>
  </si>
  <si>
    <t>current budget round</t>
  </si>
  <si>
    <t>Hyperlink File Path</t>
  </si>
  <si>
    <t>http://localhost:9510/</t>
  </si>
  <si>
    <t>Attachment Hyperlink Configuration</t>
  </si>
  <si>
    <t>sys_ImpFileValidation</t>
  </si>
  <si>
    <t>Success</t>
  </si>
  <si>
    <t>Failure</t>
  </si>
  <si>
    <t>Confirmation</t>
  </si>
  <si>
    <t xml:space="preserve">Are you sure you want to upload a flatfile? </t>
  </si>
  <si>
    <t>Action Button Messages and Parameters</t>
  </si>
  <si>
    <t>psFFType</t>
  </si>
  <si>
    <t>Standard CBMS</t>
  </si>
  <si>
    <t>Flat file successfully loaded into GEUS.</t>
  </si>
  <si>
    <t>Exception Log File Path :</t>
  </si>
  <si>
    <t>Note : Check this file path first when an error happens during upload. This identifies issues within the flatfile upload.</t>
  </si>
  <si>
    <t>sys_ImpFileExceptionLogs</t>
  </si>
  <si>
    <t>ME - Homepage</t>
  </si>
  <si>
    <t>ME - OS Data Entry</t>
  </si>
  <si>
    <t>ME - Upload</t>
  </si>
  <si>
    <t>ME - Upload Template</t>
  </si>
  <si>
    <t>ME - Validate</t>
  </si>
  <si>
    <t>ME_headline year</t>
  </si>
  <si>
    <t>ME year</t>
  </si>
  <si>
    <t>Upload Action Button Parameters</t>
  </si>
  <si>
    <t>psHLYear</t>
  </si>
  <si>
    <t>psScenario</t>
  </si>
  <si>
    <t>psFile</t>
  </si>
  <si>
    <t>psClear</t>
  </si>
  <si>
    <t>psMapping</t>
  </si>
  <si>
    <t>me scenario</t>
  </si>
  <si>
    <t>me year</t>
  </si>
  <si>
    <t>ME Upload Directory :</t>
  </si>
  <si>
    <t>Extract for GEUS.csv</t>
  </si>
  <si>
    <t>Upload ME Flatfile</t>
  </si>
  <si>
    <t>Validation FAILED. Please review exception logs, or ensure the files do not have any commas or dashes as zeroes, or the file does not exist.</t>
  </si>
  <si>
    <t xml:space="preserve">Are you sure you want to extract the monthly profiles as a GEUS ME flatfile? </t>
  </si>
  <si>
    <t>There are three steps for uploading a flatfile:</t>
  </si>
  <si>
    <t>Year :</t>
  </si>
  <si>
    <t>Scenario :</t>
  </si>
  <si>
    <t>Program :</t>
  </si>
  <si>
    <t>Data Extract Directory :</t>
  </si>
  <si>
    <t>STEP 1 - EXTRACT : Click EXTRACT button to extract CURRENT Data as flatfile (*.csv).</t>
  </si>
  <si>
    <t>STEP 2 - UPDATE : Make amendment to Extracted Flatfile</t>
  </si>
  <si>
    <t xml:space="preserve">STEP 3 - UPLOAD : Move file to Upload Directory, Enter File Name and Click UPLOAD. </t>
  </si>
  <si>
    <t>Upload process will fully clear existing data and update with uploaded data. To prevent data loss, perform EXTRACT first.</t>
  </si>
  <si>
    <t>psID</t>
  </si>
  <si>
    <t>0000B</t>
  </si>
  <si>
    <t>sys_upload directory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</si>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</sst>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</font>
    <font>
      <sz val="11"/>
      <name val="Calibri"/>
      <family val="2"/>
    </font>
    <font>
      <u/>
      <sz val="11"/>
      <color theme="1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rgb="FF2C4E7B"/>
      <name val="Calibri"/>
      <family val="2"/>
    </font>
    <font>
      <b/>
      <sz val="11"/>
      <name val="Calibri"/>
      <family val="2"/>
      <scheme val="minor"/>
    </font>
    <font>
      <b/>
      <sz val="12"/>
      <color rgb="FF2C4E7B"/>
      <name val="Calibri"/>
      <family val="2"/>
      <scheme val="minor"/>
    </font>
    <font>
      <sz val="11"/>
      <color theme="4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</borders>
  <cellStyleXfs count="3">
    <xf numFmtId="0" fontId="0" fillId="0" borderId="0"/>
    <xf numFmtId="0" fontId="4" fillId="0" borderId="0"/>
    <xf numFmtId="0" fontId="9" fillId="0" borderId="0" applyNumberFormat="0" applyFill="0" applyBorder="0" applyAlignment="0" applyProtection="0"/>
  </cellStyleXfs>
  <cellXfs count="40">
    <xf numFmtId="0" fontId="0" fillId="0" borderId="0" xfId="0"/>
    <xf numFmtId="0" fontId="1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1" fillId="2" borderId="5" xfId="0" applyFont="1" applyFill="1" applyBorder="1"/>
    <xf numFmtId="0" fontId="1" fillId="2" borderId="6" xfId="0" applyFont="1" applyFill="1" applyBorder="1"/>
    <xf numFmtId="0" fontId="1" fillId="0" borderId="4" xfId="0" applyFont="1" applyBorder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3" fillId="0" borderId="0" xfId="0" applyFont="1" applyAlignment="1" applyProtection="1">
      <alignment vertical="top" wrapText="1"/>
      <protection locked="0"/>
    </xf>
    <xf numFmtId="0" fontId="5" fillId="0" borderId="0" xfId="0" applyFont="1" applyAlignment="1">
      <alignment horizontal="right" indent="1"/>
    </xf>
    <xf numFmtId="0" fontId="1" fillId="0" borderId="0" xfId="0" applyFont="1" applyAlignment="1">
      <alignment horizontal="right" indent="1"/>
    </xf>
    <xf numFmtId="0" fontId="0" fillId="0" borderId="0" xfId="0" applyAlignment="1">
      <alignment horizontal="left" indent="1"/>
    </xf>
    <xf numFmtId="0" fontId="6" fillId="0" borderId="0" xfId="0" applyFont="1" applyAlignment="1">
      <alignment horizontal="right" indent="1"/>
    </xf>
    <xf numFmtId="0" fontId="7" fillId="0" borderId="0" xfId="0" applyFont="1"/>
    <xf numFmtId="0" fontId="8" fillId="4" borderId="6" xfId="0" applyFont="1" applyFill="1" applyBorder="1"/>
    <xf numFmtId="0" fontId="8" fillId="4" borderId="5" xfId="0" applyFont="1" applyFill="1" applyBorder="1" applyAlignment="1">
      <alignment horizontal="left"/>
    </xf>
    <xf numFmtId="0" fontId="8" fillId="4" borderId="7" xfId="0" quotePrefix="1" applyFont="1" applyFill="1" applyBorder="1" applyAlignment="1">
      <alignment horizontal="left"/>
    </xf>
    <xf numFmtId="0" fontId="9" fillId="0" borderId="4" xfId="2" applyBorder="1"/>
    <xf numFmtId="0" fontId="3" fillId="4" borderId="4" xfId="0" applyFont="1" applyFill="1" applyBorder="1" applyAlignment="1">
      <alignment horizontal="left" indent="1"/>
    </xf>
    <xf numFmtId="0" fontId="10" fillId="0" borderId="0" xfId="0" applyFont="1" applyAlignment="1">
      <alignment horizontal="left"/>
    </xf>
    <xf numFmtId="0" fontId="10" fillId="0" borderId="0" xfId="0" applyFont="1"/>
    <xf numFmtId="0" fontId="11" fillId="4" borderId="4" xfId="0" applyFont="1" applyFill="1" applyBorder="1" applyAlignment="1">
      <alignment horizontal="left" indent="1"/>
    </xf>
    <xf numFmtId="0" fontId="10" fillId="0" borderId="0" xfId="0" applyFont="1" applyAlignment="1">
      <alignment vertical="top" wrapText="1"/>
    </xf>
    <xf numFmtId="0" fontId="0" fillId="0" borderId="0" xfId="0" applyAlignment="1">
      <alignment vertical="top"/>
    </xf>
    <xf numFmtId="0" fontId="0" fillId="4" borderId="4" xfId="0" applyFill="1" applyBorder="1" applyAlignment="1">
      <alignment horizontal="left" vertical="top" indent="1"/>
    </xf>
    <xf numFmtId="0" fontId="6" fillId="0" borderId="0" xfId="0" applyFont="1" applyAlignment="1">
      <alignment horizontal="right" vertical="top" indent="1"/>
    </xf>
    <xf numFmtId="0" fontId="13" fillId="0" borderId="0" xfId="0" applyFont="1"/>
    <xf numFmtId="0" fontId="14" fillId="6" borderId="8" xfId="0" applyFont="1" applyFill="1" applyBorder="1" applyAlignment="1" applyProtection="1">
      <alignment horizontal="left" indent="1"/>
      <protection locked="0"/>
    </xf>
    <xf numFmtId="0" fontId="15" fillId="0" borderId="0" xfId="0" applyFont="1"/>
    <xf numFmtId="0" fontId="12" fillId="0" borderId="0" xfId="0" applyFont="1"/>
    <xf numFmtId="0" fontId="16" fillId="0" borderId="4" xfId="0" applyFont="1" applyBorder="1" applyAlignment="1" applyProtection="1">
      <alignment horizontal="left" indent="1"/>
      <protection locked="0"/>
    </xf>
    <xf numFmtId="0" fontId="3" fillId="4" borderId="6" xfId="0" applyFont="1" applyFill="1" applyBorder="1" applyAlignment="1">
      <alignment horizontal="left" vertical="top" indent="1"/>
    </xf>
    <xf numFmtId="0" fontId="3" fillId="4" borderId="7" xfId="0" applyFont="1" applyFill="1" applyBorder="1" applyAlignment="1">
      <alignment horizontal="left" vertical="top" inden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1" fillId="2" borderId="4" xfId="0" applyFont="1" applyFill="1" applyBorder="1" applyAlignment="1">
      <alignment horizontal="center"/>
    </xf>
  </cellXfs>
  <cellStyles count="3">
    <cellStyle name="Hyperlink" xfId="2" builtinId="8"/>
    <cellStyle name="Normal" xfId="0" builtinId="0"/>
    <cellStyle name="Normal 3" xfId="1" xr:uid="{00000000-0005-0000-0000-000002000000}"/>
  </cellStyles>
  <dxfs count="9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</dxfs>
  <tableStyles count="0" defaultTableStyle="TableStyleMedium2" defaultPivotStyle="PivotStyleLight16"/>
  <colors>
    <mruColors>
      <color rgb="FFF3F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61</xdr:row>
      <xdr:rowOff>28575</xdr:rowOff>
    </xdr:from>
    <xdr:to>
      <xdr:col>10</xdr:col>
      <xdr:colOff>1181100</xdr:colOff>
      <xdr:row>63</xdr:row>
      <xdr:rowOff>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3048000</xdr:colOff>
      <xdr:row>63</xdr:row>
      <xdr:rowOff>0</xdr:rowOff>
    </xdr:from>
    <xdr:to>
      <xdr:col>12</xdr:col>
      <xdr:colOff>3829050</xdr:colOff>
      <xdr:row>63</xdr:row>
      <xdr:rowOff>247650</xdr:rowOff>
    </xdr:to>
    <xdr:sp macro="Sheet1.ExecuteAction_605b4c86_ec83_459b_9284_8abe37023a66" textlink="">
      <xdr:nvSpPr>
        <xdr:cNvPr id="3" name="TM1Button_605b4c86_ec83_459b_9284_8abe37023a66">
          <a:extLst>
            <a:ext uri="{FF2B5EF4-FFF2-40B4-BE49-F238E27FC236}">
              <a16:creationId xmlns:a16="http://schemas.microsoft.com/office/drawing/2014/main" id="{6956E9BE-4429-09B5-6FE2-D456FF320091}"/>
            </a:ext>
          </a:extLst>
        </xdr:cNvPr>
        <xdr:cNvSpPr txBox="1"/>
      </xdr:nvSpPr>
      <xdr:spPr>
        <a:xfrm>
          <a:off x="5286375" y="4953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10</xdr:col>
      <xdr:colOff>104775</xdr:colOff>
      <xdr:row>63</xdr:row>
      <xdr:rowOff>0</xdr:rowOff>
    </xdr:from>
    <xdr:to>
      <xdr:col>10</xdr:col>
      <xdr:colOff>1228725</xdr:colOff>
      <xdr:row>63</xdr:row>
      <xdr:rowOff>247650</xdr:rowOff>
    </xdr:to>
    <xdr:sp macro="Sheet1.ExecuteAction_c39c2e44_37b3_4d86_ae7f_a36e141294e8" textlink="">
      <xdr:nvSpPr>
        <xdr:cNvPr id="4" name="TM1Button_c39c2e44_37b3_4d86_ae7f_a36e141294e8">
          <a:extLst>
            <a:ext uri="{FF2B5EF4-FFF2-40B4-BE49-F238E27FC236}">
              <a16:creationId xmlns:a16="http://schemas.microsoft.com/office/drawing/2014/main" id="{63B351C1-9849-BAB9-59F5-74474AA5653A}"/>
            </a:ext>
          </a:extLst>
        </xdr:cNvPr>
        <xdr:cNvSpPr txBox="1"/>
      </xdr:nvSpPr>
      <xdr:spPr>
        <a:xfrm>
          <a:off x="771525" y="49530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OS Data Entry</a:t>
          </a:r>
        </a:p>
      </xdr:txBody>
    </xdr:sp>
    <xdr:clientData/>
  </xdr:twoCellAnchor>
  <xdr:twoCellAnchor editAs="oneCell">
    <xdr:from>
      <xdr:col>9</xdr:col>
      <xdr:colOff>38100</xdr:colOff>
      <xdr:row>63</xdr:row>
      <xdr:rowOff>0</xdr:rowOff>
    </xdr:from>
    <xdr:to>
      <xdr:col>10</xdr:col>
      <xdr:colOff>66675</xdr:colOff>
      <xdr:row>63</xdr:row>
      <xdr:rowOff>247650</xdr:rowOff>
    </xdr:to>
    <xdr:sp macro="Sheet1.ExecuteAction_480162d9_1654_46a8_a295_b06637dbd8ca" textlink="">
      <xdr:nvSpPr>
        <xdr:cNvPr id="5" name="TM1Button_480162d9_1654_46a8_a295_b06637dbd8ca">
          <a:extLst>
            <a:ext uri="{FF2B5EF4-FFF2-40B4-BE49-F238E27FC236}">
              <a16:creationId xmlns:a16="http://schemas.microsoft.com/office/drawing/2014/main" id="{3F9A7076-9B09-C930-1764-D411564A8BAA}"/>
            </a:ext>
          </a:extLst>
        </xdr:cNvPr>
        <xdr:cNvSpPr txBox="1"/>
      </xdr:nvSpPr>
      <xdr:spPr>
        <a:xfrm>
          <a:off x="95250" y="4953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Home</a:t>
          </a:r>
        </a:p>
      </xdr:txBody>
    </xdr:sp>
    <xdr:clientData/>
  </xdr:twoCellAnchor>
  <xdr:twoCellAnchor editAs="oneCell">
    <xdr:from>
      <xdr:col>12</xdr:col>
      <xdr:colOff>1171575</xdr:colOff>
      <xdr:row>63</xdr:row>
      <xdr:rowOff>0</xdr:rowOff>
    </xdr:from>
    <xdr:to>
      <xdr:col>12</xdr:col>
      <xdr:colOff>2066925</xdr:colOff>
      <xdr:row>63</xdr:row>
      <xdr:rowOff>247650</xdr:rowOff>
    </xdr:to>
    <xdr:sp macro="Sheet1.ExecuteAction_8424e942_bf2f_4123_8bf3_c781e2445d19" textlink="">
      <xdr:nvSpPr>
        <xdr:cNvPr id="6" name="TM1Button_8424e942_bf2f_4123_8bf3_c781e2445d19">
          <a:extLst>
            <a:ext uri="{FF2B5EF4-FFF2-40B4-BE49-F238E27FC236}">
              <a16:creationId xmlns:a16="http://schemas.microsoft.com/office/drawing/2014/main" id="{9A5C609F-715B-C922-C879-2B1EE89BEEE4}"/>
            </a:ext>
          </a:extLst>
        </xdr:cNvPr>
        <xdr:cNvSpPr txBox="1"/>
      </xdr:nvSpPr>
      <xdr:spPr>
        <a:xfrm>
          <a:off x="3409950" y="495300"/>
          <a:ext cx="8953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Extract</a:t>
          </a:r>
        </a:p>
      </xdr:txBody>
    </xdr:sp>
    <xdr:clientData/>
  </xdr:twoCellAnchor>
  <xdr:twoCellAnchor editAs="oneCell">
    <xdr:from>
      <xdr:col>12</xdr:col>
      <xdr:colOff>2085975</xdr:colOff>
      <xdr:row>63</xdr:row>
      <xdr:rowOff>0</xdr:rowOff>
    </xdr:from>
    <xdr:to>
      <xdr:col>12</xdr:col>
      <xdr:colOff>2981325</xdr:colOff>
      <xdr:row>63</xdr:row>
      <xdr:rowOff>247650</xdr:rowOff>
    </xdr:to>
    <xdr:sp macro="Sheet1.ExecuteAction_f37635b8_ab40_4348_922c_dfa225ab32fb" textlink="">
      <xdr:nvSpPr>
        <xdr:cNvPr id="7" name="TM1Button_f37635b8_ab40_4348_922c_dfa225ab32fb">
          <a:extLst>
            <a:ext uri="{FF2B5EF4-FFF2-40B4-BE49-F238E27FC236}">
              <a16:creationId xmlns:a16="http://schemas.microsoft.com/office/drawing/2014/main" id="{A2E0DF58-D241-C486-200C-5AF1E5508851}"/>
            </a:ext>
          </a:extLst>
        </xdr:cNvPr>
        <xdr:cNvSpPr txBox="1"/>
      </xdr:nvSpPr>
      <xdr:spPr>
        <a:xfrm>
          <a:off x="4324350" y="495300"/>
          <a:ext cx="8953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Upload</a:t>
          </a:r>
        </a:p>
      </xdr:txBody>
    </xdr:sp>
    <xdr:clientData/>
  </xdr:twoCellAnchor>
  <xdr:twoCellAnchor editAs="oneCell">
    <xdr:from>
      <xdr:col>10</xdr:col>
      <xdr:colOff>1257300</xdr:colOff>
      <xdr:row>63</xdr:row>
      <xdr:rowOff>0</xdr:rowOff>
    </xdr:from>
    <xdr:to>
      <xdr:col>12</xdr:col>
      <xdr:colOff>1143000</xdr:colOff>
      <xdr:row>63</xdr:row>
      <xdr:rowOff>247650</xdr:rowOff>
    </xdr:to>
    <xdr:sp macro="Sheet1.ExecuteAction_74bd9406_6610_417d_ab45_e6f5bcc1861f" textlink="">
      <xdr:nvSpPr>
        <xdr:cNvPr id="8" name="TM1Button_74bd9406_6610_417d_ab45_e6f5bcc1861f">
          <a:extLst>
            <a:ext uri="{FF2B5EF4-FFF2-40B4-BE49-F238E27FC236}">
              <a16:creationId xmlns:a16="http://schemas.microsoft.com/office/drawing/2014/main" id="{A00866BE-3A6C-10B3-79DB-713E84EA4030}"/>
            </a:ext>
          </a:extLst>
        </xdr:cNvPr>
        <xdr:cNvSpPr txBox="1"/>
      </xdr:nvSpPr>
      <xdr:spPr>
        <a:xfrm>
          <a:off x="1924050" y="495300"/>
          <a:ext cx="14573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Flatfile Upload Template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9510/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O99"/>
  <sheetViews>
    <sheetView showGridLines="0" showRowColHeaders="0" tabSelected="1" showOutlineSymbols="0" topLeftCell="I62" workbookViewId="0">
      <selection sqref="A1:C1"/>
    </sheetView>
  </sheetViews>
  <sheetFormatPr defaultRowHeight="15" outlineLevelRow="1" outlineLevelCol="1" x14ac:dyDescent="0.25"/>
  <cols>
    <col min="1" max="1" width="25.140625" hidden="1" customWidth="1" outlineLevel="1"/>
    <col min="2" max="2" width="39.28515625" hidden="1" customWidth="1" outlineLevel="1"/>
    <col min="3" max="3" width="16.42578125" hidden="1" customWidth="1" outlineLevel="1"/>
    <col min="4" max="4" width="24.28515625" hidden="1" customWidth="1" outlineLevel="1"/>
    <col min="5" max="5" width="33.85546875" hidden="1" customWidth="1" outlineLevel="1"/>
    <col min="6" max="6" width="24.140625" hidden="1" customWidth="1" outlineLevel="1"/>
    <col min="7" max="7" width="10.85546875" hidden="1" customWidth="1" outlineLevel="1"/>
    <col min="8" max="8" width="9.140625" hidden="1" customWidth="1" outlineLevel="1"/>
    <col min="9" max="9" width="0.85546875" customWidth="1" collapsed="1"/>
    <col min="11" max="11" width="22.7109375" customWidth="1"/>
    <col min="12" max="12" width="0.85546875" customWidth="1"/>
    <col min="13" max="13" width="80.7109375" customWidth="1"/>
    <col min="14" max="14" width="4" customWidth="1"/>
    <col min="15" max="15" width="72.5703125" customWidth="1"/>
  </cols>
  <sheetData>
    <row r="1" spans="1:7" hidden="1" outlineLevel="1" x14ac:dyDescent="0.25">
      <c r="A1" s="35" t="s">
        <v>0</v>
      </c>
      <c r="B1" s="36"/>
      <c r="C1" s="37"/>
    </row>
    <row r="2" spans="1:7" hidden="1" outlineLevel="1" x14ac:dyDescent="0.25">
      <c r="A2" s="1" t="s">
        <v>1</v>
      </c>
      <c r="B2" s="2" t="s">
        <v>95</v>
      </c>
      <c r="C2" s="3"/>
    </row>
    <row r="3" spans="1:7" hidden="1" outlineLevel="1" x14ac:dyDescent="0.25">
      <c r="A3" s="1" t="s">
        <v>2</v>
      </c>
      <c r="B3" s="4" t="str" cm="1">
        <f t="array" ref="B3">_xll.VIEW(db_name&amp;":}ElementAttributes_}Clients","!","!")</f>
        <v>finance_geus:}ElementAttributes_}Clients:1264217196-2094169029</v>
      </c>
      <c r="C3" s="3"/>
    </row>
    <row r="4" spans="1:7" hidden="1" outlineLevel="1" x14ac:dyDescent="0.25">
      <c r="A4" s="1" t="s">
        <v>3</v>
      </c>
      <c r="B4" s="2" t="str" cm="1">
        <f t="array" aca="1" ref="B4" ca="1">_xll.TM1USER(db_name)</f>
        <v>RECALC_0_100_</v>
      </c>
      <c r="C4" s="3"/>
    </row>
    <row r="5" spans="1:7" hidden="1" outlineLevel="1" x14ac:dyDescent="0.25">
      <c r="A5" s="1" t="s">
        <v>4</v>
      </c>
      <c r="B5" s="2" t="str" cm="1">
        <f t="array" aca="1" ref="B5" ca="1">_xll.DBR($B$3,$B$4,$A5)</f>
        <v>RECALC_1_101_</v>
      </c>
      <c r="C5" s="3"/>
    </row>
    <row r="6" spans="1:7" hidden="1" outlineLevel="1" x14ac:dyDescent="0.25">
      <c r="A6" s="1" t="s">
        <v>5</v>
      </c>
      <c r="B6" s="2" t="str" cm="1">
        <f t="array" aca="1" ref="B6" ca="1">_xll.DBR($B$3,$B$4,$A6)</f>
        <v>RECALC_1_232_</v>
      </c>
      <c r="C6" s="3"/>
    </row>
    <row r="7" spans="1:7" hidden="1" outlineLevel="1" x14ac:dyDescent="0.25">
      <c r="A7" s="1" t="s">
        <v>6</v>
      </c>
      <c r="B7" s="2" t="str">
        <f ca="1">IF(LEFT($B$5,6)="CAM_AD",$B$6,$B$5)</f>
        <v>RECALC_1_101_</v>
      </c>
      <c r="C7" s="5"/>
    </row>
    <row r="8" spans="1:7" hidden="1" outlineLevel="1" x14ac:dyDescent="0.25"/>
    <row r="9" spans="1:7" hidden="1" outlineLevel="1" x14ac:dyDescent="0.25">
      <c r="A9" s="35" t="s">
        <v>7</v>
      </c>
      <c r="B9" s="36"/>
      <c r="C9" s="37"/>
      <c r="E9" s="35" t="s">
        <v>7</v>
      </c>
      <c r="F9" s="36"/>
      <c r="G9" s="37"/>
    </row>
    <row r="10" spans="1:7" hidden="1" outlineLevel="1" x14ac:dyDescent="0.25">
      <c r="A10" s="1" t="s">
        <v>8</v>
      </c>
      <c r="B10" s="5" t="str" cm="1">
        <f t="array" ref="B10">_xll.VIEW(db_name&amp;":}ElementAttributes_variables","!","!")</f>
        <v>finance_geus:}ElementAttributes_variables:1264217196-1078743332</v>
      </c>
      <c r="C10" s="5"/>
      <c r="E10" s="1" t="s">
        <v>8</v>
      </c>
      <c r="F10" s="5" t="str" cm="1">
        <f t="array" ref="F10">_xll.VIEW(db_name&amp;":sys_ME Variable","!","!")</f>
        <v>finance_geus:sys_ME Variable:1264217196346780569</v>
      </c>
    </row>
    <row r="11" spans="1:7" hidden="1" outlineLevel="1" x14ac:dyDescent="0.25">
      <c r="A11" s="1" t="s">
        <v>77</v>
      </c>
      <c r="B11" s="5" t="str" cm="1">
        <f t="array" aca="1" ref="B11" ca="1">_xll.DBR($B$10,$A11,"value")</f>
        <v>RECALC_0_1771_</v>
      </c>
      <c r="C11" s="5"/>
      <c r="E11" s="5" t="s">
        <v>68</v>
      </c>
      <c r="F11" s="5" t="str" cm="1">
        <f t="array" aca="1" ref="F11" ca="1">_xll.DBR($F$10,$E11,"value")</f>
        <v>RECALC_0_1762_</v>
      </c>
    </row>
    <row r="12" spans="1:7" hidden="1" outlineLevel="1" x14ac:dyDescent="0.25">
      <c r="A12" s="1" t="s">
        <v>76</v>
      </c>
      <c r="B12" s="5" t="str" cm="1">
        <f t="array" aca="1" ref="B12" ca="1">_xll.DBR($B$10,$A12,"value")</f>
        <v>RECALC_0_1770_</v>
      </c>
      <c r="C12" s="5"/>
      <c r="E12" s="5" t="s">
        <v>69</v>
      </c>
      <c r="F12" s="5" t="str" cm="1">
        <f t="array" aca="1" ref="F12" ca="1">_xll.DBR($F$10,$E12,"value")</f>
        <v>RECALC_0_1769_</v>
      </c>
    </row>
    <row r="13" spans="1:7" hidden="1" outlineLevel="1" x14ac:dyDescent="0.25">
      <c r="A13" s="1" t="s">
        <v>47</v>
      </c>
      <c r="B13" s="5" t="str" cm="1">
        <f t="array" aca="1" ref="B13" ca="1">_xll.DBR($B$10,$A13,"value")</f>
        <v>RECALC_0_262_</v>
      </c>
      <c r="C13" s="5"/>
    </row>
    <row r="14" spans="1:7" hidden="1" outlineLevel="1" x14ac:dyDescent="0.25">
      <c r="A14" s="1" t="s">
        <v>41</v>
      </c>
      <c r="B14" s="5" t="str" cm="1">
        <f t="array" aca="1" ref="B14" ca="1">_xll.DBR($B$10,$A14,"value")</f>
        <v>RECALC_0_433_</v>
      </c>
      <c r="C14" s="5"/>
    </row>
    <row r="15" spans="1:7" hidden="1" outlineLevel="1" x14ac:dyDescent="0.25">
      <c r="A15" s="1" t="s">
        <v>94</v>
      </c>
      <c r="B15" s="5" t="str" cm="1">
        <f t="array" aca="1" ref="B15" ca="1">_xll.DBR($B$10,$A15,"value")</f>
        <v>RECALC_0_575_</v>
      </c>
      <c r="C15" s="5"/>
    </row>
    <row r="16" spans="1:7" hidden="1" outlineLevel="1" x14ac:dyDescent="0.25">
      <c r="A16" s="1" t="s">
        <v>62</v>
      </c>
      <c r="B16" s="5" t="str" cm="1">
        <f t="array" aca="1" ref="B16" ca="1">_xll.DBR($B$10,$A16,"value")</f>
        <v>RECALC_0_431_</v>
      </c>
      <c r="C16" s="5"/>
    </row>
    <row r="17" spans="1:7" hidden="1" outlineLevel="1" x14ac:dyDescent="0.25">
      <c r="A17" s="1"/>
      <c r="B17" s="5"/>
      <c r="C17" s="5"/>
    </row>
    <row r="18" spans="1:7" hidden="1" outlineLevel="1" x14ac:dyDescent="0.25">
      <c r="A18" s="35" t="s">
        <v>45</v>
      </c>
      <c r="B18" s="36"/>
      <c r="C18" s="37"/>
    </row>
    <row r="19" spans="1:7" hidden="1" outlineLevel="1" x14ac:dyDescent="0.25">
      <c r="A19" s="1" t="s">
        <v>42</v>
      </c>
      <c r="B19" s="5" t="str" cm="1">
        <f t="array" aca="1" ref="B19" ca="1">_xll.DBR($B$10,$A19,"value")</f>
        <v>RECALC_0_430_</v>
      </c>
      <c r="C19" s="5"/>
    </row>
    <row r="20" spans="1:7" hidden="1" outlineLevel="1" x14ac:dyDescent="0.25">
      <c r="A20" s="1" t="s">
        <v>43</v>
      </c>
      <c r="B20" s="19" t="s">
        <v>49</v>
      </c>
      <c r="C20" s="5"/>
    </row>
    <row r="21" spans="1:7" hidden="1" outlineLevel="1" x14ac:dyDescent="0.25">
      <c r="A21" s="1" t="s">
        <v>44</v>
      </c>
      <c r="B21" s="5" t="str" cm="1">
        <f t="array" aca="1" ref="B21" ca="1">_xll.DBR($B$10,$A21,"value")</f>
        <v>RECALC_0_429_</v>
      </c>
      <c r="C21" s="5"/>
    </row>
    <row r="22" spans="1:7" hidden="1" outlineLevel="1" x14ac:dyDescent="0.25">
      <c r="A22" s="1" t="s">
        <v>48</v>
      </c>
      <c r="B22" s="5" t="str">
        <f ca="1">$B$20&amp;"/"&amp;$B$21&amp;"/"</f>
        <v>http://localhost:9510//RECALC_0_429_/</v>
      </c>
      <c r="C22" s="5"/>
    </row>
    <row r="23" spans="1:7" hidden="1" outlineLevel="1" x14ac:dyDescent="0.25"/>
    <row r="24" spans="1:7" hidden="1" outlineLevel="1" x14ac:dyDescent="0.25">
      <c r="A24" s="39" t="s">
        <v>50</v>
      </c>
      <c r="B24" s="39"/>
      <c r="C24" s="39"/>
    </row>
    <row r="25" spans="1:7" hidden="1" outlineLevel="1" x14ac:dyDescent="0.25">
      <c r="A25" s="1" t="s">
        <v>46</v>
      </c>
      <c r="B25" s="5" t="str">
        <f ca="1">$B$19&amp;"\"&amp;$B$21&amp;"\"&amp;$B$11&amp;"\"&amp;$B$13&amp;"\"</f>
        <v>RECALC_0_430_\RECALC_0_429_\RECALC_0_1771_\RECALC_0_262_\</v>
      </c>
      <c r="C25" s="5"/>
    </row>
    <row r="26" spans="1:7" hidden="1" outlineLevel="1" x14ac:dyDescent="0.25"/>
    <row r="27" spans="1:7" hidden="1" outlineLevel="1" x14ac:dyDescent="0.25">
      <c r="A27" s="35" t="s">
        <v>9</v>
      </c>
      <c r="B27" s="36"/>
      <c r="C27" s="37"/>
    </row>
    <row r="28" spans="1:7" hidden="1" outlineLevel="1" x14ac:dyDescent="0.25">
      <c r="A28" s="5" t="s">
        <v>10</v>
      </c>
      <c r="B28" s="5" t="str" cm="1">
        <f t="array" ref="B28">_xll.VIEW(db_name&amp;":sys_application","!","!")</f>
        <v>finance_geus:sys_application:1264217196-2127173761</v>
      </c>
    </row>
    <row r="29" spans="1:7" hidden="1" outlineLevel="1" x14ac:dyDescent="0.25">
      <c r="A29" s="5" t="s">
        <v>11</v>
      </c>
      <c r="B29" s="5" t="s">
        <v>65</v>
      </c>
    </row>
    <row r="30" spans="1:7" hidden="1" outlineLevel="1" x14ac:dyDescent="0.25">
      <c r="A30" s="6" t="s">
        <v>12</v>
      </c>
      <c r="B30" s="7" t="s">
        <v>13</v>
      </c>
      <c r="C30" s="7" t="s">
        <v>14</v>
      </c>
      <c r="D30" s="7" t="s">
        <v>15</v>
      </c>
      <c r="E30" s="7" t="s">
        <v>16</v>
      </c>
      <c r="F30" s="7" t="s">
        <v>17</v>
      </c>
      <c r="G30" s="7" t="s">
        <v>18</v>
      </c>
    </row>
    <row r="31" spans="1:7" hidden="1" outlineLevel="1" x14ac:dyDescent="0.25">
      <c r="A31" s="5" t="s">
        <v>63</v>
      </c>
      <c r="B31" s="5" t="str" cm="1">
        <f t="array" aca="1" ref="B31" ca="1">_xll.DBR($B$28,$A31,B$30)</f>
        <v>RECALC_0_1115_</v>
      </c>
      <c r="C31" s="5" t="str" cm="1">
        <f t="array" aca="1" ref="C31" ca="1">_xll.DBR($B$28,$A31,C$30)</f>
        <v>RECALC_0_1147_</v>
      </c>
      <c r="D31" s="5" t="str" cm="1">
        <f t="array" aca="1" ref="D31" ca="1">_xll.DBR($B$28,$A31,D$30)</f>
        <v>RECALC_0_1114_</v>
      </c>
      <c r="E31" s="5" t="str" cm="1">
        <f t="array" aca="1" ref="E31" ca="1">_xll.DBR($B$28,$A31,E$30)</f>
        <v>RECALC_0_1112_</v>
      </c>
      <c r="F31" s="5" t="str" cm="1">
        <f t="array" aca="1" ref="F31" ca="1">_xll.DBR($B$28,$A31,F$30)</f>
        <v>RECALC_0_1161_</v>
      </c>
      <c r="G31" s="5" t="str" cm="1">
        <f t="array" aca="1" ref="G31" ca="1">_xll.DBR($B$28,$A31,G$30)</f>
        <v>RECALC_0_1146_</v>
      </c>
    </row>
    <row r="32" spans="1:7" hidden="1" outlineLevel="1" x14ac:dyDescent="0.25">
      <c r="A32" s="5" t="s">
        <v>64</v>
      </c>
      <c r="B32" s="5" t="str" cm="1">
        <f t="array" aca="1" ref="B32" ca="1">_xll.DBR($B$28,$A32,B$30)</f>
        <v>RECALC_0_1159_</v>
      </c>
      <c r="C32" s="5" t="str" cm="1">
        <f t="array" aca="1" ref="C32" ca="1">_xll.DBR($B$28,$A32,C$30)</f>
        <v>RECALC_0_1144_</v>
      </c>
      <c r="D32" s="5" t="str" cm="1">
        <f t="array" aca="1" ref="D32" ca="1">_xll.DBR($B$28,$A32,D$30)</f>
        <v>RECALC_0_1129_</v>
      </c>
      <c r="E32" s="5" t="str" cm="1">
        <f t="array" aca="1" ref="E32" ca="1">_xll.DBR($B$28,$A32,E$30)</f>
        <v>RECALC_0_1109_</v>
      </c>
      <c r="F32" s="5" t="str" cm="1">
        <f t="array" aca="1" ref="F32" ca="1">_xll.DBR($B$28,$A32,F$30)</f>
        <v>RECALC_0_1158_</v>
      </c>
      <c r="G32" s="5" t="str" cm="1">
        <f t="array" aca="1" ref="G32" ca="1">_xll.DBR($B$28,$A32,G$30)</f>
        <v>RECALC_0_1143_</v>
      </c>
    </row>
    <row r="33" spans="1:7" hidden="1" outlineLevel="1" x14ac:dyDescent="0.25">
      <c r="A33" s="5" t="s">
        <v>65</v>
      </c>
      <c r="B33" s="5" t="str" cm="1">
        <f t="array" aca="1" ref="B33" ca="1">_xll.DBR($B$28,$A33,B$30)</f>
        <v>RECALC_0_1430_</v>
      </c>
      <c r="C33" s="5" t="str" cm="1">
        <f t="array" aca="1" ref="C33" ca="1">_xll.DBR($B$28,$A33,C$30)</f>
        <v>RECALC_0_1429_</v>
      </c>
      <c r="D33" s="5" t="str" cm="1">
        <f t="array" aca="1" ref="D33" ca="1">_xll.DBR($B$28,$A33,D$30)</f>
        <v>RECALC_0_1431_</v>
      </c>
      <c r="E33" s="5" t="str" cm="1">
        <f t="array" aca="1" ref="E33" ca="1">_xll.DBR($B$28,$A33,E$30)</f>
        <v>RECALC_0_1432_</v>
      </c>
      <c r="F33" s="5" t="str" cm="1">
        <f t="array" aca="1" ref="F33" ca="1">_xll.DBR($B$28,$A33,F$30)</f>
        <v>RECALC_0_1433_</v>
      </c>
      <c r="G33" s="5" t="str" cm="1">
        <f t="array" aca="1" ref="G33" ca="1">_xll.DBR($B$28,$A33,G$30)</f>
        <v>RECALC_0_1434_</v>
      </c>
    </row>
    <row r="34" spans="1:7" hidden="1" outlineLevel="1" x14ac:dyDescent="0.25">
      <c r="A34" s="5" t="s">
        <v>66</v>
      </c>
      <c r="B34" s="5" t="str" cm="1">
        <f t="array" aca="1" ref="B34" ca="1">_xll.DBR($B$28,$A34,B$30)</f>
        <v>RECALC_0_1768_</v>
      </c>
      <c r="C34" s="5" t="str" cm="1">
        <f t="array" aca="1" ref="C34" ca="1">_xll.DBR($B$28,$A34,C$30)</f>
        <v>RECALC_0_1767_</v>
      </c>
      <c r="D34" s="5" t="str" cm="1">
        <f t="array" aca="1" ref="D34" ca="1">_xll.DBR($B$28,$A34,D$30)</f>
        <v>RECALC_0_1766_</v>
      </c>
      <c r="E34" s="5" t="str" cm="1">
        <f t="array" aca="1" ref="E34" ca="1">_xll.DBR($B$28,$A34,E$30)</f>
        <v>RECALC_0_1765_</v>
      </c>
      <c r="F34" s="5" t="str" cm="1">
        <f t="array" aca="1" ref="F34" ca="1">_xll.DBR($B$28,$A34,F$30)</f>
        <v>RECALC_0_1764_</v>
      </c>
      <c r="G34" s="5" t="str" cm="1">
        <f t="array" aca="1" ref="G34" ca="1">_xll.DBR($B$28,$A34,G$30)</f>
        <v>RECALC_0_1763_</v>
      </c>
    </row>
    <row r="35" spans="1:7" hidden="1" outlineLevel="1" x14ac:dyDescent="0.25">
      <c r="A35" s="5" t="s">
        <v>67</v>
      </c>
      <c r="B35" s="5" t="str" cm="1">
        <f t="array" aca="1" ref="B35" ca="1">_xll.DBR($B$28,$A35,B$30)</f>
        <v>RECALC_0_1196_</v>
      </c>
      <c r="C35" s="5" t="str" cm="1">
        <f t="array" aca="1" ref="C35" ca="1">_xll.DBR($B$28,$A35,C$30)</f>
        <v>RECALC_0_1217_</v>
      </c>
      <c r="D35" s="5" t="str" cm="1">
        <f t="array" aca="1" ref="D35" ca="1">_xll.DBR($B$28,$A35,D$30)</f>
        <v>RECALC_0_1209_</v>
      </c>
      <c r="E35" s="5" t="str" cm="1">
        <f t="array" aca="1" ref="E35" ca="1">_xll.DBR($B$28,$A35,E$30)</f>
        <v>RECALC_0_1203_</v>
      </c>
      <c r="F35" s="5" t="str" cm="1">
        <f t="array" aca="1" ref="F35" ca="1">_xll.DBR($B$28,$A35,F$30)</f>
        <v>RECALC_0_1191_</v>
      </c>
      <c r="G35" s="5" t="str" cm="1">
        <f t="array" aca="1" ref="G35" ca="1">_xll.DBR($B$28,$A35,G$30)</f>
        <v>RECALC_0_1186_</v>
      </c>
    </row>
    <row r="36" spans="1:7" hidden="1" outlineLevel="1" x14ac:dyDescent="0.25"/>
    <row r="37" spans="1:7" hidden="1" outlineLevel="1" x14ac:dyDescent="0.25"/>
    <row r="38" spans="1:7" hidden="1" outlineLevel="1" x14ac:dyDescent="0.25">
      <c r="A38" s="35" t="s">
        <v>19</v>
      </c>
      <c r="B38" s="36"/>
      <c r="C38" s="37"/>
      <c r="E38" s="35" t="s">
        <v>70</v>
      </c>
      <c r="F38" s="36"/>
      <c r="G38" s="37"/>
    </row>
    <row r="39" spans="1:7" hidden="1" outlineLevel="1" x14ac:dyDescent="0.25">
      <c r="A39" s="1" t="s">
        <v>8</v>
      </c>
      <c r="B39" s="5" t="str" cm="1">
        <f t="array" ref="B39">_xll.VIEW(db_name&amp;":sys_client preference","!","!","!")</f>
        <v>finance_geus:sys_client preference:12642171961032239049</v>
      </c>
      <c r="C39" s="5"/>
      <c r="E39" s="5" t="s">
        <v>71</v>
      </c>
      <c r="F39" s="5" t="str">
        <f ca="1">$F$11</f>
        <v>RECALC_0_1762_</v>
      </c>
    </row>
    <row r="40" spans="1:7" hidden="1" outlineLevel="1" x14ac:dyDescent="0.25">
      <c r="A40" s="1"/>
      <c r="B40" s="8" t="s">
        <v>20</v>
      </c>
      <c r="C40" s="8" t="s">
        <v>21</v>
      </c>
      <c r="E40" s="5" t="s">
        <v>72</v>
      </c>
      <c r="F40" s="5" t="str">
        <f ca="1">$B$12</f>
        <v>RECALC_0_1770_</v>
      </c>
    </row>
    <row r="41" spans="1:7" hidden="1" outlineLevel="1" x14ac:dyDescent="0.25">
      <c r="A41" s="1" t="s">
        <v>22</v>
      </c>
      <c r="B41" s="5" t="str" cm="1">
        <f t="array" aca="1" ref="B41" ca="1">_xll.SUBNM(db_name&amp;":sys_client preference measure","","value")</f>
        <v>RECALC_0_189_</v>
      </c>
      <c r="C41" s="8"/>
      <c r="E41" s="5" t="s">
        <v>73</v>
      </c>
      <c r="F41" s="5" t="str">
        <f ca="1">B15&amp;psFileName</f>
        <v>RECALC_0_575_Extract for GEUS.csv</v>
      </c>
    </row>
    <row r="42" spans="1:7" hidden="1" outlineLevel="1" x14ac:dyDescent="0.25">
      <c r="A42" s="1" t="s">
        <v>23</v>
      </c>
      <c r="B42" s="5" t="str" cm="1">
        <f t="array" aca="1" ref="B42" ca="1">_xll.DBR($B$39,psUser,$A42,B$40)</f>
        <v>RECALC_1_416_</v>
      </c>
      <c r="C42" s="5" t="str" cm="1">
        <f t="array" aca="1" ref="C42" ca="1">_xll.DBR($B$39,psUser,$A42,C$40)</f>
        <v>RECALC_1_415_</v>
      </c>
      <c r="E42" s="5" t="s">
        <v>74</v>
      </c>
      <c r="F42" s="5"/>
    </row>
    <row r="43" spans="1:7" hidden="1" outlineLevel="1" x14ac:dyDescent="0.25">
      <c r="A43" s="1" t="s">
        <v>24</v>
      </c>
      <c r="B43" s="5" t="str" cm="1">
        <f t="array" aca="1" ref="B43" ca="1">_xll.DBR($B$39,psUser,$A43,B$40)</f>
        <v>RECALC_1_414_</v>
      </c>
      <c r="C43" s="5" t="str" cm="1">
        <f t="array" aca="1" ref="C43" ca="1">_xll.DBR($B$39,psUser,$A43,C$40)</f>
        <v>RECALC_1_413_</v>
      </c>
      <c r="E43" s="5" t="s">
        <v>75</v>
      </c>
      <c r="F43" s="5"/>
    </row>
    <row r="44" spans="1:7" hidden="1" outlineLevel="1" x14ac:dyDescent="0.25">
      <c r="A44" s="1" t="s">
        <v>25</v>
      </c>
      <c r="B44" s="5" t="str" cm="1">
        <f t="array" aca="1" ref="B44" ca="1">_xll.DBR($B$39,psUser,$A44,B$40)</f>
        <v>RECALC_1_412_</v>
      </c>
      <c r="C44" s="5" t="str" cm="1">
        <f t="array" aca="1" ref="C44" ca="1">_xll.DBR($B$39,psUser,$A44,C$40)</f>
        <v>RECALC_1_411_</v>
      </c>
      <c r="E44" s="5" t="s">
        <v>92</v>
      </c>
      <c r="F44" s="5" t="s">
        <v>93</v>
      </c>
    </row>
    <row r="45" spans="1:7" hidden="1" outlineLevel="1" x14ac:dyDescent="0.25">
      <c r="A45" s="1" t="s">
        <v>51</v>
      </c>
      <c r="B45" s="5" t="str" cm="1">
        <f t="array" aca="1" ref="B45" ca="1">_xll.DBR($B$39,psUser,$A45,B$40)</f>
        <v>RECALC_1_410_</v>
      </c>
      <c r="C45" s="5" t="str" cm="1">
        <f t="array" aca="1" ref="C45" ca="1">_xll.DBR($B$39,psUser,$A45,C$40)</f>
        <v>RECALC_1_409_</v>
      </c>
    </row>
    <row r="46" spans="1:7" hidden="1" outlineLevel="1" x14ac:dyDescent="0.25"/>
    <row r="47" spans="1:7" hidden="1" outlineLevel="1" x14ac:dyDescent="0.25">
      <c r="A47" s="38" t="s">
        <v>56</v>
      </c>
      <c r="B47" s="38"/>
      <c r="C47" s="38"/>
      <c r="E47" s="38" t="s">
        <v>56</v>
      </c>
      <c r="F47" s="38"/>
      <c r="G47" s="38"/>
    </row>
    <row r="48" spans="1:7" hidden="1" outlineLevel="1" x14ac:dyDescent="0.25">
      <c r="A48" s="5" t="s">
        <v>52</v>
      </c>
      <c r="B48" s="5" t="s">
        <v>59</v>
      </c>
      <c r="C48" s="5"/>
      <c r="E48" s="5" t="s">
        <v>52</v>
      </c>
      <c r="F48" s="5" t="str">
        <f ca="1">"Flat file successfully extracted to the following data directory : " &amp; $B$14</f>
        <v>Flat file successfully extracted to the following data directory : RECALC_0_433_</v>
      </c>
      <c r="G48" s="5"/>
    </row>
    <row r="49" spans="1:15" hidden="1" outlineLevel="1" x14ac:dyDescent="0.25">
      <c r="A49" s="5" t="s">
        <v>53</v>
      </c>
      <c r="B49" s="5" t="s">
        <v>81</v>
      </c>
      <c r="C49" s="5"/>
      <c r="E49" s="5" t="s">
        <v>53</v>
      </c>
      <c r="F49" s="5" t="s">
        <v>81</v>
      </c>
      <c r="G49" s="5"/>
    </row>
    <row r="50" spans="1:15" hidden="1" outlineLevel="1" x14ac:dyDescent="0.25">
      <c r="A50" s="5" t="s">
        <v>54</v>
      </c>
      <c r="B50" s="5" t="s">
        <v>55</v>
      </c>
      <c r="C50" s="5"/>
      <c r="E50" s="5" t="s">
        <v>54</v>
      </c>
      <c r="F50" s="5" t="s">
        <v>82</v>
      </c>
      <c r="G50" s="5"/>
    </row>
    <row r="51" spans="1:15" hidden="1" outlineLevel="1" x14ac:dyDescent="0.25">
      <c r="A51" s="5" t="s">
        <v>57</v>
      </c>
      <c r="B51" s="5" t="s">
        <v>58</v>
      </c>
      <c r="C51" s="5"/>
    </row>
    <row r="52" spans="1:15" hidden="1" outlineLevel="1" x14ac:dyDescent="0.25"/>
    <row r="53" spans="1:15" hidden="1" outlineLevel="1" x14ac:dyDescent="0.25"/>
    <row r="54" spans="1:15" hidden="1" outlineLevel="1" x14ac:dyDescent="0.25"/>
    <row r="55" spans="1:15" hidden="1" outlineLevel="1" x14ac:dyDescent="0.25"/>
    <row r="56" spans="1:15" hidden="1" outlineLevel="1" x14ac:dyDescent="0.25"/>
    <row r="57" spans="1:15" hidden="1" outlineLevel="1" x14ac:dyDescent="0.25"/>
    <row r="58" spans="1:15" hidden="1" outlineLevel="1" x14ac:dyDescent="0.25"/>
    <row r="59" spans="1:15" hidden="1" outlineLevel="1" x14ac:dyDescent="0.25"/>
    <row r="60" spans="1:15" hidden="1" outlineLevel="1" x14ac:dyDescent="0.25"/>
    <row r="61" spans="1:15" hidden="1" outlineLevel="1" x14ac:dyDescent="0.25"/>
    <row r="62" spans="1:15" ht="34.5" customHeight="1" collapsed="1" x14ac:dyDescent="0.25">
      <c r="I62" s="9"/>
      <c r="J62" s="9"/>
      <c r="K62" s="9"/>
      <c r="L62" s="9"/>
      <c r="M62" s="9"/>
      <c r="N62" s="9"/>
      <c r="O62" s="9" t="s">
        <v>80</v>
      </c>
    </row>
    <row r="63" spans="1:15" ht="4.5" customHeight="1" x14ac:dyDescent="0.25"/>
    <row r="64" spans="1:15" ht="24" customHeight="1" x14ac:dyDescent="0.25"/>
    <row r="65" spans="9:15" ht="1.5" customHeight="1" x14ac:dyDescent="0.25">
      <c r="I65" s="9"/>
      <c r="J65" s="9"/>
      <c r="K65" s="9"/>
      <c r="L65" s="9"/>
      <c r="M65" s="9"/>
      <c r="N65" s="9"/>
      <c r="O65" s="9"/>
    </row>
    <row r="66" spans="9:15" ht="5.25" customHeight="1" x14ac:dyDescent="0.25"/>
    <row r="67" spans="9:15" ht="15.75" x14ac:dyDescent="0.25">
      <c r="J67" s="28" t="s">
        <v>83</v>
      </c>
    </row>
    <row r="68" spans="9:15" ht="4.5" customHeight="1" x14ac:dyDescent="0.25">
      <c r="J68" s="28"/>
    </row>
    <row r="69" spans="9:15" x14ac:dyDescent="0.25">
      <c r="K69" s="12" t="s">
        <v>84</v>
      </c>
      <c r="M69" s="20" t="str">
        <f ca="1">$F$11</f>
        <v>RECALC_0_1762_</v>
      </c>
    </row>
    <row r="70" spans="9:15" ht="4.5" customHeight="1" x14ac:dyDescent="0.25"/>
    <row r="71" spans="9:15" x14ac:dyDescent="0.25">
      <c r="K71" s="12" t="s">
        <v>85</v>
      </c>
      <c r="M71" s="20" t="str">
        <f ca="1">$B$12</f>
        <v>RECALC_0_1770_</v>
      </c>
    </row>
    <row r="72" spans="9:15" ht="4.5" customHeight="1" thickBot="1" x14ac:dyDescent="0.3"/>
    <row r="73" spans="9:15" ht="15.75" thickBot="1" x14ac:dyDescent="0.3">
      <c r="K73" s="12" t="s">
        <v>86</v>
      </c>
      <c r="M73" s="29" t="str" cm="1">
        <f t="array" aca="1" ref="M73" ca="1">_xll.SUBNM(db_name&amp;":programme","","Administered Programmes","code and description")</f>
        <v>RECALC_0_10_</v>
      </c>
    </row>
    <row r="75" spans="9:15" ht="15.75" x14ac:dyDescent="0.25">
      <c r="M75" s="30" t="s">
        <v>88</v>
      </c>
    </row>
    <row r="76" spans="9:15" x14ac:dyDescent="0.25">
      <c r="K76" s="12" t="s">
        <v>87</v>
      </c>
      <c r="M76" s="33" t="str">
        <f ca="1">$B$14</f>
        <v>RECALC_0_433_</v>
      </c>
    </row>
    <row r="77" spans="9:15" x14ac:dyDescent="0.25">
      <c r="M77" s="34"/>
    </row>
    <row r="78" spans="9:15" ht="4.5" customHeight="1" x14ac:dyDescent="0.25"/>
    <row r="79" spans="9:15" ht="15.75" x14ac:dyDescent="0.25">
      <c r="M79" s="30" t="s">
        <v>89</v>
      </c>
    </row>
    <row r="80" spans="9:15" ht="4.5" customHeight="1" x14ac:dyDescent="0.25">
      <c r="M80" s="30"/>
    </row>
    <row r="81" spans="11:15" ht="15.75" x14ac:dyDescent="0.25">
      <c r="M81" s="30" t="s">
        <v>90</v>
      </c>
    </row>
    <row r="82" spans="11:15" x14ac:dyDescent="0.25">
      <c r="K82" s="14" t="s">
        <v>34</v>
      </c>
      <c r="M82" s="31" t="s">
        <v>91</v>
      </c>
    </row>
    <row r="83" spans="11:15" ht="4.5" customHeight="1" x14ac:dyDescent="0.25">
      <c r="K83" s="14"/>
    </row>
    <row r="84" spans="11:15" x14ac:dyDescent="0.25">
      <c r="K84" s="12" t="s">
        <v>78</v>
      </c>
      <c r="M84" s="20" t="str">
        <f ca="1">$B$15</f>
        <v>RECALC_0_575_</v>
      </c>
    </row>
    <row r="85" spans="11:15" ht="5.0999999999999996" customHeight="1" x14ac:dyDescent="0.25"/>
    <row r="86" spans="11:15" x14ac:dyDescent="0.25">
      <c r="K86" s="11" t="s">
        <v>32</v>
      </c>
      <c r="M86" s="32" t="s">
        <v>79</v>
      </c>
      <c r="O86" s="21" t="s">
        <v>37</v>
      </c>
    </row>
    <row r="87" spans="11:15" ht="4.5" customHeight="1" x14ac:dyDescent="0.25">
      <c r="K87" s="12"/>
      <c r="M87" s="13"/>
    </row>
    <row r="88" spans="11:15" hidden="1" x14ac:dyDescent="0.25">
      <c r="K88" s="12" t="s">
        <v>33</v>
      </c>
      <c r="M88" s="23" t="str">
        <f ca="1">$B$45</f>
        <v>RECALC_1_410_</v>
      </c>
      <c r="O88" s="22" t="s">
        <v>36</v>
      </c>
    </row>
    <row r="89" spans="11:15" ht="4.5" hidden="1" customHeight="1" x14ac:dyDescent="0.25"/>
    <row r="90" spans="11:15" x14ac:dyDescent="0.25">
      <c r="K90" s="14" t="s">
        <v>34</v>
      </c>
      <c r="M90" s="15" t="s">
        <v>35</v>
      </c>
    </row>
    <row r="91" spans="11:15" ht="5.0999999999999996" customHeight="1" x14ac:dyDescent="0.25"/>
    <row r="92" spans="11:15" x14ac:dyDescent="0.25">
      <c r="K92" s="12" t="s">
        <v>40</v>
      </c>
      <c r="M92" s="16" t="s">
        <v>38</v>
      </c>
    </row>
    <row r="93" spans="11:15" x14ac:dyDescent="0.25">
      <c r="M93" s="17" t="str">
        <f>"- General Format in excel"</f>
        <v>- General Format in excel</v>
      </c>
    </row>
    <row r="94" spans="11:15" x14ac:dyDescent="0.25">
      <c r="M94" s="17" t="str">
        <f>"- No commas (,) to seperate thousands"</f>
        <v>- No commas (,) to seperate thousands</v>
      </c>
    </row>
    <row r="95" spans="11:15" x14ac:dyDescent="0.25">
      <c r="M95" s="17" t="str">
        <f>"- Zeroes are set as 0 not dashes (-)"</f>
        <v>- Zeroes are set as 0 not dashes (-)</v>
      </c>
    </row>
    <row r="96" spans="11:15" x14ac:dyDescent="0.25">
      <c r="M96" s="18" t="s">
        <v>39</v>
      </c>
    </row>
    <row r="97" spans="11:15" ht="4.5" customHeight="1" x14ac:dyDescent="0.25"/>
    <row r="98" spans="11:15" ht="30" x14ac:dyDescent="0.25">
      <c r="K98" s="27" t="s">
        <v>60</v>
      </c>
      <c r="L98" s="25"/>
      <c r="M98" s="26" t="str">
        <f ca="1">$B$16</f>
        <v>RECALC_0_431_</v>
      </c>
      <c r="O98" s="24" t="s">
        <v>61</v>
      </c>
    </row>
    <row r="99" spans="11:15" x14ac:dyDescent="0.25">
      <c r="M99" s="10"/>
    </row>
  </sheetData>
  <sheetProtection sheet="1" objects="1" scenarios="1"/>
  <mergeCells count="11">
    <mergeCell ref="M76:M77"/>
    <mergeCell ref="A1:C1"/>
    <mergeCell ref="A9:C9"/>
    <mergeCell ref="A27:C27"/>
    <mergeCell ref="A38:C38"/>
    <mergeCell ref="E47:G47"/>
    <mergeCell ref="E9:G9"/>
    <mergeCell ref="E38:G38"/>
    <mergeCell ref="A18:C18"/>
    <mergeCell ref="A24:C24"/>
    <mergeCell ref="A47:C47"/>
  </mergeCells>
  <conditionalFormatting sqref="M69">
    <cfRule type="containsText" dxfId="8" priority="5" operator="containsText" text="approve">
      <formula>NOT(ISERROR(SEARCH("approve",M69)))</formula>
    </cfRule>
    <cfRule type="beginsWith" dxfId="7" priority="6" operator="beginsWith" text="un">
      <formula>LEFT(M69,LEN("un"))="un"</formula>
    </cfRule>
  </conditionalFormatting>
  <conditionalFormatting sqref="M71">
    <cfRule type="containsText" dxfId="6" priority="3" operator="containsText" text="approve">
      <formula>NOT(ISERROR(SEARCH("approve",M71)))</formula>
    </cfRule>
    <cfRule type="beginsWith" dxfId="5" priority="4" operator="beginsWith" text="un">
      <formula>LEFT(M71,LEN("un"))="un"</formula>
    </cfRule>
  </conditionalFormatting>
  <conditionalFormatting sqref="M76">
    <cfRule type="containsText" dxfId="4" priority="1" operator="containsText" text="approve">
      <formula>NOT(ISERROR(SEARCH("approve",M76)))</formula>
    </cfRule>
    <cfRule type="beginsWith" dxfId="3" priority="2" operator="beginsWith" text="un">
      <formula>LEFT(M76,LEN("un"))="un"</formula>
    </cfRule>
  </conditionalFormatting>
  <conditionalFormatting sqref="M84">
    <cfRule type="containsText" dxfId="2" priority="8" operator="containsText" text="approve">
      <formula>NOT(ISERROR(SEARCH("approve",M84)))</formula>
    </cfRule>
    <cfRule type="beginsWith" dxfId="1" priority="9" operator="beginsWith" text="un">
      <formula>LEFT(M84,LEN("un"))="un"</formula>
    </cfRule>
  </conditionalFormatting>
  <conditionalFormatting sqref="M88">
    <cfRule type="notContainsText" dxfId="0" priority="7" operator="notContains" text="PASS">
      <formula>ISERROR(SEARCH("PASS",M88))</formula>
    </cfRule>
  </conditionalFormatting>
  <hyperlinks>
    <hyperlink ref="B20" r:id="rId1" xr:uid="{00000000-0004-0000-0000-000000000000}"/>
  </hyperlinks>
  <pageMargins left="0.70866141732283472" right="0.70866141732283472" top="0.74803149606299213" bottom="0.74803149606299213" header="0.31496062992125984" footer="0.31496062992125984"/>
  <pageSetup paperSize="9" scale="83" orientation="landscape" r:id="rId2"/>
  <customProperties>
    <customPr name="TM1Actions" r:id="rId3"/>
  </customProperties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6"/>
  <sheetViews>
    <sheetView workbookViewId="0"/>
  </sheetViews>
  <sheetFormatPr defaultRowHeight="15" x14ac:dyDescent="0.25"/>
  <sheetData>
    <row r="1" spans="1:1" x14ac:dyDescent="0.25">
      <c r="A1" t="s">
        <v>28</v>
      </c>
    </row>
    <row r="2" spans="1:1" x14ac:dyDescent="0.25">
      <c r="A2" t="s">
        <v>29</v>
      </c>
    </row>
    <row r="3" spans="1:1" x14ac:dyDescent="0.25">
      <c r="A3" t="s">
        <v>30</v>
      </c>
    </row>
    <row r="4" spans="1:1" x14ac:dyDescent="0.25">
      <c r="A4" t="s">
        <v>31</v>
      </c>
    </row>
    <row r="5" spans="1:1" x14ac:dyDescent="0.25">
      <c r="A5" t="s">
        <v>26</v>
      </c>
    </row>
    <row r="6" spans="1:1" x14ac:dyDescent="0.25">
      <c r="A6" t="s">
        <v>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33</vt:i4>
      </vt:variant>
    </vt:vector>
  </HeadingPairs>
  <TitlesOfParts>
    <vt:vector size="35" baseType="lpstr">
      <vt:lpstr>upload</vt:lpstr>
      <vt:lpstr>{PL}PickLst</vt:lpstr>
      <vt:lpstr>db_name</vt:lpstr>
      <vt:lpstr>psApp</vt:lpstr>
      <vt:lpstr>psClear</vt:lpstr>
      <vt:lpstr>psFFType</vt:lpstr>
      <vt:lpstr>psFile</vt:lpstr>
      <vt:lpstr>psFileName</vt:lpstr>
      <vt:lpstr>psHLYear</vt:lpstr>
      <vt:lpstr>psID</vt:lpstr>
      <vt:lpstr>psMapping</vt:lpstr>
      <vt:lpstr>psProg</vt:lpstr>
      <vt:lpstr>psScenario</vt:lpstr>
      <vt:lpstr>psUser</vt:lpstr>
      <vt:lpstr>TM1ExtractAB_Confirm</vt:lpstr>
      <vt:lpstr>TM1ExtractAB_Fail</vt:lpstr>
      <vt:lpstr>TM1ExtractAB_Success</vt:lpstr>
      <vt:lpstr>TM1MEHomeCAP</vt:lpstr>
      <vt:lpstr>TM1MEHomeWB</vt:lpstr>
      <vt:lpstr>TM1MEHomeWS</vt:lpstr>
      <vt:lpstr>TM1MEOSDataEntryCAP</vt:lpstr>
      <vt:lpstr>TM1MEOSDataEntryWB</vt:lpstr>
      <vt:lpstr>TM1MEOSDataEntryWS</vt:lpstr>
      <vt:lpstr>TM1MEUploadCAP</vt:lpstr>
      <vt:lpstr>TM1MEUploadTempCAP</vt:lpstr>
      <vt:lpstr>TM1MEUploadTempWB</vt:lpstr>
      <vt:lpstr>TM1MEUploadTempWS</vt:lpstr>
      <vt:lpstr>TM1MEUploadWB</vt:lpstr>
      <vt:lpstr>TM1MEUploadWS</vt:lpstr>
      <vt:lpstr>TM1MEValidateCAP</vt:lpstr>
      <vt:lpstr>TM1MEValidateWB</vt:lpstr>
      <vt:lpstr>TM1MEValidateWS</vt:lpstr>
      <vt:lpstr>TM1UploadAB_Confirm</vt:lpstr>
      <vt:lpstr>TM1UploadAB_Fail</vt:lpstr>
      <vt:lpstr>TM1UploadAB_Success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cp:lastPrinted>2019-04-29T04:37:36Z</cp:lastPrinted>
  <dcterms:created xsi:type="dcterms:W3CDTF">2019-04-26T07:19:11Z</dcterms:created>
  <dcterms:modified xsi:type="dcterms:W3CDTF">2025-08-11T02:58:32Z</dcterms:modified>
</cp:coreProperties>
</file>