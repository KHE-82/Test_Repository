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Client work\Generic GEUS\20250415 Create New Program\"/>
    </mc:Choice>
  </mc:AlternateContent>
  <xr:revisionPtr revIDLastSave="0" documentId="8_{28E72DF3-8A39-4754-8D04-F1FDE41B6D6E}" xr6:coauthVersionLast="47" xr6:coauthVersionMax="47" xr10:uidLastSave="{00000000-0000-0000-0000-000000000000}"/>
  <bookViews>
    <workbookView xWindow="-120" yWindow="-120" windowWidth="29040" windowHeight="15840" firstSheet="1" activeTab="1" xr2:uid="{E8548463-1815-4AFC-8E89-C567D0568202}"/>
  </bookViews>
  <sheets>
    <sheet name="Cognos_Office_Connection_Cache" sheetId="4" state="veryHidden" r:id="rId1"/>
    <sheet name="program details" sheetId="1" r:id="rId2"/>
    <sheet name="{PL}PickLst" sheetId="3" state="hidden" r:id="rId3"/>
  </sheets>
  <definedNames>
    <definedName name="curHLYear">'program details'!$C$12</definedName>
    <definedName name="curScenario">'program details'!$C$13</definedName>
    <definedName name="db_name">'program details'!$C$3</definedName>
    <definedName name="ID" localSheetId="2" hidden="1">"701e0e5d-bdfe-4725-88bf-6a512c5469ca"</definedName>
    <definedName name="ID" localSheetId="0" hidden="1">"e3b65cf2-8f0f-4599-bba6-7c7469c8a9dd"</definedName>
    <definedName name="ID" localSheetId="1" hidden="1">"2984795c-5b49-4098-9bf8-5b3880c3d271"</definedName>
    <definedName name="psApp">'program details'!$C$20</definedName>
    <definedName name="psCBMSProg">'program details'!$L$73</definedName>
    <definedName name="psFunc">'program details'!$L$75</definedName>
    <definedName name="psHLYear">'program details'!#REF!</definedName>
    <definedName name="psItem">'program details'!$L$77</definedName>
    <definedName name="psMethod">'program details'!$L$85</definedName>
    <definedName name="psMethodIndex">'program details'!$C$46</definedName>
    <definedName name="psOC">'program details'!$L$71</definedName>
    <definedName name="psPar">'program details'!$L$66</definedName>
    <definedName name="psProgCode">'program details'!$L$60</definedName>
    <definedName name="psProgDesc">'program details'!$L$62</definedName>
    <definedName name="psProgType">'program details'!$L$64</definedName>
    <definedName name="psSPP">'program details'!$L$79</definedName>
    <definedName name="psSrcEL">'program details'!$L$87</definedName>
    <definedName name="psSrcPar">'program details'!$L$89</definedName>
    <definedName name="psSrcSuffix">'program details'!$L$91</definedName>
    <definedName name="psTarEL">'program details'!$R$87</definedName>
    <definedName name="psUser">'program details'!$C$5</definedName>
    <definedName name="sTypeOption">'program details'!$C$33:$D$33</definedName>
    <definedName name="TM1AdminProgDetCAP">'program details'!$D$28</definedName>
    <definedName name="TM1AdminProgDetWB">'program details'!$F$28</definedName>
    <definedName name="TM1AdminProgDetWS">'program details'!$H$28</definedName>
    <definedName name="TM1AdminRDSProgCAP">'program details'!$D$27</definedName>
    <definedName name="TM1AdminRDSProgWB">'program details'!$F$27</definedName>
    <definedName name="TM1AdminRDSProgWS">'program details'!$H$27</definedName>
    <definedName name="TM1AdminUploadProgCAP">'program details'!$D$29</definedName>
    <definedName name="TM1AdminUploadProgWB">'program details'!$F$29</definedName>
    <definedName name="TM1AdminUploadProgWS">'program details'!$H$29:$I$29</definedName>
    <definedName name="tm1ConfirmMsg">'program details'!$C$37</definedName>
    <definedName name="TM1HomeAdminCAP">'program details'!$D$25</definedName>
    <definedName name="TM1HomeAdminRDSCAP">'program details'!$D$26</definedName>
    <definedName name="TM1HomeAdminRDSWB">'program details'!$F$26</definedName>
    <definedName name="TM1HomeAdminRDSWS">'program details'!$H$26</definedName>
    <definedName name="TM1HomeAdminWB">'program details'!$F$25</definedName>
    <definedName name="TM1HomeAdminWS">'program details'!$H$25</definedName>
    <definedName name="TM1HomeAECAP">'program details'!$D$23</definedName>
    <definedName name="TM1HomeAEWB">'program details'!$F$23</definedName>
    <definedName name="TM1HomeAEWS">'program details'!$H$23</definedName>
    <definedName name="TM1HomeCAP">'program details'!$D$22</definedName>
    <definedName name="TM1HomeRepCAP">'program details'!$D$24</definedName>
    <definedName name="TM1HomeRepWB">'program details'!$F$24</definedName>
    <definedName name="TM1HomeRepWS">'program details'!$H$24</definedName>
    <definedName name="TM1HomeWB">'program details'!$F$22</definedName>
    <definedName name="TM1HomeWS">'program details'!$H$22</definedName>
    <definedName name="TM1Msg">'program details'!$C$36</definedName>
    <definedName name="TM1REBUILDOPTION">0</definedName>
    <definedName name="TM1RPTDATARNG2" localSheetId="1">'program details'!#REF!</definedName>
    <definedName name="TM1RPTFMTIDCOL" localSheetId="1">'program details'!#REF!</definedName>
    <definedName name="TM1RPTFMTRNG" localSheetId="1">'program details'!#REF!</definedName>
  </definedNames>
  <calcPr calcId="181029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5" i="1" l="1"/>
  <c r="C5" i="1" a="1"/>
  <c r="C5" i="1"/>
  <c r="L85" i="1"/>
  <c r="C46" i="1"/>
  <c r="B45" i="1"/>
  <c r="O85" i="1"/>
  <c r="L89" i="1"/>
  <c r="L87" i="1"/>
  <c r="L91" i="1"/>
  <c r="R87" i="1"/>
  <c r="C19" i="1" a="1"/>
  <c r="C19" i="1"/>
  <c r="H29" i="1" a="1"/>
  <c r="H29" i="1"/>
  <c r="G29" i="1" a="1"/>
  <c r="G29" i="1"/>
  <c r="F29" i="1" a="1"/>
  <c r="F29" i="1"/>
  <c r="E29" i="1" a="1"/>
  <c r="E29" i="1"/>
  <c r="D29" i="1" a="1"/>
  <c r="D29" i="1"/>
  <c r="C29" i="1" a="1"/>
  <c r="C29" i="1"/>
  <c r="C36" i="1"/>
  <c r="L75" i="1"/>
  <c r="L79" i="1"/>
  <c r="L77" i="1"/>
  <c r="L71" i="1"/>
  <c r="L66" i="1"/>
  <c r="C11" i="1" a="1"/>
  <c r="C11" i="1"/>
  <c r="C12" i="1" a="1"/>
  <c r="C12" i="1"/>
  <c r="C13" i="1" a="1"/>
  <c r="C13" i="1"/>
  <c r="H28" i="1" a="1"/>
  <c r="H28" i="1"/>
  <c r="G28" i="1" a="1"/>
  <c r="G28" i="1"/>
  <c r="F28" i="1" a="1"/>
  <c r="F28" i="1"/>
  <c r="E28" i="1" a="1"/>
  <c r="E28" i="1"/>
  <c r="D28" i="1" a="1"/>
  <c r="D28" i="1"/>
  <c r="C28" i="1" a="1"/>
  <c r="C28" i="1"/>
  <c r="H27" i="1" a="1"/>
  <c r="H27" i="1"/>
  <c r="G27" i="1" a="1"/>
  <c r="G27" i="1"/>
  <c r="F27" i="1" a="1"/>
  <c r="F27" i="1"/>
  <c r="E27" i="1" a="1"/>
  <c r="E27" i="1"/>
  <c r="D27" i="1" a="1"/>
  <c r="D27" i="1"/>
  <c r="C27" i="1" a="1"/>
  <c r="C27" i="1"/>
  <c r="H26" i="1" a="1"/>
  <c r="H26" i="1"/>
  <c r="G26" i="1" a="1"/>
  <c r="G26" i="1"/>
  <c r="F26" i="1" a="1"/>
  <c r="F26" i="1"/>
  <c r="E26" i="1" a="1"/>
  <c r="E26" i="1"/>
  <c r="D26" i="1" a="1"/>
  <c r="D26" i="1"/>
  <c r="C26" i="1" a="1"/>
  <c r="C26" i="1"/>
  <c r="H25" i="1" a="1"/>
  <c r="H25" i="1"/>
  <c r="G25" i="1" a="1"/>
  <c r="G25" i="1"/>
  <c r="F25" i="1" a="1"/>
  <c r="F25" i="1"/>
  <c r="E25" i="1" a="1"/>
  <c r="E25" i="1"/>
  <c r="D25" i="1" a="1"/>
  <c r="D25" i="1"/>
  <c r="C25" i="1" a="1"/>
  <c r="C25" i="1"/>
  <c r="H24" i="1" a="1"/>
  <c r="H24" i="1"/>
  <c r="G24" i="1" a="1"/>
  <c r="G24" i="1"/>
  <c r="F24" i="1" a="1"/>
  <c r="F24" i="1"/>
  <c r="E24" i="1" a="1"/>
  <c r="E24" i="1"/>
  <c r="D24" i="1" a="1"/>
  <c r="D24" i="1"/>
  <c r="C24" i="1" a="1"/>
  <c r="C24" i="1"/>
  <c r="H23" i="1" a="1"/>
  <c r="H23" i="1"/>
  <c r="G23" i="1" a="1"/>
  <c r="G23" i="1"/>
  <c r="F23" i="1" a="1"/>
  <c r="F23" i="1"/>
  <c r="E23" i="1" a="1"/>
  <c r="E23" i="1"/>
  <c r="D23" i="1" a="1"/>
  <c r="D23" i="1"/>
  <c r="C23" i="1" a="1"/>
  <c r="C23" i="1"/>
  <c r="H22" i="1" a="1"/>
  <c r="H22" i="1"/>
  <c r="G22" i="1" a="1"/>
  <c r="G22" i="1"/>
  <c r="F22" i="1" a="1"/>
  <c r="F22" i="1"/>
  <c r="E22" i="1" a="1"/>
  <c r="E22" i="1"/>
  <c r="D22" i="1" a="1"/>
  <c r="D22" i="1"/>
  <c r="C22" i="1" a="1"/>
  <c r="C22" i="1"/>
  <c r="C16" i="1" a="1"/>
  <c r="C16" i="1"/>
  <c r="C15" i="1" a="1"/>
  <c r="C15" i="1"/>
  <c r="C14" i="1" a="1"/>
  <c r="C14" i="1"/>
  <c r="C4" i="1" a="1"/>
  <c r="C4" i="1"/>
  <c r="C7" i="1" a="1"/>
  <c r="C7" i="1"/>
  <c r="C6" i="1" a="1"/>
  <c r="C6" i="1"/>
  <c r="C8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<sst xmlns="http://schemas.openxmlformats.org/spreadsheetml/2006/main" count="1013" uniqueCount="1007">
  <si>
    <t>headline year</t>
  </si>
  <si>
    <t>programme</t>
  </si>
  <si>
    <t>function</t>
  </si>
  <si>
    <t>outcome</t>
  </si>
  <si>
    <t>appropriation type</t>
  </si>
  <si>
    <t>appropriation item</t>
  </si>
  <si>
    <t>parameter</t>
  </si>
  <si>
    <t>efficiency dividend</t>
  </si>
  <si>
    <t>grant allocation</t>
  </si>
  <si>
    <t>SPP</t>
  </si>
  <si>
    <t>control type</t>
  </si>
  <si>
    <t>default account template</t>
  </si>
  <si>
    <t>agency code</t>
  </si>
  <si>
    <t>appropriation type (AE)</t>
  </si>
  <si>
    <t>appropriation item (AE)</t>
  </si>
  <si>
    <t>parameter account</t>
  </si>
  <si>
    <t>parameter movement account</t>
  </si>
  <si>
    <t>parameter related entity</t>
  </si>
  <si>
    <t>N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</si>
  <si>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</si>
  <si>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</si>
  <si>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</si>
  <si>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</si>
  <si>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</si>
  <si>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</si>
  <si>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</si>
  <si>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</si>
  <si>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</si>
  <si>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scenario</t>
  </si>
  <si>
    <t>archive year</t>
  </si>
  <si>
    <t>archive scenario</t>
  </si>
  <si>
    <t>current budget round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</si>
  <si>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</si>
  <si>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</si>
  <si>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</si>
  <si>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</si>
  <si>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</si>
  <si>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</si>
  <si>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</si>
  <si>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</si>
  <si>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</si>
  <si>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</si>
  <si>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</si>
  <si>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</si>
  <si>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</si>
  <si>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Administration - RDS</t>
  </si>
  <si>
    <t>Application Formula (DO NOT DELETE)</t>
  </si>
  <si>
    <t>=DBR($C$28,$B35,C$30)</t>
  </si>
  <si>
    <t>Attribute Fields</t>
  </si>
  <si>
    <t>Admin RDS - Programme</t>
  </si>
  <si>
    <t>Admin - Programme Details</t>
  </si>
  <si>
    <t>default favourite template</t>
  </si>
  <si>
    <t>parameter DCB account</t>
  </si>
  <si>
    <t>parameter DCB movement account</t>
  </si>
  <si>
    <t>parameter DCB related entity</t>
  </si>
  <si>
    <t>parameter DCB 2 account</t>
  </si>
  <si>
    <t>parameter DCB 2 movement account</t>
  </si>
  <si>
    <t>parameter DCB 2 related entity</t>
  </si>
  <si>
    <t>parameter DCB 3 account</t>
  </si>
  <si>
    <t>parameter DCB 3 movement account</t>
  </si>
  <si>
    <t>parameter DCB 3 related entity</t>
  </si>
  <si>
    <t>parameter DCB 4 account</t>
  </si>
  <si>
    <t>parameter DCB 4 movement account</t>
  </si>
  <si>
    <t>parameter DCB 4 related entity</t>
  </si>
  <si>
    <t xml:space="preserve"> </t>
  </si>
  <si>
    <t>agency</t>
  </si>
  <si>
    <t>special account</t>
  </si>
  <si>
    <t>spp_adj_appropriation item_standard</t>
  </si>
  <si>
    <t>generate fe3</t>
  </si>
  <si>
    <t xml:space="preserve">New Programme Code : </t>
  </si>
  <si>
    <t xml:space="preserve">New Programme Description : </t>
  </si>
  <si>
    <t xml:space="preserve">New Programme Type : </t>
  </si>
  <si>
    <t>sTypeOption</t>
  </si>
  <si>
    <t>C</t>
  </si>
  <si>
    <t xml:space="preserve">Default Outcome : </t>
  </si>
  <si>
    <t xml:space="preserve">Default Appropriation Item : </t>
  </si>
  <si>
    <t xml:space="preserve">Default SPP : </t>
  </si>
  <si>
    <t xml:space="preserve">Default Reportable CBMS Program : </t>
  </si>
  <si>
    <t xml:space="preserve">Default Sub-Function : </t>
  </si>
  <si>
    <t xml:space="preserve">New Programme MetaData </t>
  </si>
  <si>
    <t>Data Entry Fields</t>
  </si>
  <si>
    <t>sys_Client preference</t>
  </si>
  <si>
    <t>geus programme</t>
  </si>
  <si>
    <t>validate</t>
  </si>
  <si>
    <t xml:space="preserve">New Programme Direct Parent Programme : </t>
  </si>
  <si>
    <t>tm1ConfirmMsg</t>
  </si>
  <si>
    <t xml:space="preserve">Are you sure that you want to create this new programme? </t>
  </si>
  <si>
    <t xml:space="preserve"> *Not required by C level programme. Compulsory for N level programme.</t>
  </si>
  <si>
    <t xml:space="preserve"> *Required to be an unique code.</t>
  </si>
  <si>
    <t xml:space="preserve"> *Required to be an unique description.</t>
  </si>
  <si>
    <t xml:space="preserve"> *N - Data Entry level; C- Roll-ups reportng level</t>
  </si>
  <si>
    <t>Admin - Create Programme</t>
  </si>
  <si>
    <t>Admin - Upload Programme Dimension</t>
  </si>
  <si>
    <t>dim_edit dimension name</t>
  </si>
  <si>
    <t>dim_edit dimension method</t>
  </si>
  <si>
    <t>dim_edit dimension element_src</t>
  </si>
  <si>
    <t>dim_edit dimension element parent_src</t>
  </si>
  <si>
    <t>dim_edit dimension element _tar</t>
  </si>
  <si>
    <t>dim_edit dimension element_suffix</t>
  </si>
  <si>
    <t>value</t>
  </si>
  <si>
    <t xml:space="preserve">Edit Dimension Method : </t>
  </si>
  <si>
    <t xml:space="preserve">Dimension Element - Source : </t>
  </si>
  <si>
    <t>5209 -  Department of the Treasury</t>
  </si>
  <si>
    <t>5209.01 - NHFIC National Housing Finance and Investment Corporation</t>
  </si>
  <si>
    <t>5209.02 - Medicare Guarantee Fund</t>
  </si>
  <si>
    <t>5209.03 - Australian Financial Complaints Authority AFCA - Grants</t>
  </si>
  <si>
    <t>5209.04 - Campaign</t>
  </si>
  <si>
    <t>5209.05 - Others</t>
  </si>
  <si>
    <t>Program 1.2: Payments to International Financial Institutions</t>
  </si>
  <si>
    <t>7588 - Payments to International Financial Institutions</t>
  </si>
  <si>
    <t>7588.01 - International Financial Institutions (IFIs)</t>
  </si>
  <si>
    <t>7588.02 - International Monetary Fund (IMF)</t>
  </si>
  <si>
    <t>7588.03 - International Loans</t>
  </si>
  <si>
    <t>7588.04 - Others</t>
  </si>
  <si>
    <t>Program 1.3: Support for Markets and Business</t>
  </si>
  <si>
    <t>7590 - Support for Markets and Business</t>
  </si>
  <si>
    <t>7590.01 - ARPC</t>
  </si>
  <si>
    <t>7590.02 - Reserve Bank of Australia</t>
  </si>
  <si>
    <t>7590.03 - Gold Corporation -Seignorage payments</t>
  </si>
  <si>
    <t>7590.04 - State Borrowing guarantee Fees</t>
  </si>
  <si>
    <t>7590.05 - NSW Loan James Hardie Asbestos Compensation Fund</t>
  </si>
  <si>
    <t>7590.06 - Small Business Support</t>
  </si>
  <si>
    <t>7590.07 - SME / SMERL Guarantee</t>
  </si>
  <si>
    <t>7590.08 - Australian Business Growth Fund</t>
  </si>
  <si>
    <t>7590.09 - Consumer Data Right</t>
  </si>
  <si>
    <t>7590.10 - Global Infrastructure Hub</t>
  </si>
  <si>
    <t>7590.11 Campaign</t>
  </si>
  <si>
    <t>7590.12 Other</t>
  </si>
  <si>
    <t>7590.13 Balancing Program</t>
  </si>
  <si>
    <t>Program 1.4: General Revenue Assistance</t>
  </si>
  <si>
    <t>40023 - General Revenue Assistance</t>
  </si>
  <si>
    <t>40023.01 - General Revenue Assistance</t>
  </si>
  <si>
    <t>Program 1.5: Assistance to the States for Healthcare Services and Public Hospitals</t>
  </si>
  <si>
    <t>40016 - Assistance to the States for Healthcare Services</t>
  </si>
  <si>
    <t>40016.01 - Assistance to the States for Healthcare Services</t>
  </si>
  <si>
    <t>40016.01.01 - Assistance to the States for Healthcare Services (NSPP11)</t>
  </si>
  <si>
    <t>40016.01.02 - Assistance to the States for Healthcare Services (NSPP12)</t>
  </si>
  <si>
    <t>40016.01.03 - Assistance to the States for Healthcare Services (SPP849)</t>
  </si>
  <si>
    <t>40016.01.04 - Assistance to the States for Healthcare Services (SPP850)</t>
  </si>
  <si>
    <t>40052 - Assistance to the States for public hospitals</t>
  </si>
  <si>
    <t>40052.01 - Assistance to the States for public hospitals</t>
  </si>
  <si>
    <t>40052.01.01 - Assistance to the States for public hospitals (NSPP20)</t>
  </si>
  <si>
    <t>Program 1.6: Assistance to the States for Skills and Workforce Development</t>
  </si>
  <si>
    <t>40038 - Assistance to the States for Skills and Workforce Development</t>
  </si>
  <si>
    <t>40038.01 - Assistance to the States for Skills and Workforce Development</t>
  </si>
  <si>
    <t>40038.01.01 - Assistance to the States for Skills and Workforce Development (NSPP06)</t>
  </si>
  <si>
    <t>Program 1.7: Assistance to the States for Disability Services</t>
  </si>
  <si>
    <t>40039 - Assistance to the States for Disability Services</t>
  </si>
  <si>
    <t>40039.01 - Assistance to the States for Disability Services</t>
  </si>
  <si>
    <t>40039.01.01 - Assistance to the States for Disability Services (NSPP02)</t>
  </si>
  <si>
    <t>Program 1.8 :Assistance to the States for Affordable Housing</t>
  </si>
  <si>
    <t>40040 - Assistance to the States for Affordable Housing</t>
  </si>
  <si>
    <t>40040.01 - Assistance to the States for Affordable Housing</t>
  </si>
  <si>
    <t>40040.01.01 - Assistance to the States for Affordable Housing (SPP742)</t>
  </si>
  <si>
    <t>Program 1.9: National Partnership Payments to the States</t>
  </si>
  <si>
    <t>40012 - National Partnership Payments - Legal Aid</t>
  </si>
  <si>
    <t>40012.01 - National Partnership Payments - Legal Aid</t>
  </si>
  <si>
    <t>40012.01.01 - National Partnership Payments - Legal Aid (SPP001)</t>
  </si>
  <si>
    <t>40012.01.02 - National Partnership Payments - Legal Aid (SPP690)</t>
  </si>
  <si>
    <t>40012.01.03 - National Partnership Payments - Legal Aid (SPP795)</t>
  </si>
  <si>
    <t>40012.01.04 - National Partnership Payments - Legal Aid (SPP796)</t>
  </si>
  <si>
    <t>40012.01.05 - National Partnership Payments - Legal Aid (SPP809)</t>
  </si>
  <si>
    <t>40012.01.06 - National Partnership Payments - Legal Aid (SPP828)</t>
  </si>
  <si>
    <t>40012.01.07 - National Partnership Payments - Legal Aid (SPP837)</t>
  </si>
  <si>
    <t>40012.01.08 - National Partnership Payments - Legal Aid (SPP861)</t>
  </si>
  <si>
    <t>40012.01.09 - National Partnership Payments - Legal Aid (SPP862)</t>
  </si>
  <si>
    <t>40012.01.10 - National Partnership Payments - Legal Aid (SPP863)</t>
  </si>
  <si>
    <t>40012.01.11 - National Partnership Payments - Legal Aid (SPP864)</t>
  </si>
  <si>
    <t>40012.01.12 - National Partnership Payments - Legal Aid (SPP873)</t>
  </si>
  <si>
    <t>40012.01.13 - National Partnership Payments - Legal Aid (SPP886)</t>
  </si>
  <si>
    <t>40012.01.14 - National Partnership Payments - Legal Aid (SPP887)</t>
  </si>
  <si>
    <t>40012.01.15 - National Partnership Payments - Legal Aid (SPP905)</t>
  </si>
  <si>
    <t>40012.01.16 - National Partnership Payments - Legal Aid (SPP906)</t>
  </si>
  <si>
    <t>40012.01.17</t>
  </si>
  <si>
    <t>40012.01.18 - National Partnership Payments - Legal Aid (SPP914)</t>
  </si>
  <si>
    <t>40012.01.19 - National Partnership Payments - Legal Aid (SPP936)</t>
  </si>
  <si>
    <t>39997 - National Partnership Payments - Assistance to the Aged</t>
  </si>
  <si>
    <t>39997.01 - National Partnership Payments - Assistance to the Aged</t>
  </si>
  <si>
    <t>39997.01.01 - National Partnership Payments - Assistance to the Aged (SPP758)</t>
  </si>
  <si>
    <t>39997.01.02 - National Partnership Payments - Assistance to the Aged (SPP770)</t>
  </si>
  <si>
    <t>39997.01.03 - National Partnership Payments - Assistance to the Aged (SPP771)</t>
  </si>
  <si>
    <t>39997.01.04 - National Partnership Payments - Assistance to the Aged (SPP808)</t>
  </si>
  <si>
    <t>39997.01.05 - National Partnership Payments - Assistance to the Aged (SPP902)</t>
  </si>
  <si>
    <t>39997.01.06 - National Partnership Payments - Assistance to the Aged (SPP929)</t>
  </si>
  <si>
    <t>40024 - National Partnership Payments - Road Transport</t>
  </si>
  <si>
    <t>40024.01 - National Partnership Payments - Road Transport</t>
  </si>
  <si>
    <t>40024.01.01 - National Partnership Payments - Road Transport (SPP092)</t>
  </si>
  <si>
    <t>40024.01.02 - National Partnership Payments - Road Transport (SPP414)</t>
  </si>
  <si>
    <t>40024.01.03 - National Partnership Payments - Road Transport (SPP418)</t>
  </si>
  <si>
    <t>40024.01.04 - National Partnership Payments - Road Transport (SPP421)</t>
  </si>
  <si>
    <t>40024.01.05 - National Partnership Payments - Road Transport (SPP673)</t>
  </si>
  <si>
    <t>40024.01.06 - National Partnership Payments - Road Transport (SPP674)</t>
  </si>
  <si>
    <t>40024.01.07 - National Partnership Payments - Road Transport (SPP675)</t>
  </si>
  <si>
    <t>40024.01.08 - National Partnership Payments - Road Transport (SPP680)</t>
  </si>
  <si>
    <t>40024.01.09 - National Partnership Payments - Road Transport (SPP681)</t>
  </si>
  <si>
    <t>40024.01.10 - National Partnership Payments - Road Transport (SPP701)</t>
  </si>
  <si>
    <t>40024.01.11 - National Partnership Payments - Road Transport (SPP708)</t>
  </si>
  <si>
    <t>40024.01.12 - National Partnership Payments - Road Transport (SPP712)</t>
  </si>
  <si>
    <t>40024.01.13 - National Partnership Payments - Road Transport (SPP719)</t>
  </si>
  <si>
    <t>40024.01.14 - National Partnership Payments - Road Transport (SPP760)</t>
  </si>
  <si>
    <t>40024.01.15 - National Partnership Payments - Road Transport (SPP761)</t>
  </si>
  <si>
    <t>40024.01.16 - National Partnership Payments - Road Transport (SPP765)</t>
  </si>
  <si>
    <t>40024.01.17 - National Partnership Payments - Road Transport (SPP711)</t>
  </si>
  <si>
    <t>40024.01.18 - National Partnership Payments - Road Transport (SPP700)</t>
  </si>
  <si>
    <t>40018 - National Partnership Payments - Natural Disaster Relief</t>
  </si>
  <si>
    <t>40018.01 - National Partnership Payments - Natural Disaster Relief</t>
  </si>
  <si>
    <t>40018.01.01 - Natural Disaster Relief (SPP113)</t>
  </si>
  <si>
    <t>40018.01.02</t>
  </si>
  <si>
    <t>40029 - National Partnership Payments - Water and Natural Resources</t>
  </si>
  <si>
    <t>40029.01 - National Partnership Payments - Water and Natural Resources</t>
  </si>
  <si>
    <t>40029.01.01 - National Partnership Payments - Water and Natural Resources (SPP127)</t>
  </si>
  <si>
    <t>40029.01.02 - National Partnership Payments - Water and Natural Resources (SPP533)</t>
  </si>
  <si>
    <t>40029.01.03 - National Partnership Payments - Water and Natural Resources (SPP632)</t>
  </si>
  <si>
    <t>40029.01.04 - National Partnership Payments - Water and Natural Resources (SPP763)</t>
  </si>
  <si>
    <t>40029.01.05 - National Partnership Payments - Water and Natural Resources (SPP776)</t>
  </si>
  <si>
    <t>40029.01.06 - National Partnership Payments - Water and Natural Resources (SPP804)</t>
  </si>
  <si>
    <t>40029.01.07 - National Partnership Payments - Water and Natural Resources (SPP811)</t>
  </si>
  <si>
    <t>40029.01.08 - National Partnership Payments - Water and Natural Resources (SPP661)</t>
  </si>
  <si>
    <t>40029.01.09 - National Partnership Payments - Water and Natural Resources (Water Act)</t>
  </si>
  <si>
    <t>40029.01.10 - National Partnership Payments - Water and Natural Resources</t>
  </si>
  <si>
    <t>40029.01.11 - National Partnership Payments - Water and Natural Resources</t>
  </si>
  <si>
    <t>40003 - National Partnership Payments - Fishing, Horticulture and Other Agriculture</t>
  </si>
  <si>
    <t>40003.01 - National Partnership Payments - Fishing, Horticulture and Other Agriculture</t>
  </si>
  <si>
    <t>40003.01.01 - National Partnership Payments - Fishing, Horticulture and Other Agriculture (SPP188)</t>
  </si>
  <si>
    <t>40003.01.02 - National Partnership Payments - Fishing, Horticulture and Other Agriculture (SPP829)</t>
  </si>
  <si>
    <t>40003.01.03 - National Partnership Payments - Fishing, Horticulture and Other Agriculture (SPP831)</t>
  </si>
  <si>
    <t>40003.01.04 - National Partnership Payments - Fishing, Horticulture and Other Agriculture (SPP839)</t>
  </si>
  <si>
    <t>40003.01.05 - National Partnership Payments - Fishing, Horticulture and Other Agriculture (SPP857)</t>
  </si>
  <si>
    <t>40003.01.06. National Partnership Payments - Fishing, Horticulture and Other Agriculture (SPP875)</t>
  </si>
  <si>
    <t>40003.01.07. National Partnership Payments - Fishing, Horticulture and Other Agriculture (SPP876)</t>
  </si>
  <si>
    <t>40003.01.08. National Partnership Payments - Fishing, Horticulture and Other Agriculture (SPP880)</t>
  </si>
  <si>
    <t>40003.01.09. National Partnership Payments - Fishing, Horticulture and Other Agriculture (SPP900)</t>
  </si>
  <si>
    <t>40003.01.10. National Partnership Payments - Fishing, Horticulture and Other Agriculture (SPP913)</t>
  </si>
  <si>
    <t>40003.01.11. National Partnership Payments - Fishing, Horticulture and Other Agriculture (SPP993)</t>
  </si>
  <si>
    <t>40003.01.12. National Partnership Payments - Fishing, Horticulture and Other Agriculture (SPP895)</t>
  </si>
  <si>
    <t>40004 - National Partnership Payments - General Health Services</t>
  </si>
  <si>
    <t>40004.01 - National Partnership Payments - General Health Services</t>
  </si>
  <si>
    <t>40004.01.01 - National Partnership Payments - General Health Services (SPP215)</t>
  </si>
  <si>
    <t>40004.01.02 - National Partnership Payments - General Health Services (SPP441)</t>
  </si>
  <si>
    <t>40004.01.03 - National Partnership Payments - General Health Services (SPP442)</t>
  </si>
  <si>
    <t>40004.01.04 - National Partnership Payments - General Health Services (SPP444)</t>
  </si>
  <si>
    <t>40004.01.05 - National Partnership Payments - General Health Services (SPP446)</t>
  </si>
  <si>
    <t>40004.01.06 - National Partnership Payments - General Health Services (SPP449)</t>
  </si>
  <si>
    <t>40004.01.07 - National Partnership Payments - General Health Services (SPP451)</t>
  </si>
  <si>
    <t>40004.01.08 - National Partnership Payments - General Health Services (SPP452)</t>
  </si>
  <si>
    <t>40004.01.09 - National Partnership Payments - General Health Services (SPP617)</t>
  </si>
  <si>
    <t>40004.01.10 - National Partnership Payments - General Health Services (SPP620)</t>
  </si>
  <si>
    <t>40004.01.11 - National Partnership Payments - General Health Services (SPP634)</t>
  </si>
  <si>
    <t>40004.01.12 - National Partnership Payments - General Health Services (SPP679)</t>
  </si>
  <si>
    <t>40004.01.13 - National Partnership Payments - General Health Services (SPP705)</t>
  </si>
  <si>
    <t>40004.01.14 - National Partnership Payments - General Health Services (SPP725)</t>
  </si>
  <si>
    <t>40004.01.15 - National Partnership Payments - General Health Services (SPP738)</t>
  </si>
  <si>
    <t>40004.01.16 - National Partnership Payments - General Health Services (SPP741)</t>
  </si>
  <si>
    <t>40004.01.17 - National Partnership Payments - General Health Services (SPP751)</t>
  </si>
  <si>
    <t>40004.01.18 - National Partnership Payments - General Health Services (SPP757)</t>
  </si>
  <si>
    <t>40004.01.19 - National Partnership Payments - General Health Services (SPP783)</t>
  </si>
  <si>
    <t>40004.01.20 - National Partnership Payments - General Health Services (SPP788)</t>
  </si>
  <si>
    <t>40004.01.21 - National Partnership Payments - General Health Services (SPP801)</t>
  </si>
  <si>
    <t>40004.01.22 - National Partnership Payments - General Health Services (SPP807)</t>
  </si>
  <si>
    <t>40004.01.23 - National Partnership Payments - General Health Services (SPP817)</t>
  </si>
  <si>
    <t>40004.01.24 - National Partnership Payments - General Health Services (SPP821)</t>
  </si>
  <si>
    <t>40004.01.25 - National Partnership Payments - General Health Services (SPP823)</t>
  </si>
  <si>
    <t>40004.01.26 - National Partnership Payments - General Health Services (SPP851)</t>
  </si>
  <si>
    <t>40004.01.27 - National Partnership Payments - General Health Services (SPP870)</t>
  </si>
  <si>
    <t>40004.01.28 - National Partnership Payments - General Health Services (SPP874)</t>
  </si>
  <si>
    <t>40004.01.29 - National Partnership Payments - General Health Services (SPP878)</t>
  </si>
  <si>
    <t>40004.01.30 - National Partnership Payments - General Health Services (SPP889)</t>
  </si>
  <si>
    <t>40004.01.31 - National Partnership Payments - General Health Services (SPP867)</t>
  </si>
  <si>
    <t>40004.01.32 - National Partnership Payments - General Health Services (SPP892)</t>
  </si>
  <si>
    <t>40004.01.33 - National Partnership Payments - General Health Services (SPP904)</t>
  </si>
  <si>
    <t>40004.01.34 - National Partnership Payments - General Health Services (SPP907)</t>
  </si>
  <si>
    <t>40004.01.35 - National Partnership Payments - General Health Services (SPP909)</t>
  </si>
  <si>
    <t>40004.01.36 - National Partnership Payments - General Health Services (SPP879)</t>
  </si>
  <si>
    <t>40004.01.37 - National Partnership Payments - General Health Services (SPP997)</t>
  </si>
  <si>
    <t>40004.01.38 - National Partnership Payments - General Health Services (SPP934)</t>
  </si>
  <si>
    <t>40004.01.39 - National Partnership Payments - General Health Services (SPP932)</t>
  </si>
  <si>
    <t>40004.01.40 - National Partnership Payments - General Health Services (SPP939)</t>
  </si>
  <si>
    <t>40004.01.41 - National Partnership Payments - General Health Services (SPP943)</t>
  </si>
  <si>
    <t>40004.01.42 - National Partnership Payments - General Health Services (SPP940)</t>
  </si>
  <si>
    <t>40004.01.43 - National Partnership Payments - General Health Services (SPP941)</t>
  </si>
  <si>
    <t>40026 - National Partnership Payments - School Education</t>
  </si>
  <si>
    <t>40026.01 - National Partnership Payments - School Education</t>
  </si>
  <si>
    <t>40026.01.01 - National Partnership Payments - School Education (SPP404)</t>
  </si>
  <si>
    <t>40026.01.02 - National Partnership Payments - School Education (SPP502)</t>
  </si>
  <si>
    <t>40026.01.03 - National Partnership Payments - School Education (SPP546)</t>
  </si>
  <si>
    <t>40026.01.04 - National Partnership Payments - School Education (SPP597)</t>
  </si>
  <si>
    <t>40026.01.05 - National Partnership Payments - School Education (SPP677)</t>
  </si>
  <si>
    <t>40026.01.06 - National Partnership Payments - School Education (SPP697)</t>
  </si>
  <si>
    <t>40026.01.07 - National Partnership Payments - School Education (SPP890)</t>
  </si>
  <si>
    <t>40026.01.08 - National Partnership Payments - School Education (SPP916)</t>
  </si>
  <si>
    <t>40008 - National Partnership Payments - Housing</t>
  </si>
  <si>
    <t>40008.01 - National Partnership Payments - Housing</t>
  </si>
  <si>
    <t>40008.01.01 - National Partnership Payments - Housing (SPP496)</t>
  </si>
  <si>
    <t>40008.01.02 - National Partnership Payments - Housing (SPP665)</t>
  </si>
  <si>
    <t>40008.01.03 - National Partnership Payments - Housing (SPP696)</t>
  </si>
  <si>
    <t>40008.01.04 - National Partnership Payments - Housing (SPP755)</t>
  </si>
  <si>
    <t>40008.01.05 - National Partnership Payments - Housing (SPP759)</t>
  </si>
  <si>
    <t>40008.01.06 - National Partnership Payments - Housing (SPP836)</t>
  </si>
  <si>
    <t>40008.01.07 - National Partnership Payments - Housing (SPP744_old)</t>
  </si>
  <si>
    <t>40008.01.08 - National Partnership Payments - Housing (SPP944)</t>
  </si>
  <si>
    <t>39996 - National Partnership Payments - Aboriginal and Torres Strait Islander Health</t>
  </si>
  <si>
    <t>39996.01 - National Partnership Payments - Aboriginal and Torres Strait Islander Health</t>
  </si>
  <si>
    <t>39996.01.01 - National Partnership Payments - Aboriginal and Torres Strait Islander Health (SPP555)</t>
  </si>
  <si>
    <t>39996.01.02 - National Partnership Payments - Aboriginal and Torres Strait Islander Health (SPP443)</t>
  </si>
  <si>
    <t>39996.01.03 - National Partnership Payments - Aboriginal and Torres Strait Islander Health (SPP720)</t>
  </si>
  <si>
    <t>39996.01.04 - National Partnership Payments - Aboriginal and Torres Strait Islander Health (SPP580)</t>
  </si>
  <si>
    <t>40017 - National Partnership Payments - Vocational and Other Education</t>
  </si>
  <si>
    <t>40017.01 - National Partnership Payments - Vocational and Other Education</t>
  </si>
  <si>
    <t>40017.01.01 - National Partnership Payments - Vocational and Other Education (SPP743)</t>
  </si>
  <si>
    <t>40017.01.02 - National Partnership Payments - Vocational and Other Education (SPP800)</t>
  </si>
  <si>
    <t>40017.01.03 - National Partnership Payments - Vocational and Other Education (SPP812)</t>
  </si>
  <si>
    <t>40017.01.04 - National Partnership Payments - Vocational and Other Education (SPP842)</t>
  </si>
  <si>
    <t>40017.01.05 - National Partnership Payments - Vocational and Other Education (SPP917)</t>
  </si>
  <si>
    <t>40017.01.06 - National Partnership Payments - Vocational and Other Education (SPP918)</t>
  </si>
  <si>
    <t>40000 - National Partnership Payments - Environment Protection</t>
  </si>
  <si>
    <t>40000.01 - National Partnership Payments - Environment Protection</t>
  </si>
  <si>
    <t>40000.01.01 - National Partnership Payments - Environment Protection (SPP392)</t>
  </si>
  <si>
    <t>40000.01.02 - National Partnership Payments - Environment Protection (SPP698)</t>
  </si>
  <si>
    <t>40000.01.03 - National Partnership Payments - Environment Protection (SPP707)</t>
  </si>
  <si>
    <t>40000.01.04 - National Partnership Payments - Environment Protection (SPP752)</t>
  </si>
  <si>
    <t>40000.01.05 - National Partnership Payments - Environment Protection (SPP768)</t>
  </si>
  <si>
    <t>40000.01.06 - National Partnership Payments - Environment Protection (SPP790)</t>
  </si>
  <si>
    <t>40000.01.07 - National Partnership Payments - Environment Protection (SPP813)</t>
  </si>
  <si>
    <t>40000.01.08 - National Partnership Payments - Environment Protection (SPP822)</t>
  </si>
  <si>
    <t>40000.01.09 - National Partnership Payments - Environment Protection (SPP827)</t>
  </si>
  <si>
    <t>40000.01.10 - National Partnership Payments - Environment Protection (SPP844)</t>
  </si>
  <si>
    <t>40000.01.11 - National Partnership Payments - Environment Protection (SPP845)</t>
  </si>
  <si>
    <t>40000.01.12 - National Partnership Payments - Environment Protection (SPP854)</t>
  </si>
  <si>
    <t>40000.01.13 - National Partnership Payments - Environment Protection (SPP860)</t>
  </si>
  <si>
    <t>40000.01.14 - National Partnership Payments - Environment Protection (SPP866)</t>
  </si>
  <si>
    <t>40000.01.15 - National Partnership Payments - Environment Protection (SPP893)</t>
  </si>
  <si>
    <t>40000.01.16 - National Partnership Payments - Environment Protection (SPP903)</t>
  </si>
  <si>
    <t>40000.01.17 - National Partnership Payments - Environment Protection (SPP858)</t>
  </si>
  <si>
    <t>40000.01.18 - National Partnership Payments - Environment Protection (SPP915)</t>
  </si>
  <si>
    <t>40000.01.19 - National Partnership Payments - Environment Protection (SPP927)</t>
  </si>
  <si>
    <t>40000.01.20 - National Partnership Payments - Environment Protection (SPP928)</t>
  </si>
  <si>
    <t>40000.01.21 - National Partnership Payments - Environment Protection (SPP930)</t>
  </si>
  <si>
    <t>40000.01.22 - National Partnership Payments - Environment Protection (SPP946)</t>
  </si>
  <si>
    <t>40021 - National Partnership Payments - Rail Transport</t>
  </si>
  <si>
    <t>40021.01 - National Partnership Payments - Rail Transport</t>
  </si>
  <si>
    <t>40021.01.01 - National Partnership Payments - Rail Transport (SPP412)</t>
  </si>
  <si>
    <t>40021.01.02 - National Partnership Payments - Rail Transport (SPP750)</t>
  </si>
  <si>
    <t>40021.01.03 - National Partnership Payments - Rail Transport (SPP762)</t>
  </si>
  <si>
    <t>40022 - National Partnership Payments - Regional Development</t>
  </si>
  <si>
    <t>40022.01 - National Partnership Payments - Regional Development</t>
  </si>
  <si>
    <t>40022.01.01 - National Partnership Payments - Regional Development (SPP423)</t>
  </si>
  <si>
    <t>40022.01.02 - National Partnership Payments - Regional Development (SPP756)</t>
  </si>
  <si>
    <t>40022.01.03 - National Partnership Payments - Regional Development (SPP779)</t>
  </si>
  <si>
    <t>40022.01.04 - National Partnership Payments - Regional Development (SPP780)</t>
  </si>
  <si>
    <t>40022.01.05 - National Partnership Payments - Regional Development (SPP781)</t>
  </si>
  <si>
    <t>40022.01.06 - National Partnership Payments - Regional Development (SPP792)</t>
  </si>
  <si>
    <t>40022.01.07 - National Partnership Payments - Regional Development (SPP794)</t>
  </si>
  <si>
    <t>40022.01.08 - National Partnership Payments - Regional Development (SPP797)</t>
  </si>
  <si>
    <t>40022.01.09 - National Partnership Payments - Regional Development (SPP798)</t>
  </si>
  <si>
    <t>40022.01.10 - National Partnership Payments - Regional Development (SPP820)</t>
  </si>
  <si>
    <t>40022.01.11 - National Partnership Payments - Regional Development (SPP848)</t>
  </si>
  <si>
    <t>40022.01.12 - National Partnership Payments - Regional Development (SPP853)</t>
  </si>
  <si>
    <t>40022.01.13 - National Partnership Payments - Regional Development (SPP856)</t>
  </si>
  <si>
    <t>40022.01.14 - National Partnership Payments - Regional Development (SPP868)</t>
  </si>
  <si>
    <t>40022.01.15 - National Partnership Payments - Regional Development (SPP896)</t>
  </si>
  <si>
    <t>40022.01.16 - National Partnership Payments - Regional Development (SPP910)</t>
  </si>
  <si>
    <t>40022.01.17 - National Partnership Payments - Regional Development (SPP911)</t>
  </si>
  <si>
    <t>40022.01.18 - National Partnership Payments - Regional Development (SPP912)</t>
  </si>
  <si>
    <t>40022.01.19</t>
  </si>
  <si>
    <t>40022.01.20 - National Partnership Payments - Regional Development (SPP948)</t>
  </si>
  <si>
    <t>40022.01.21 - National Partnership Payments - Regional Development (SPP942)</t>
  </si>
  <si>
    <t>39998 - National Partnership Payments - Child Care</t>
  </si>
  <si>
    <t>39998.01 - National Partnership Payments - Child Care</t>
  </si>
  <si>
    <t>39998.01.01 - National Partnership Payments - Child Care (SPP493)</t>
  </si>
  <si>
    <t>39998.01.01 - National Partnership Payments - Child Care (SPP671)</t>
  </si>
  <si>
    <t>40020 - National Partnership Payments - Public Order and Safety</t>
  </si>
  <si>
    <t>40020.01 - National Partnership Payments - Public Order and Safety</t>
  </si>
  <si>
    <t>40020.01.01 - National Partnership Payments - Public Order and Safety (SPP576)</t>
  </si>
  <si>
    <t>40020.01.02 - National Partnership Payments - Public Order and Safety (SPP695)</t>
  </si>
  <si>
    <t>40020.01.03 - National Partnership Payments - Public Order and Safety (SPP717)</t>
  </si>
  <si>
    <t>40020.01.04 - National Partnership Payments - Public Order and Safety (SPP722)</t>
  </si>
  <si>
    <t>40020.01.05 - National Partnership Payments - Public Order and Safety (SPP727)</t>
  </si>
  <si>
    <t>40020.01.06 - National Partnership Payments - Public Order and Safety (SPP774)</t>
  </si>
  <si>
    <t>40020.01.07 - National Partnership Payments - Public Order and Safety (SPP786)</t>
  </si>
  <si>
    <t>40020.01.08 - National Partnership Payments - Public Order and Safety (SPP846)</t>
  </si>
  <si>
    <t>40020.01.09 - National Partnership Payments - Public Order and Safety (SPP732)</t>
  </si>
  <si>
    <t>40020.01.10 - National Partnership Payments - Public Order and Safety (SPP882)</t>
  </si>
  <si>
    <t>40020.01.11 - National Partnership Payments - Public Order and Safety (SPP884)</t>
  </si>
  <si>
    <t>40020.01.12 - National Partnership Payments - Public Order and Safety (SPP888)</t>
  </si>
  <si>
    <t>40020.01.13 - National Partnership Payments - Public Order and Safety (SPP897)</t>
  </si>
  <si>
    <t>40020.01.14 - National Partnership Payments - Public Order and Safety (SPP898)</t>
  </si>
  <si>
    <t>40020.01.15 - National Partnership Payments - Public Order and Safety (SPP876a)</t>
  </si>
  <si>
    <t>40020.01.16 - National Partnership Payments - Public Order and Safety (SPP937)</t>
  </si>
  <si>
    <t>40015 - National Partnership Payments - Assistance to People with Disabilities</t>
  </si>
  <si>
    <t>40015.01 - National Partnership Payments - Assistance to People with Disabilities</t>
  </si>
  <si>
    <t>40015.01.01 - National Partnership Payments - Assistance to People with Disabilities (SPP525)</t>
  </si>
  <si>
    <t>40015.01.02 - National Partnership Payments - Assistance to People with Disabilities (SPP636)</t>
  </si>
  <si>
    <t>40015.01.03 - National Partnership Payments - Assistance to People with Disabilities (SPP816)</t>
  </si>
  <si>
    <t>40046 - National Partnership Payments - Vocational and Industry Training</t>
  </si>
  <si>
    <t>40046.01 - National Partnership Payments - Vocational and Industry Training</t>
  </si>
  <si>
    <t>40046.01.01 - National Partnership Payments - Vocational and Industry Training (SPP830)</t>
  </si>
  <si>
    <t>40047 - National Partnership Payments - Industrial Relations</t>
  </si>
  <si>
    <t>40047.01 - National Partnership Payments - Industrial Relations</t>
  </si>
  <si>
    <t>40047.01.01 - National Partnership Payments - Industrial Relations (SPP583)</t>
  </si>
  <si>
    <t>40047.01.02 - National Partnership Payments - Industrial Relations (SPP692)</t>
  </si>
  <si>
    <t>40010 - National Partnership Payments - Indigenous Development</t>
  </si>
  <si>
    <t>40010.01 - National Partnership Payments - Indigenous Development</t>
  </si>
  <si>
    <t>40010.01.01 - National Partnership Payments - Indigenous Development (SPP588)</t>
  </si>
  <si>
    <t>40010.01.02 - National Partnership Payments - Indigenous Development (SPP841)</t>
  </si>
  <si>
    <t>40010.01.03 - National Partnership Payments - Indigenous Development (SPP991)</t>
  </si>
  <si>
    <t>40010.01.04 - National Partnership Payments - Indigenous Development (SPP949)</t>
  </si>
  <si>
    <t>40013 - National Partnership Payments - Markets and Business Support</t>
  </si>
  <si>
    <t>40013.01 - National Partnership Payments - Markets and Business Support</t>
  </si>
  <si>
    <t>40013.01.01 - National Partnership Payments - Markets and Business Support (SPP633)</t>
  </si>
  <si>
    <t>40013.01.02 - National Partnership Payments - Markets and Business Support (SPP685)</t>
  </si>
  <si>
    <t>40033 - National Partnership Payments - Public Hospital Services</t>
  </si>
  <si>
    <t>40033.01 - National Partnership Payments - Public Hospital Services</t>
  </si>
  <si>
    <t>40033.01.01 - National Partnership Payments - Public Hospital Services (SPP650)</t>
  </si>
  <si>
    <t>40033.01.02 - National Partnership Payments - Public Hospital Services (SPP803)</t>
  </si>
  <si>
    <t>40033.01.03 - National Partnership Payments - Public Hospital Services (SPP806)</t>
  </si>
  <si>
    <t>40033.01.04 - National Partnership Payments - Public Hospital Services (SPP891)</t>
  </si>
  <si>
    <t>40033.01.05 - National Partnership Payments - Public Hospital Services (SPP992)</t>
  </si>
  <si>
    <t>40033.01.06 - National Partnership Payments - Public Hospital Services (SPP933)</t>
  </si>
  <si>
    <t>40033.01.07 - National Partnership Payments - Public Hospital Services (SPP938)</t>
  </si>
  <si>
    <t>40050 - National Partnership Payments - Welfare</t>
  </si>
  <si>
    <t>40050.01 - National Partnership Payments - Welfare</t>
  </si>
  <si>
    <t>40050.01.01 - National Partnership Payments - Welfare (SPP655)</t>
  </si>
  <si>
    <t>40050.01.02</t>
  </si>
  <si>
    <t>40051 - National Partnership Payments - Tourism</t>
  </si>
  <si>
    <t>40051.01 - National Partnership Payments - Tourism</t>
  </si>
  <si>
    <t>40051.01.01 - National Partnership Payments - Tourism (SPP805)</t>
  </si>
  <si>
    <t>40051.01.02 - National Partnership Payments - Tourism (SPP881)</t>
  </si>
  <si>
    <t>40025 - National Partnership Payments - Rural Assistance</t>
  </si>
  <si>
    <t>40025.01 - National Partnership Payments - Rural Assistance</t>
  </si>
  <si>
    <t>40025.01.01 - National Partnership Payments - Rural Assistance (SPP693)</t>
  </si>
  <si>
    <t>40025.01.02 - National Partnership Payments - Rural Assistance (SPP838)</t>
  </si>
  <si>
    <t>40025.01.03 - National Partnership Payments - Rural Assistance (SPP840)</t>
  </si>
  <si>
    <t>40043 - National Partnership Payments - Arts and Cultural Heritage</t>
  </si>
  <si>
    <t>40043.01 - National Partnership Payments - Arts and Cultural Heritage</t>
  </si>
  <si>
    <t>40043.01.01 - National Partnership Payments - Arts and Cultural Heritage (SPP702)</t>
  </si>
  <si>
    <t>40043.01.02 - National Partnership Payments - Arts and Cultural Heritage (SPP767)</t>
  </si>
  <si>
    <t>40043.01.03 - National Partnership Payments - Arts and Cultural Heritage (SPP947)</t>
  </si>
  <si>
    <t>40027 - National Partnership Payments - Sport and Recreation</t>
  </si>
  <si>
    <t>40027.01 - National Partnership Payments - Sport and Recreation</t>
  </si>
  <si>
    <t>40027.01.01 - National Partnership Payments - Sport and Recreation (SPP721)</t>
  </si>
  <si>
    <t>40027.01.02 - National Partnership Payments - Sport and Recreation (SPP815)</t>
  </si>
  <si>
    <t>40027.01.03 - National Partnership Payments - Sport and Recreation (SPP833)</t>
  </si>
  <si>
    <t>40027.01.04 - National Partnership Payments - Sport and Recreation (SPP871)</t>
  </si>
  <si>
    <t>40044 - National Partnership Payments - Other Transport and Communications</t>
  </si>
  <si>
    <t>40044.01 - National Partnership Payments - Other Transport and Communications</t>
  </si>
  <si>
    <t>40044.01.01 - National Partnership Payments - Other Transport and Communications (SPP729)</t>
  </si>
  <si>
    <t>40030 - National Partnership Payments - Welfare Assistance</t>
  </si>
  <si>
    <t>40030.01 - National Partnership Payments - Welfare Assistance</t>
  </si>
  <si>
    <t>40030.01.01 - National Partnership Payments - Welfare Assistance (SPP825)</t>
  </si>
  <si>
    <t>40030.01.02 - National Partnership Payments - Welfare Assistance (SPP744)</t>
  </si>
  <si>
    <t>39999 - National Partnership Payments - Climate Change</t>
  </si>
  <si>
    <t>39999.01 - National Partnership Payments - Climate Change</t>
  </si>
  <si>
    <t>39999.01.01 - National Partnership Payments - Climate Change (SPP754)</t>
  </si>
  <si>
    <t>39999.01.02 - National Partnership Payments - Climate Change (SPP824)</t>
  </si>
  <si>
    <t>39999.01.03 - National Partnership Payments - Climate Change (SPP847)</t>
  </si>
  <si>
    <t>39999.01.04 - National Partnership Payments - Climate Change (SPP865)</t>
  </si>
  <si>
    <t>39999.01.05 - National Partnership Payments - Climate Change (SPP789)</t>
  </si>
  <si>
    <t>39999.01.06 - National Partnership Payments - Climate Change (SPP869)</t>
  </si>
  <si>
    <t>39999.01.07 - National Partnership Payments - Climate Change (SPP877)</t>
  </si>
  <si>
    <t>39999.01.08 - National Partnership Payments - Climate Change (SPP883)</t>
  </si>
  <si>
    <t>39999.01.09 - National Partnership Payments - Climate Change (SPP899)</t>
  </si>
  <si>
    <t>39999.01.10 - National Partnership Payments - Climate Change (SPP990)</t>
  </si>
  <si>
    <t>39999.01.11 - National Partnership Payments - Climate Change (SPP935)</t>
  </si>
  <si>
    <t>39999.01.12 - National Partnership Payments - Climate Change (SPP931)</t>
  </si>
  <si>
    <t>40056 - National Partnership Payments - Competition and Productivity Enhancing Reform</t>
  </si>
  <si>
    <t>40056.01 - National Partnership Payments - Competition and Productivity Enhancing Reform</t>
  </si>
  <si>
    <t>40056.01.01 - National Partnership Payments - Competition and Productivity Enhancing Reform (SPP737)</t>
  </si>
  <si>
    <t>40056.01.02 - National Partnership Payments - Competition and Productivity Enhancing Reform (SPP885)</t>
  </si>
  <si>
    <t>40019 - National Partnership Payments - Pharmaceutical Benefits and Services</t>
  </si>
  <si>
    <t>40019.01 - National Partnership Payments - Pharmaceutical Benefits and Services</t>
  </si>
  <si>
    <t>40019.01.01 - National Partnership Payments - Pharmaceutical Benefits and Services (SPP749)</t>
  </si>
  <si>
    <t>40028 - National Partnership Payments - Veterans' Hospital</t>
  </si>
  <si>
    <t>40028.01 - National Partnership Payments - Veterans' Hospital</t>
  </si>
  <si>
    <t>40028.01.01 - National Partnership Payments - Veterans' Hospital (SPP773)</t>
  </si>
  <si>
    <t>40028.01.02 - National Partnership Payments - Veterans' Hospital (SPP826)</t>
  </si>
  <si>
    <t>40028.01.03 - National Partnership Payments - Veterans' Hospital (SPP832)</t>
  </si>
  <si>
    <t>40036 - Australian Education Act (Gov school)</t>
  </si>
  <si>
    <t>40036.01 - Australian Education Act (Gov school)</t>
  </si>
  <si>
    <t>40036.01.01 - Australian Education Act (Gov school) (TBA999)</t>
  </si>
  <si>
    <t>40037 - Australian Education Act (Non-Gov school)</t>
  </si>
  <si>
    <t>40037.01 - Australian Education Act (Non-Gov school)</t>
  </si>
  <si>
    <t>40037.01.01 - Australian Education Act (Non-Gov school) (TBA999)</t>
  </si>
  <si>
    <t>40007 - National Partnership Payments - Health Workforce Development</t>
  </si>
  <si>
    <t>40007.01 - National Partnership Payments - Health Workforce Development</t>
  </si>
  <si>
    <t>40007.01.01 - National Partnership Payments - Health Workforce Development (SPP855)</t>
  </si>
  <si>
    <t>40057 - National Partnership Payments - Veterans' Hospital Services</t>
  </si>
  <si>
    <t>40057.01 - National Partnership Payments - Veterans' Hospital Services</t>
  </si>
  <si>
    <t>40057.01.01 - National Partnership Payments - Veterans' Hospital Services (SPP859)</t>
  </si>
  <si>
    <t>40058 - National Partnership Payments - Business Support</t>
  </si>
  <si>
    <t>40058.01 - National Partnership Payments - Business Support</t>
  </si>
  <si>
    <t>40058.01.01 - National Partnership Payments - Business Support(SPP872)</t>
  </si>
  <si>
    <t>Departmental Programmes</t>
  </si>
  <si>
    <t>TREASURY - Departmental - Outcome 1</t>
  </si>
  <si>
    <t>7209 - Departmental</t>
  </si>
  <si>
    <t>Departmental Data Entry</t>
  </si>
  <si>
    <t>Sys_Transfer Test</t>
  </si>
  <si>
    <t>9999.01.01 -  Departmental</t>
  </si>
  <si>
    <t>9999.01.02</t>
  </si>
  <si>
    <t>9999.01.03 - Departmental</t>
  </si>
  <si>
    <t>9999.01.04</t>
  </si>
  <si>
    <t>9999.01.05</t>
  </si>
  <si>
    <t>9999.01.06</t>
  </si>
  <si>
    <t>cash flow</t>
  </si>
  <si>
    <t>data entry - expense</t>
  </si>
  <si>
    <t>data entry - cash</t>
  </si>
  <si>
    <t>BUDME</t>
  </si>
  <si>
    <t>ABUDME</t>
  </si>
  <si>
    <t>Admin SPP</t>
  </si>
  <si>
    <t xml:space="preserve">Dimension Element Parent - Source : </t>
  </si>
  <si>
    <t xml:space="preserve">Dimension Element - Target : </t>
  </si>
  <si>
    <t>Create New Programme</t>
  </si>
  <si>
    <t>Edit Programme Dimension</t>
  </si>
  <si>
    <t xml:space="preserve">Dimension Archiving - Suffix : </t>
  </si>
  <si>
    <t>Administration - Create New Programme/ Edit Programme Dimension</t>
  </si>
  <si>
    <t xml:space="preserve"> *The source element will be inserted below.</t>
  </si>
  <si>
    <t>name_01</t>
  </si>
  <si>
    <t>name_02</t>
  </si>
  <si>
    <t>Total Programmes</t>
  </si>
  <si>
    <t>Administered Programmes</t>
  </si>
  <si>
    <t>Program 1.1: Department of the Treasury</t>
  </si>
  <si>
    <t>5209.01.01 - NHFIC AHBA loan - Interest</t>
  </si>
  <si>
    <t>5209.01.02 - Provision for NHFIC FHLDs/new home/family home guarantee</t>
  </si>
  <si>
    <t>5209.01.03 - NHFIC FHLDS Guarantee Operating - Admin/Research</t>
  </si>
  <si>
    <t>5209.01.04 - NHFIC Operating Funding</t>
  </si>
  <si>
    <t>5209.01.05 - NHFIC Grants Funding</t>
  </si>
  <si>
    <t>5209.01.06 - NHFIC Equity</t>
  </si>
  <si>
    <t>5209.01.07 - NHFIC Bond Aggreggator (NHFICBA) Special Account - Credit Funding</t>
  </si>
  <si>
    <t>5209.01.08 - NHFIC Permanent fund</t>
  </si>
  <si>
    <t>5209.02.01 - Medicare Guarantee Fund</t>
  </si>
  <si>
    <t>5209.03.01 - Australian Financial Complaints Authority AFCA - Grants</t>
  </si>
  <si>
    <t>5209.04.01 - Financial Capabiltiy Campaign</t>
  </si>
  <si>
    <t>5209.04.02 - Superannuation Campaign</t>
  </si>
  <si>
    <t>5209.04.03 - Economic Recovery Campaign</t>
  </si>
  <si>
    <t>5209.04.04 - Economic Recovery Plan Campaign – Phase 2</t>
  </si>
  <si>
    <t>5209.04.05 - Consumer Data Right Campaign</t>
  </si>
  <si>
    <t>5209.04.06 - COVID-19- COVID Safe Campaign</t>
  </si>
  <si>
    <t>5209.05.01 - PGPA s77 - repayments</t>
  </si>
  <si>
    <t>5209.05.02 - Bushfire Response packabge- Small business hotline</t>
  </si>
  <si>
    <t>5209.05.03 - Affordable Housing Implementation Taskforce- AHURI</t>
  </si>
  <si>
    <t>5209.05.04 - RBA dividends (to transfer to 7590)</t>
  </si>
  <si>
    <t>5209.05.05 - Part of 7590 program</t>
  </si>
  <si>
    <t>5209.05.06 - Compensation Scheme of Last Resort - establishment</t>
  </si>
  <si>
    <t>5209.05.07 - Balancing Program</t>
  </si>
  <si>
    <t>5209.05.08 - Extension of the Small Business Debt Helpline - Program 7590</t>
  </si>
  <si>
    <t>5209.05.09 - Youpla Group Funeral Benefit Program</t>
  </si>
  <si>
    <t>7588.01.01 - Asian Development Bank</t>
  </si>
  <si>
    <t>7588.01.02 - Asian Infrastructure Investment Bank</t>
  </si>
  <si>
    <t>7588.01.03 - European Bank for Reconstruction and Development</t>
  </si>
  <si>
    <t>7588.01.04 - International Finance Corporation</t>
  </si>
  <si>
    <t>7588.01.05 - International Bank for Reconstruction and Development</t>
  </si>
  <si>
    <t>7588.01.06 - MIGA</t>
  </si>
  <si>
    <t>7588.01.07 - IBRD Promissory Notes</t>
  </si>
  <si>
    <t>7588.01.08 - MIGA Promissory Notes</t>
  </si>
  <si>
    <t>7588.02.01 - IMF Remuneration</t>
  </si>
  <si>
    <t>7588.02.02 - IMF Quota</t>
  </si>
  <si>
    <t>7588.02.03 - IMF SDR Allocation</t>
  </si>
  <si>
    <t>7588.02.04 - IMF Promissory notes</t>
  </si>
  <si>
    <t>7588.02.05 - IMF SDR charges</t>
  </si>
  <si>
    <t>7588.02.06 - IMF NAB</t>
  </si>
  <si>
    <t>7588.02.07 - IMF PRGT Loan</t>
  </si>
  <si>
    <t>7588.02.08 - IMF SDR Holdings</t>
  </si>
  <si>
    <t>7588.02.09 - IMF RST Contribution</t>
  </si>
  <si>
    <t>7588.02.10</t>
  </si>
  <si>
    <t>7588.02.11</t>
  </si>
  <si>
    <t>7588.03.01 - Indonesia Loan</t>
  </si>
  <si>
    <t>7588.03.02 - PNG Loan 2020</t>
  </si>
  <si>
    <t>7588.03.03 - PNG New Loan 2021 $650m</t>
  </si>
  <si>
    <t>7588.04.01 - Balancing Program</t>
  </si>
  <si>
    <t>7588.04.02</t>
  </si>
  <si>
    <t>7588.04.03</t>
  </si>
  <si>
    <t>7590.01.01 - ARPC Net Asset Balance</t>
  </si>
  <si>
    <t>7590.01.02 - ARPC guarantee fees</t>
  </si>
  <si>
    <t>7590.01.03 - ARPC additional fee - Terrorism</t>
  </si>
  <si>
    <t>7590.02.01 - RBA Dividend</t>
  </si>
  <si>
    <t>7590.03.01 - Gold Corporation -Seignorage payments</t>
  </si>
  <si>
    <t>7590.04.01 - State Borrowing guarantee Fees</t>
  </si>
  <si>
    <t>7590.05.01 - NSW Loan James Hardie Asbestos Compensation Fund</t>
  </si>
  <si>
    <t>7590.06.01 - Australian Small Business and Family Enterprise Ombudsman (ASBFEO) - additional funding</t>
  </si>
  <si>
    <t>7590.06.02 - Australian Small Business Digital Solution (ASBAS)</t>
  </si>
  <si>
    <t>7590.06.03 - Australian Small Business and Family Enterprise Ombudsman (ASBFEO) - Tax Concierge</t>
  </si>
  <si>
    <t>7590.06.04 - Ahead for Business - Everymind</t>
  </si>
  <si>
    <t>7590.06.05 - NewAccess for Small Business Owners (NASBO)</t>
  </si>
  <si>
    <t>7590.06.06 - Small Business Debt Helpline</t>
  </si>
  <si>
    <t>7590.07.01 - SME Guarantee- Phase 1</t>
  </si>
  <si>
    <t>7590.07.02 - SME Guarantee- Phase 2</t>
  </si>
  <si>
    <t>7590.07.03 - Show Starter Loan Scheme</t>
  </si>
  <si>
    <t>7590.07.04 - SME Recovery Loan Scheme - Jobkeeper</t>
  </si>
  <si>
    <t>7590.07.05 - SME Recovery Loan Scheme - Flood</t>
  </si>
  <si>
    <t>7590.07.06 - SME Recovery Loan Scheme - Expansion 1</t>
  </si>
  <si>
    <t>7590.07.07 - SME Recovery Loan Scheme - Expansion 2</t>
  </si>
  <si>
    <t>7590.08.01 - Australian Business Growth Fund</t>
  </si>
  <si>
    <t>7590.09.01 - AEMO</t>
  </si>
  <si>
    <t>7590.09.02 - AEMO Loan</t>
  </si>
  <si>
    <t>7590.10.01 - Global Infrastructure Hub</t>
  </si>
  <si>
    <t>7590.11.01 - Go Local Campaign</t>
  </si>
  <si>
    <t>7590.11.02 - Go Digitial Campaign</t>
  </si>
  <si>
    <t>7590.11.03 - Motor Vehicle Service and Repair Information Sharing Scheme</t>
  </si>
  <si>
    <t>7590.11.04 - Superannuation Campaign</t>
  </si>
  <si>
    <t>7590.12.01 - Penalties on compliance of Foreign Investment Framework</t>
  </si>
  <si>
    <t>7590.12.02 - HIH Group Liquidation proceeds</t>
  </si>
  <si>
    <t>7590.12.03 - International Financial Reporting Standards Foundation</t>
  </si>
  <si>
    <t>7590.12.04 - FASEA</t>
  </si>
  <si>
    <t>7590.12.05 - HLIC recoveries</t>
  </si>
  <si>
    <t>7590.12.06 - Application fee - takeover panel</t>
  </si>
  <si>
    <t>7590.13.01 - Balancing Program</t>
  </si>
  <si>
    <t>40023.01.01 - General Revenue Assistance (NSPP07)</t>
  </si>
  <si>
    <t>40023.01.02 - General Revenue Assistance (SPP281)</t>
  </si>
  <si>
    <t>40023.01.03 - General Revenue Assistance (SPP373)</t>
  </si>
  <si>
    <t>40023.01.04 - General Revenue Assistance (SPP612)</t>
  </si>
  <si>
    <t>40023.01.05 - General Revenue Assistance (SPP613)</t>
  </si>
  <si>
    <t>40023.01.06 - General Revenue Assistance (SPP764)</t>
  </si>
  <si>
    <t>40023.01.07 - General Revenue Assistance (SPP843)</t>
  </si>
  <si>
    <t>40023.01.08 - General Revenue Assistance (SPP211)</t>
  </si>
  <si>
    <t>9999A - 9999A</t>
  </si>
  <si>
    <t>9999B - 9999B</t>
  </si>
  <si>
    <t>9999C - 9999C</t>
  </si>
  <si>
    <t>9999D - 9999D</t>
  </si>
  <si>
    <t>Total Programmes_Archive 1</t>
  </si>
  <si>
    <t>Administered Programmes_Archive 1</t>
  </si>
  <si>
    <t>Program 1.1: Department of the Treasury_Archive 1</t>
  </si>
  <si>
    <t>5209 -  Department of the Treasury_Archive 1</t>
  </si>
  <si>
    <t>5209.01 - NHFIC National Housing Finance and Investment Corporation_Archive 1</t>
  </si>
  <si>
    <t>5209.02 - Medicare Guarantee Fund_Archive 1</t>
  </si>
  <si>
    <t>5209.03 - Australian Financial Complaints Authority AFCA - Grants_Archive 1</t>
  </si>
  <si>
    <t>5209.04 - Campaign_Archive 1</t>
  </si>
  <si>
    <t>5209.05 - Others_Archive 1</t>
  </si>
  <si>
    <t>Program 1.2: Payments to International Financial Institutions_Archive 1</t>
  </si>
  <si>
    <t>7588 - Payments to International Financial Institutions_Archive 1</t>
  </si>
  <si>
    <t>7588.01 - International Financial Institutions (IFIs)_Archive 1</t>
  </si>
  <si>
    <t>7588.02 - International Monetary Fund (IMF)_Archive 1</t>
  </si>
  <si>
    <t>7588.03 - International Loans_Archive 1</t>
  </si>
  <si>
    <t>7588.04 - Others_Archive 1</t>
  </si>
  <si>
    <t>Program 1.3: Support for Markets and Business_Archive 1</t>
  </si>
  <si>
    <t>7590 - Support for Markets and Business_Archive 1</t>
  </si>
  <si>
    <t>7590.01 - ARPC_Archive 1</t>
  </si>
  <si>
    <t>7590.02 - Reserve Bank of Australia_Archive 1</t>
  </si>
  <si>
    <t>7590.03 - Gold Corporation -Seignorage payments_Archive 1</t>
  </si>
  <si>
    <t>7590.04 - State Borrowing guarantee Fees_Archive 1</t>
  </si>
  <si>
    <t>7590.05 - NSW Loan James Hardie Asbestos Compensation Fund_Archive 1</t>
  </si>
  <si>
    <t>7590.06 - Small Business Support_Archive 1</t>
  </si>
  <si>
    <t>7590.07 - SME / SMERL Guarantee_Archive 1</t>
  </si>
  <si>
    <t>7590.08 - Australian Business Growth Fund_Archive 1</t>
  </si>
  <si>
    <t>7590.09 - Consumer Data Right_Archive 1</t>
  </si>
  <si>
    <t>7590.10 - Global Infrastructure Hub_Archive 1</t>
  </si>
  <si>
    <t>7590.11 Campaign_Archive 1</t>
  </si>
  <si>
    <t>7590.12 Other_Archive 1</t>
  </si>
  <si>
    <t>7590.13 Balancing Program_Archive 1</t>
  </si>
  <si>
    <t>Program 1.4: General Revenue Assistance_Archive 1</t>
  </si>
  <si>
    <t>40023 - General Revenue Assistance_Archive 1</t>
  </si>
  <si>
    <t>40023.01 - General Revenue Assistance_Archive 1</t>
  </si>
  <si>
    <t>Program 1.5: Assistance to the States for Healthcare Services and Public Hospitals_Archive 1</t>
  </si>
  <si>
    <t>40016 - Assistance to the States for Healthcare Services_Archive 1</t>
  </si>
  <si>
    <t>40016.01 - Assistance to the States for Healthcare Services_Archive 1</t>
  </si>
  <si>
    <t>40052 - Assistance to the States for public hospitals_Archive 1</t>
  </si>
  <si>
    <t>40052.01 - Assistance to the States for public hospitals_Archive 1</t>
  </si>
  <si>
    <t>Program 1.6: Assistance to the States for Skills and Workforce Development_Archive 1</t>
  </si>
  <si>
    <t>40038 - Assistance to the States for Skills and Workforce Development_Archive 1</t>
  </si>
  <si>
    <t>40038.01 - Assistance to the States for Skills and Workforce Development_Archive 1</t>
  </si>
  <si>
    <t>Program 1.7: Assistance to the States for Disability Services_Archive 1</t>
  </si>
  <si>
    <t>40039 - Assistance to the States for Disability Services_Archive 1</t>
  </si>
  <si>
    <t>40039.01 - Assistance to the States for Disability Services_Archive 1</t>
  </si>
  <si>
    <t>Program 1.8 :Assistance to the States for Affordable Housing_Archive 1</t>
  </si>
  <si>
    <t>40040 - Assistance to the States for Affordable Housing_Archive 1</t>
  </si>
  <si>
    <t>40040.01 - Assistance to the States for Affordable Housing_Archive 1</t>
  </si>
  <si>
    <t>Program 1.9: National Partnership Payments to the States_Archive 1</t>
  </si>
  <si>
    <t>40012 - National Partnership Payments - Legal Aid_Archive 1</t>
  </si>
  <si>
    <t>40012.01 - National Partnership Payments - Legal Aid_Archive 1</t>
  </si>
  <si>
    <t>39997 - National Partnership Payments - Assistance to the Aged_Archive 1</t>
  </si>
  <si>
    <t>39997.01 - National Partnership Payments - Assistance to the Aged_Archive 1</t>
  </si>
  <si>
    <t>40024 - National Partnership Payments - Road Transport_Archive 1</t>
  </si>
  <si>
    <t>40024.01 - National Partnership Payments - Road Transport_Archive 1</t>
  </si>
  <si>
    <t>40018 - National Partnership Payments - Natural Disaster Relief_Archive 1</t>
  </si>
  <si>
    <t>40018.01 - National Partnership Payments - Natural Disaster Relief_Archive 1</t>
  </si>
  <si>
    <t>40029 - National Partnership Payments - Water and Natural Resources_Archive 1</t>
  </si>
  <si>
    <t>40029.01 - National Partnership Payments - Water and Natural Resources_Archive 1</t>
  </si>
  <si>
    <t>40003 - National Partnership Payments - Fishing, Horticulture and Other Agriculture_Archive 1</t>
  </si>
  <si>
    <t>40003.01 - National Partnership Payments - Fishing, Horticulture and Other Agriculture_Archive 1</t>
  </si>
  <si>
    <t>40004 - National Partnership Payments - General Health Services_Archive 1</t>
  </si>
  <si>
    <t>40004.01 - National Partnership Payments - General Health Services_Archive 1</t>
  </si>
  <si>
    <t>40026 - National Partnership Payments - School Education_Archive 1</t>
  </si>
  <si>
    <t>40026.01 - National Partnership Payments - School Education_Archive 1</t>
  </si>
  <si>
    <t>40008 - National Partnership Payments - Housing_Archive 1</t>
  </si>
  <si>
    <t>40008.01 - National Partnership Payments - Housing_Archive 1</t>
  </si>
  <si>
    <t>39996 - National Partnership Payments - Aboriginal and Torres Strait Islander Health_Archive 1</t>
  </si>
  <si>
    <t>39996.01 - National Partnership Payments - Aboriginal and Torres Strait Islander Health_Archive 1</t>
  </si>
  <si>
    <t>40017 - National Partnership Payments - Vocational and Other Education_Archive 1</t>
  </si>
  <si>
    <t>40017.01 - National Partnership Payments - Vocational and Other Education_Archive 1</t>
  </si>
  <si>
    <t>40000 - National Partnership Payments - Environment Protection_Archive 1</t>
  </si>
  <si>
    <t>40000.01 - National Partnership Payments - Environment Protection_Archive 1</t>
  </si>
  <si>
    <t>40021 - National Partnership Payments - Rail Transport_Archive 1</t>
  </si>
  <si>
    <t>40021.01 - National Partnership Payments - Rail Transport_Archive 1</t>
  </si>
  <si>
    <t>40022 - National Partnership Payments - Regional Development_Archive 1</t>
  </si>
  <si>
    <t>40022.01 - National Partnership Payments - Regional Development_Archive 1</t>
  </si>
  <si>
    <t>39998 - National Partnership Payments - Child Care_Archive 1</t>
  </si>
  <si>
    <t>39998.01 - National Partnership Payments - Child Care_Archive 1</t>
  </si>
  <si>
    <t>40020 - National Partnership Payments - Public Order and Safety_Archive 1</t>
  </si>
  <si>
    <t>40020.01 - National Partnership Payments - Public Order and Safety_Archive 1</t>
  </si>
  <si>
    <t>40015 - National Partnership Payments - Assistance to People with Disabilities_Archive 1</t>
  </si>
  <si>
    <t>40015.01 - National Partnership Payments - Assistance to People with Disabilities_Archive 1</t>
  </si>
  <si>
    <t>40046 - National Partnership Payments - Vocational and Industry Training_Archive 1</t>
  </si>
  <si>
    <t>40046.01 - National Partnership Payments - Vocational and Industry Training_Archive 1</t>
  </si>
  <si>
    <t>40047 - National Partnership Payments - Industrial Relations_Archive 1</t>
  </si>
  <si>
    <t>40047.01 - National Partnership Payments - Industrial Relations_Archive 1</t>
  </si>
  <si>
    <t>40010 - National Partnership Payments - Indigenous Development_Archive 1</t>
  </si>
  <si>
    <t>40010.01 - National Partnership Payments - Indigenous Development_Archive 1</t>
  </si>
  <si>
    <t>40013 - National Partnership Payments - Markets and Business Support_Archive 1</t>
  </si>
  <si>
    <t>40013.01 - National Partnership Payments - Markets and Business Support_Archive 1</t>
  </si>
  <si>
    <t>40033 - National Partnership Payments - Public Hospital Services_Archive 1</t>
  </si>
  <si>
    <t>40033.01 - National Partnership Payments - Public Hospital Services_Archive 1</t>
  </si>
  <si>
    <t>40050 - National Partnership Payments - Welfare_Archive 1</t>
  </si>
  <si>
    <t>40050.01 - National Partnership Payments - Welfare_Archive 1</t>
  </si>
  <si>
    <t>40051 - National Partnership Payments - Tourism_Archive 1</t>
  </si>
  <si>
    <t>40051.01 - National Partnership Payments - Tourism_Archive 1</t>
  </si>
  <si>
    <t>40025 - National Partnership Payments - Rural Assistance_Archive 1</t>
  </si>
  <si>
    <t>40025.01 - National Partnership Payments - Rural Assistance_Archive 1</t>
  </si>
  <si>
    <t>40043 - National Partnership Payments - Arts and Cultural Heritage_Archive 1</t>
  </si>
  <si>
    <t>40043.01 - National Partnership Payments - Arts and Cultural Heritage_Archive 1</t>
  </si>
  <si>
    <t>40027 - National Partnership Payments - Sport and Recreation_Archive 1</t>
  </si>
  <si>
    <t>40027.01 - National Partnership Payments - Sport and Recreation_Archive 1</t>
  </si>
  <si>
    <t>40044 - National Partnership Payments - Other Transport and Communications_Archive 1</t>
  </si>
  <si>
    <t>40044.01 - National Partnership Payments - Other Transport and Communications_Archive 1</t>
  </si>
  <si>
    <t>40030 - National Partnership Payments - Welfare Assistance_Archive 1</t>
  </si>
  <si>
    <t>40030.01 - National Partnership Payments - Welfare Assistance_Archive 1</t>
  </si>
  <si>
    <t>39999 - National Partnership Payments - Climate Change_Archive 1</t>
  </si>
  <si>
    <t>39999.01 - National Partnership Payments - Climate Change_Archive 1</t>
  </si>
  <si>
    <t>40056 - National Partnership Payments - Competition and Productivity Enhancing Reform_Archive 1</t>
  </si>
  <si>
    <t>40056.01 - National Partnership Payments - Competition and Productivity Enhancing Reform_Archive 1</t>
  </si>
  <si>
    <t>40019 - National Partnership Payments - Pharmaceutical Benefits and Services_Archive 1</t>
  </si>
  <si>
    <t>40019.01 - National Partnership Payments - Pharmaceutical Benefits and Services_Archive 1</t>
  </si>
  <si>
    <t>40028 - National Partnership Payments - Veterans' Hospital_Archive 1</t>
  </si>
  <si>
    <t>40028.01 - National Partnership Payments - Veterans' Hospital_Archive 1</t>
  </si>
  <si>
    <t>40036 - Australian Education Act (Gov school)_Archive 1</t>
  </si>
  <si>
    <t>40036.01 - Australian Education Act (Gov school)_Archive 1</t>
  </si>
  <si>
    <t>40037 - Australian Education Act (Non-Gov school)_Archive 1</t>
  </si>
  <si>
    <t>40037.01 - Australian Education Act (Non-Gov school)_Archive 1</t>
  </si>
  <si>
    <t>40007 - National Partnership Payments - Health Workforce Development_Archive 1</t>
  </si>
  <si>
    <t>40007.01 - National Partnership Payments - Health Workforce Development_Archive 1</t>
  </si>
  <si>
    <t>40057 - National Partnership Payments - Veterans' Hospital Services_Archive 1</t>
  </si>
  <si>
    <t>40057.01 - National Partnership Payments - Veterans' Hospital Services_Archive 1</t>
  </si>
  <si>
    <t>40058 - National Partnership Payments - Business Support_Archive 1</t>
  </si>
  <si>
    <t>40058.01 - National Partnership Payments - Business Support_Archive 1</t>
  </si>
  <si>
    <t>Departmental Programmes_Archive 1</t>
  </si>
  <si>
    <t>TREASURY - Departmental - Outcome 1_Archive 1</t>
  </si>
  <si>
    <t>7209 - Departmental_Archive 1</t>
  </si>
  <si>
    <t>Sys_Transfer Test_Archive 1</t>
  </si>
  <si>
    <t>9999A_Archive 1</t>
  </si>
  <si>
    <t>9999B_Archive 1</t>
  </si>
  <si>
    <t>Total Programmes_Archive 2</t>
  </si>
  <si>
    <t>Administered Programmes_Archive 2</t>
  </si>
  <si>
    <t>Program 1.1: Department of the Treasury_Archive 2</t>
  </si>
  <si>
    <t>5209 -  Department of the Treasury_Archive 2</t>
  </si>
  <si>
    <t>5209.01 - NHFIC National Housing Finance and Investment Corporation_Archive 2</t>
  </si>
  <si>
    <t>5209.02 - Medicare Guarantee Fund_Archive 2</t>
  </si>
  <si>
    <t>5209.03 - Australian Financial Complaints Authority AFCA - Grants_Archive 2</t>
  </si>
  <si>
    <t>5209.04 - Campaign_Archive 2</t>
  </si>
  <si>
    <t>5209.05 - Others_Archive 2</t>
  </si>
  <si>
    <t>Program 1.2: Payments to International Financial Institutions_Archive 2</t>
  </si>
  <si>
    <t>7588 - Payments to International Financial Institutions_Archive 2</t>
  </si>
  <si>
    <t>7588.01 - International Financial Institutions (IFIs)_Archive 2</t>
  </si>
  <si>
    <t>7588.02 - International Monetary Fund (IMF)_Archive 2</t>
  </si>
  <si>
    <t>7588.03 - International Loans_Archive 2</t>
  </si>
  <si>
    <t>7588.04 - Others_Archive 2</t>
  </si>
  <si>
    <t>Program 1.3: Support for Markets and Business_Archive 2</t>
  </si>
  <si>
    <t>7590 - Support for Markets and Business_Archive 2</t>
  </si>
  <si>
    <t>7590.01 - ARPC_Archive 2</t>
  </si>
  <si>
    <t>7590.02 - Reserve Bank of Australia_Archive 2</t>
  </si>
  <si>
    <t>7590.03 - Gold Corporation -Seignorage payments_Archive 2</t>
  </si>
  <si>
    <t>7590.04 - State Borrowing guarantee Fees_Archive 2</t>
  </si>
  <si>
    <t>7590.05 - NSW Loan James Hardie Asbestos Compensation Fund_Archive 2</t>
  </si>
  <si>
    <t>7590.06 - Small Business Support_Archive 2</t>
  </si>
  <si>
    <t>7590.07 - SME / SMERL Guarantee_Archive 2</t>
  </si>
  <si>
    <t>7590.08 - Australian Business Growth Fund_Archive 2</t>
  </si>
  <si>
    <t>7590.09 - Consumer Data Right_Archive 2</t>
  </si>
  <si>
    <t>7590.10 - Global Infrastructure Hub_Archive 2</t>
  </si>
  <si>
    <t>7590.11 Campaign_Archive 2</t>
  </si>
  <si>
    <t>7590.12 Other_Archive 2</t>
  </si>
  <si>
    <t>7590.13 Balancing Program_Archive 2</t>
  </si>
  <si>
    <t>Program 1.4: General Revenue Assistance_Archive 2</t>
  </si>
  <si>
    <t>40023 - General Revenue Assistance_Archive 2</t>
  </si>
  <si>
    <t>40023.01 - General Revenue Assistance_Archive 2</t>
  </si>
  <si>
    <t>Program 1.5: Assistance to the States for Healthcare Services and Public Hospitals_Archive 2</t>
  </si>
  <si>
    <t>40016 - Assistance to the States for Healthcare Services_Archive 2</t>
  </si>
  <si>
    <t>40016.01 - Assistance to the States for Healthcare Services_Archive 2</t>
  </si>
  <si>
    <t>40052 - Assistance to the States for public hospitals_Archive 2</t>
  </si>
  <si>
    <t>40052.01 - Assistance to the States for public hospitals_Archive 2</t>
  </si>
  <si>
    <t>Program 1.6: Assistance to the States for Skills and Workforce Development_Archive 2</t>
  </si>
  <si>
    <t>40038 - Assistance to the States for Skills and Workforce Development_Archive 2</t>
  </si>
  <si>
    <t>40038.01 - Assistance to the States for Skills and Workforce Development_Archive 2</t>
  </si>
  <si>
    <t>Program 1.7: Assistance to the States for Disability Services_Archive 2</t>
  </si>
  <si>
    <t>40039 - Assistance to the States for Disability Services_Archive 2</t>
  </si>
  <si>
    <t>40039.01 - Assistance to the States for Disability Services_Archive 2</t>
  </si>
  <si>
    <t>Program 1.8 :Assistance to the States for Affordable Housing_Archive 2</t>
  </si>
  <si>
    <t>40040 - Assistance to the States for Affordable Housing_Archive 2</t>
  </si>
  <si>
    <t>40040.01 - Assistance to the States for Affordable Housing_Archive 2</t>
  </si>
  <si>
    <t>Program 1.9: National Partnership Payments to the States_Archive 2</t>
  </si>
  <si>
    <t>40012 - National Partnership Payments - Legal Aid_Archive 2</t>
  </si>
  <si>
    <t>40012.01 - National Partnership Payments - Legal Aid_Archive 2</t>
  </si>
  <si>
    <t>39997 - National Partnership Payments - Assistance to the Aged_Archive 2</t>
  </si>
  <si>
    <t>39997.01 - National Partnership Payments - Assistance to the Aged_Archive 2</t>
  </si>
  <si>
    <t>40024 - National Partnership Payments - Road Transport_Archive 2</t>
  </si>
  <si>
    <t>40024.01 - National Partnership Payments - Road Transport_Archive 2</t>
  </si>
  <si>
    <t>40018 - National Partnership Payments - Natural Disaster Relief_Archive 2</t>
  </si>
  <si>
    <t>40018.01 - National Partnership Payments - Natural Disaster Relief_Archive 2</t>
  </si>
  <si>
    <t>40029 - National Partnership Payments - Water and Natural Resources_Archive 2</t>
  </si>
  <si>
    <t>40029.01 - National Partnership Payments - Water and Natural Resources_Archive 2</t>
  </si>
  <si>
    <t>40003 - National Partnership Payments - Fishing, Horticulture and Other Agriculture_Archive 2</t>
  </si>
  <si>
    <t>40003.01 - National Partnership Payments - Fishing, Horticulture and Other Agriculture_Archive 2</t>
  </si>
  <si>
    <t>40004 - National Partnership Payments - General Health Services_Archive 2</t>
  </si>
  <si>
    <t>40004.01 - National Partnership Payments - General Health Services_Archive 2</t>
  </si>
  <si>
    <t>40026 - National Partnership Payments - School Education_Archive 2</t>
  </si>
  <si>
    <t>40026.01 - National Partnership Payments - School Education_Archive 2</t>
  </si>
  <si>
    <t>40008 - National Partnership Payments - Housing_Archive 2</t>
  </si>
  <si>
    <t>40008.01 - National Partnership Payments - Housing_Archive 2</t>
  </si>
  <si>
    <t>39996 - National Partnership Payments - Aboriginal and Torres Strait Islander Health_Archive 2</t>
  </si>
  <si>
    <t>39996.01 - National Partnership Payments - Aboriginal and Torres Strait Islander Health_Archive 2</t>
  </si>
  <si>
    <t>40017 - National Partnership Payments - Vocational and Other Education_Archive 2</t>
  </si>
  <si>
    <t>40017.01 - National Partnership Payments - Vocational and Other Education_Archive 2</t>
  </si>
  <si>
    <t>40000 - National Partnership Payments - Environment Protection_Archive 2</t>
  </si>
  <si>
    <t>40000.01 - National Partnership Payments - Environment Protection_Archive 2</t>
  </si>
  <si>
    <t>40021 - National Partnership Payments - Rail Transport_Archive 2</t>
  </si>
  <si>
    <t>40021.01 - National Partnership Payments - Rail Transport_Archive 2</t>
  </si>
  <si>
    <t>40022 - National Partnership Payments - Regional Development_Archive 2</t>
  </si>
  <si>
    <t>40022.01 - National Partnership Payments - Regional Development_Archive 2</t>
  </si>
  <si>
    <t>39998 - National Partnership Payments - Child Care_Archive 2</t>
  </si>
  <si>
    <t>39998.01 - National Partnership Payments - Child Care_Archive 2</t>
  </si>
  <si>
    <t>40020 - National Partnership Payments - Public Order and Safety_Archive 2</t>
  </si>
  <si>
    <t>40020.01 - National Partnership Payments - Public Order and Safety_Archive 2</t>
  </si>
  <si>
    <t>40015 - National Partnership Payments - Assistance to People with Disabilities_Archive 2</t>
  </si>
  <si>
    <t>40015.01 - National Partnership Payments - Assistance to People with Disabilities_Archive 2</t>
  </si>
  <si>
    <t>40046 - National Partnership Payments - Vocational and Industry Training_Archive 2</t>
  </si>
  <si>
    <t>40046.01 - National Partnership Payments - Vocational and Industry Training_Archive 2</t>
  </si>
  <si>
    <t>40047 - National Partnership Payments - Industrial Relations_Archive 2</t>
  </si>
  <si>
    <t>40047.01 - National Partnership Payments - Industrial Relations_Archive 2</t>
  </si>
  <si>
    <t>40010 - National Partnership Payments - Indigenous Development_Archive 2</t>
  </si>
  <si>
    <t>40010.01 - National Partnership Payments - Indigenous Development_Archive 2</t>
  </si>
  <si>
    <t>40013 - National Partnership Payments - Markets and Business Support_Archive 2</t>
  </si>
  <si>
    <t>40013.01 - National Partnership Payments - Markets and Business Support_Archive 2</t>
  </si>
  <si>
    <t>40033 - National Partnership Payments - Public Hospital Services_Archive 2</t>
  </si>
  <si>
    <t>40033.01 - National Partnership Payments - Public Hospital Services_Archive 2</t>
  </si>
  <si>
    <t>40050 - National Partnership Payments - Welfare_Archive 2</t>
  </si>
  <si>
    <t>40050.01 - National Partnership Payments - Welfare_Archive 2</t>
  </si>
  <si>
    <t>40051 - National Partnership Payments - Tourism_Archive 2</t>
  </si>
  <si>
    <t>40051.01 - National Partnership Payments - Tourism_Archive 2</t>
  </si>
  <si>
    <t>40025 - National Partnership Payments - Rural Assistance_Archive 2</t>
  </si>
  <si>
    <t>40025.01 - National Partnership Payments - Rural Assistance_Archive 2</t>
  </si>
  <si>
    <t>40043 - National Partnership Payments - Arts and Cultural Heritage_Archive 2</t>
  </si>
  <si>
    <t>40043.01 - National Partnership Payments - Arts and Cultural Heritage_Archive 2</t>
  </si>
  <si>
    <t>40027 - National Partnership Payments - Sport and Recreation_Archive 2</t>
  </si>
  <si>
    <t>40027.01 - National Partnership Payments - Sport and Recreation_Archive 2</t>
  </si>
  <si>
    <t>40044 - National Partnership Payments - Other Transport and Communications_Archive 2</t>
  </si>
  <si>
    <t>40044.01 - National Partnership Payments - Other Transport and Communications_Archive 2</t>
  </si>
  <si>
    <t>40030 - National Partnership Payments - Welfare Assistance_Archive 2</t>
  </si>
  <si>
    <t>40030.01 - National Partnership Payments - Welfare Assistance_Archive 2</t>
  </si>
  <si>
    <t>39999 - National Partnership Payments - Climate Change_Archive 2</t>
  </si>
  <si>
    <t>39999.01 - National Partnership Payments - Climate Change_Archive 2</t>
  </si>
  <si>
    <t>40056 - National Partnership Payments - Competition and Productivity Enhancing Reform_Archive 2</t>
  </si>
  <si>
    <t>40056.01 - National Partnership Payments - Competition and Productivity Enhancing Reform_Archive 2</t>
  </si>
  <si>
    <t>40019 - National Partnership Payments - Pharmaceutical Benefits and Services_Archive 2</t>
  </si>
  <si>
    <t>40019.01 - National Partnership Payments - Pharmaceutical Benefits and Services_Archive 2</t>
  </si>
  <si>
    <t>40028 - National Partnership Payments - Veterans' Hospital_Archive 2</t>
  </si>
  <si>
    <t>40028.01 - National Partnership Payments - Veterans' Hospital_Archive 2</t>
  </si>
  <si>
    <t>40036 - Australian Education Act (Gov school)_Archive 2</t>
  </si>
  <si>
    <t>40036.01 - Australian Education Act (Gov school)_Archive 2</t>
  </si>
  <si>
    <t>40037 - Australian Education Act (Non-Gov school)_Archive 2</t>
  </si>
  <si>
    <t>40037.01 - Australian Education Act (Non-Gov school)_Archive 2</t>
  </si>
  <si>
    <t>40007 - National Partnership Payments - Health Workforce Development_Archive 2</t>
  </si>
  <si>
    <t>40007.01 - National Partnership Payments - Health Workforce Development_Archive 2</t>
  </si>
  <si>
    <t>40057 - National Partnership Payments - Veterans' Hospital Services_Archive 2</t>
  </si>
  <si>
    <t>40057.01 - National Partnership Payments - Veterans' Hospital Services_Archive 2</t>
  </si>
  <si>
    <t>40058 - National Partnership Payments - Business Support_Archive 2</t>
  </si>
  <si>
    <t>40058.01 - National Partnership Payments - Business Support_Archive 2</t>
  </si>
  <si>
    <t>Departmental Programmes_Archive 2</t>
  </si>
  <si>
    <t>TREASURY - Departmental - Outcome 1_Archive 2</t>
  </si>
  <si>
    <t>7209 - Departmental_Archive 2</t>
  </si>
  <si>
    <t>Sys_Transfer Test_Archive 2</t>
  </si>
  <si>
    <t>Total Programmes_ Archive 3</t>
  </si>
  <si>
    <t>Administered Programmes_Archive 3</t>
  </si>
  <si>
    <t>Program 1.1: Department of the Treasury_Archive 3</t>
  </si>
  <si>
    <t>5209 -  Department of the Treasury_Archive 3</t>
  </si>
  <si>
    <t>5209.01 - NHFIC National Housing Finance and Investment Corporation_Archive 3</t>
  </si>
  <si>
    <t>5209.02 - Medicare Guarantee Fund_Archive 3</t>
  </si>
  <si>
    <t>5209.03 - Australian Financial Complaints Authority AFCA - Grants_Archive 3</t>
  </si>
  <si>
    <t>5209.04 - Campaign_Archive 3</t>
  </si>
  <si>
    <t>5209.05 - Others_Archive 3</t>
  </si>
  <si>
    <t>Program 1.2: Payments to International Financial Institutions_Archive 3</t>
  </si>
  <si>
    <t>7588 - Payments to International Financial Institutions_Archive 3</t>
  </si>
  <si>
    <t>7588.01 - International Financial Institutions (IFIs)_Archive 3</t>
  </si>
  <si>
    <t>7588.02 - International Monetary Fund (IMF)_Archive 3</t>
  </si>
  <si>
    <t>7588.03 - International Loans_Archive 3</t>
  </si>
  <si>
    <t>7588.04 - Others_Archive 3</t>
  </si>
  <si>
    <t>Program 1.3: Support for Markets and Business_Archive 3</t>
  </si>
  <si>
    <t>7590 - Support for Markets and Business_Archive 3</t>
  </si>
  <si>
    <t>7590.01 - ARPC_Archive 3</t>
  </si>
  <si>
    <t>7590.02 - Reserve Bank of Australia_Archive 3</t>
  </si>
  <si>
    <t>7590.03 - Gold Corporation -Seignorage payments_Archive 3</t>
  </si>
  <si>
    <t>7590.04 - State Borrowing guarantee Fees_Archive 3</t>
  </si>
  <si>
    <t>7590.05 - NSW Loan James Hardie Asbestos Compensation Fund_Archive 3</t>
  </si>
  <si>
    <t>7590.06 - Small Business Support_Archive 3</t>
  </si>
  <si>
    <t>7590.07 - SME / SMERL Guarantee_Archive 3</t>
  </si>
  <si>
    <t>7590.08 - Australian Business Growth Fund_Archive 3</t>
  </si>
  <si>
    <t>7590.09 - Consumer Data Right_Archive 3</t>
  </si>
  <si>
    <t>7590.10 - Global Infrastructure Hub_Archive 3</t>
  </si>
  <si>
    <t>7590.11 Campaign_Archive 3</t>
  </si>
  <si>
    <t>7590.12 Other_Archive 3</t>
  </si>
  <si>
    <t>7590.13 Balancing Program_Archive 3</t>
  </si>
  <si>
    <t>Program 1.4: General Revenue Assistance_Archive 3</t>
  </si>
  <si>
    <t>40023 - General Revenue Assistance_Archive 3</t>
  </si>
  <si>
    <t>40023.01 - General Revenue Assistance_Archive 3</t>
  </si>
  <si>
    <t>Program 1.5: Assistance to the States for Healthcare Services and Public Hospitals_Archive 3</t>
  </si>
  <si>
    <t>40016 - Assistance to the States for Healthcare Services_Archive 3</t>
  </si>
  <si>
    <t>40016.01 - Assistance to the States for Healthcare Services_Archive 3</t>
  </si>
  <si>
    <t>40052 - Assistance to the States for public hospitals_Archive 3</t>
  </si>
  <si>
    <t>40052.01 - Assistance to the States for public hospitals_Archive 3</t>
  </si>
  <si>
    <t>Program 1.6: Assistance to the States for Skills and Workforce Development_Archive 3</t>
  </si>
  <si>
    <t>40038 - Assistance to the States for Skills and Workforce Development_Archive 3</t>
  </si>
  <si>
    <t>40038.01 - Assistance to the States for Skills and Workforce Development_Archive 3</t>
  </si>
  <si>
    <t>Program 1.7: Assistance to the States for Disability Services_Archive 3</t>
  </si>
  <si>
    <t>40039 - Assistance to the States for Disability Services_Archive 3</t>
  </si>
  <si>
    <t>40039.01 - Assistance to the States for Disability Services_Archive 3</t>
  </si>
  <si>
    <t>Program 1.8 :Assistance to the States for Affordable Housing_Archive 3</t>
  </si>
  <si>
    <t>40040 - Assistance to the States for Affordable Housing_Archive 3</t>
  </si>
  <si>
    <t>40040.01 - Assistance to the States for Affordable Housing_Archive 3</t>
  </si>
  <si>
    <t>Program 1.9: National Partnership Payments to the States_Archive 3</t>
  </si>
  <si>
    <t>40012 - National Partnership Payments - Legal Aid_Archive 3</t>
  </si>
  <si>
    <t>40012.01 - National Partnership Payments - Legal Aid_Archive 3</t>
  </si>
  <si>
    <t>39997 - National Partnership Payments - Assistance to the Aged_Archive 3</t>
  </si>
  <si>
    <t>39997.01 - National Partnership Payments - Assistance to the Aged_Archive 3</t>
  </si>
  <si>
    <t>40024 - National Partnership Payments - Road Transport_Archive 3</t>
  </si>
  <si>
    <t>40024.01 - National Partnership Payments - Road Transport_Archive 3</t>
  </si>
  <si>
    <t>40018 - National Partnership Payments - Natural Disaster Relief_Archive 3</t>
  </si>
  <si>
    <t>40018.01 - National Partnership Payments - Natural Disaster Relief_Archive 3</t>
  </si>
  <si>
    <t>40029 - National Partnership Payments - Water and Natural Resources_Archive 3</t>
  </si>
  <si>
    <t>40029.01 - National Partnership Payments - Water and Natural Resources_Archive 3</t>
  </si>
  <si>
    <t>40003 - National Partnership Payments - Fishing, Horticulture and Other Agriculture_Archive 3</t>
  </si>
  <si>
    <t>40003.01 - National Partnership Payments - Fishing, Horticulture and Other Agriculture_Archive 3</t>
  </si>
  <si>
    <t>40004 - National Partnership Payments - General Health Services_Archive 3</t>
  </si>
  <si>
    <t>40004.01 - National Partnership Payments - General Health Services_Archive 3</t>
  </si>
  <si>
    <t>40026 - National Partnership Payments - School Education_Archive 3</t>
  </si>
  <si>
    <t>40026.01 - National Partnership Payments - School Education_Archive 3</t>
  </si>
  <si>
    <t>40008 - National Partnership Payments - Housing_Archive 3</t>
  </si>
  <si>
    <t>40008.01 - National Partnership Payments - Housing_Archive 3</t>
  </si>
  <si>
    <t>39996 - National Partnership Payments - Aboriginal and Torres Strait Islander Health_Archive 3</t>
  </si>
  <si>
    <t>39996.01 - National Partnership Payments - Aboriginal and Torres Strait Islander Health_Archive 3</t>
  </si>
  <si>
    <t>40017 - National Partnership Payments - Vocational and Other Education_Archive 3</t>
  </si>
  <si>
    <t>40017.01 - National Partnership Payments - Vocational and Other Education_Archive 3</t>
  </si>
  <si>
    <t>40000 - National Partnership Payments - Environment Protection_Archive 3</t>
  </si>
  <si>
    <t>40000.01 - National Partnership Payments - Environment Protection_Archive 3</t>
  </si>
  <si>
    <t>40021 - National Partnership Payments - Rail Transport_Archive 3</t>
  </si>
  <si>
    <t>40021.01 - National Partnership Payments - Rail Transport_Archive 3</t>
  </si>
  <si>
    <t>40022 - National Partnership Payments - Regional Development_Archive 3</t>
  </si>
  <si>
    <t>40022.01 - National Partnership Payments - Regional Development_Archive 3</t>
  </si>
  <si>
    <t>39998 - National Partnership Payments - Child Care_Archive 3</t>
  </si>
  <si>
    <t>39998.01 - National Partnership Payments - Child Care_Archive 3</t>
  </si>
  <si>
    <t>40020 - National Partnership Payments - Public Order and Safety_Archive 3</t>
  </si>
  <si>
    <t>40020.01 - National Partnership Payments - Public Order and Safety_Archive 3</t>
  </si>
  <si>
    <t>40015 - National Partnership Payments - Assistance to People with Disabilities_Archive 3</t>
  </si>
  <si>
    <t>40015.01 - National Partnership Payments - Assistance to People with Disabilities_Archive 3</t>
  </si>
  <si>
    <t>40046 - National Partnership Payments - Vocational and Industry Training_Archive 3</t>
  </si>
  <si>
    <t>40046.01 - National Partnership Payments - Vocational and Industry Training_Archive 3</t>
  </si>
  <si>
    <t>40047 - National Partnership Payments - Industrial Relations_Archive 3</t>
  </si>
  <si>
    <t>40047.01 - National Partnership Payments - Industrial Relations_Archive 3</t>
  </si>
  <si>
    <t>40010 - National Partnership Payments - Indigenous Development_Archive 3</t>
  </si>
  <si>
    <t>40010.01 - National Partnership Payments - Indigenous Development_Archive 3</t>
  </si>
  <si>
    <t>40013 - National Partnership Payments - Markets and Business Support_Archive 3</t>
  </si>
  <si>
    <t>40013.01 - National Partnership Payments - Markets and Business Support_Archive 3</t>
  </si>
  <si>
    <t>40033 - National Partnership Payments - Public Hospital Services_Archive 3</t>
  </si>
  <si>
    <t>40033.01 - National Partnership Payments - Public Hospital Services_Archive 3</t>
  </si>
  <si>
    <t>40050 - National Partnership Payments - Welfare_Archive 3</t>
  </si>
  <si>
    <t>40050.01 - National Partnership Payments - Welfare_Archive 3</t>
  </si>
  <si>
    <t>40051 - National Partnership Payments - Tourism_Archive 3</t>
  </si>
  <si>
    <t>40051.01 - National Partnership Payments - Tourism_Archive 3</t>
  </si>
  <si>
    <t>40025 - National Partnership Payments - Rural Assistance_Archive 3</t>
  </si>
  <si>
    <t>40025.01 - National Partnership Payments - Rural Assistance_Archive 3</t>
  </si>
  <si>
    <t>40043 - National Partnership Payments - Arts and Cultural Heritage_Archive 3</t>
  </si>
  <si>
    <t>40043.01 - National Partnership Payments - Arts and Cultural Heritage_Archive 3</t>
  </si>
  <si>
    <t>40027 - National Partnership Payments - Sport and Recreation_Archive 3</t>
  </si>
  <si>
    <t>40027.01 - National Partnership Payments - Sport and Recreation_Archive 3</t>
  </si>
  <si>
    <t>40044 - National Partnership Payments - Other Transport and Communications_Archive 3</t>
  </si>
  <si>
    <t>40044.01 - National Partnership Payments - Other Transport and Communications_Archive 3</t>
  </si>
  <si>
    <t>40030 - National Partnership Payments - Welfare Assistance_Archive 3</t>
  </si>
  <si>
    <t>40030.01 - National Partnership Payments - Welfare Assistance_Archive 3</t>
  </si>
  <si>
    <t>39999 - National Partnership Payments - Climate Change_Archive 3</t>
  </si>
  <si>
    <t>39999.01 - National Partnership Payments - Climate Change_Archive 3</t>
  </si>
  <si>
    <t>40056 - National Partnership Payments - Competition and Productivity Enhancing Reform_Archive 3</t>
  </si>
  <si>
    <t>40056.01 - National Partnership Payments - Competition and Productivity Enhancing Reform_Archive 3</t>
  </si>
  <si>
    <t>40019 - National Partnership Payments - Pharmaceutical Benefits and Services_Archive 3</t>
  </si>
  <si>
    <t>40019.01 - National Partnership Payments - Pharmaceutical Benefits and Services_Archive 3</t>
  </si>
  <si>
    <t>40028 - National Partnership Payments - Veterans' Hospital_Archive 3</t>
  </si>
  <si>
    <t>40028.01 - National Partnership Payments - Veterans' Hospital_Archive 3</t>
  </si>
  <si>
    <t>40036 - Australian Education Act (Gov school)_Archive 3</t>
  </si>
  <si>
    <t>40036.01 - Australian Education Act (Gov school)_Archive 3</t>
  </si>
  <si>
    <t>40037 - Australian Education Act (Non-Gov school)_Archive 3</t>
  </si>
  <si>
    <t>40037.01 - Australian Education Act (Non-Gov school)_Archive 3</t>
  </si>
  <si>
    <t>40007 - National Partnership Payments - Health Workforce Development_Archive 3</t>
  </si>
  <si>
    <t>40007.01 - National Partnership Payments - Health Workforce Development_Archive 3</t>
  </si>
  <si>
    <t>40057 - National Partnership Payments - Veterans' Hospital Services_Archive 3</t>
  </si>
  <si>
    <t>40057.01 - National Partnership Payments - Veterans' Hospital Services_Archive 3</t>
  </si>
  <si>
    <t>40058 - National Partnership Payments - Business Support_Archive 3</t>
  </si>
  <si>
    <t>40058.01 - National Partnership Payments - Business Support_Archive 3</t>
  </si>
  <si>
    <t>Departmental Programmes_Archive 3</t>
  </si>
  <si>
    <t>TREASURY - Departmental - Outcome 1_Archive 3</t>
  </si>
  <si>
    <t>7209 - Departmental_Archive 3</t>
  </si>
  <si>
    <t>Sys_Transfer Test_Archive 3</t>
  </si>
  <si>
    <t>9999A - 9999A_Archive 3</t>
  </si>
  <si>
    <t>9999B - 9999B_Archive 3</t>
  </si>
  <si>
    <t>psMethod Index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</si>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</sst>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rgb="FF0070C0"/>
      <name val="Calibri"/>
      <family val="2"/>
    </font>
    <font>
      <i/>
      <sz val="11"/>
      <color theme="1"/>
      <name val="Calibri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74">
    <xf numFmtId="0" fontId="0" fillId="0" borderId="0"/>
    <xf numFmtId="0" fontId="10" fillId="0" borderId="13" applyNumberFormat="0" applyFill="0" applyProtection="0">
      <alignment horizontal="center" vertical="center"/>
    </xf>
    <xf numFmtId="3" fontId="11" fillId="0" borderId="14" applyFont="0" applyFill="0" applyAlignment="0" applyProtection="0"/>
    <xf numFmtId="3" fontId="11" fillId="0" borderId="14" applyFont="0" applyFill="0" applyAlignment="0" applyProtection="0"/>
    <xf numFmtId="3" fontId="11" fillId="0" borderId="14" applyFont="0" applyFill="0" applyAlignment="0" applyProtection="0"/>
    <xf numFmtId="3" fontId="11" fillId="0" borderId="14" applyFont="0" applyFill="0" applyAlignment="0" applyProtection="0"/>
    <xf numFmtId="3" fontId="11" fillId="0" borderId="14" applyFont="0" applyFill="0" applyAlignment="0" applyProtection="0"/>
    <xf numFmtId="3" fontId="11" fillId="0" borderId="14" applyFont="0" applyFill="0" applyAlignment="0" applyProtection="0"/>
    <xf numFmtId="3" fontId="11" fillId="0" borderId="14" applyFont="0" applyFill="0" applyAlignment="0" applyProtection="0"/>
    <xf numFmtId="3" fontId="11" fillId="0" borderId="14" applyFont="0" applyFill="0" applyAlignment="0" applyProtection="0"/>
    <xf numFmtId="3" fontId="10" fillId="0" borderId="13" applyNumberFormat="0" applyFill="0" applyAlignment="0" applyProtection="0"/>
    <xf numFmtId="0" fontId="10" fillId="0" borderId="13" applyNumberFormat="0" applyFill="0" applyAlignment="0" applyProtection="0"/>
    <xf numFmtId="3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3" fontId="11" fillId="0" borderId="0" applyNumberFormat="0" applyBorder="0" applyAlignment="0" applyProtection="0"/>
    <xf numFmtId="3" fontId="11" fillId="0" borderId="0" applyNumberFormat="0" applyBorder="0" applyAlignment="0" applyProtection="0"/>
    <xf numFmtId="3" fontId="11" fillId="0" borderId="0" applyNumberFormat="0" applyBorder="0" applyAlignment="0" applyProtection="0"/>
    <xf numFmtId="3" fontId="11" fillId="0" borderId="0" applyNumberFormat="0" applyBorder="0" applyAlignment="0" applyProtection="0"/>
    <xf numFmtId="3" fontId="11" fillId="0" borderId="0" applyNumberFormat="0" applyBorder="0" applyAlignment="0" applyProtection="0"/>
    <xf numFmtId="3" fontId="11" fillId="0" borderId="14" applyNumberFormat="0" applyBorder="0" applyAlignment="0" applyProtection="0"/>
    <xf numFmtId="3" fontId="11" fillId="0" borderId="14" applyNumberFormat="0" applyBorder="0" applyAlignment="0" applyProtection="0"/>
    <xf numFmtId="3" fontId="11" fillId="0" borderId="14" applyNumberFormat="0" applyBorder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>
      <alignment horizontal="right" vertical="center"/>
    </xf>
    <xf numFmtId="3" fontId="11" fillId="6" borderId="14">
      <alignment horizontal="center" vertical="center"/>
    </xf>
    <xf numFmtId="0" fontId="11" fillId="6" borderId="14">
      <alignment horizontal="right" vertical="center"/>
    </xf>
    <xf numFmtId="0" fontId="10" fillId="0" borderId="15">
      <alignment horizontal="left" vertical="center"/>
    </xf>
    <xf numFmtId="0" fontId="10" fillId="0" borderId="16">
      <alignment horizontal="center" vertical="center"/>
    </xf>
    <xf numFmtId="0" fontId="12" fillId="0" borderId="17">
      <alignment horizontal="center" vertical="center"/>
    </xf>
    <xf numFmtId="0" fontId="11" fillId="7" borderId="14"/>
    <xf numFmtId="3" fontId="10" fillId="0" borderId="13" applyFill="0" applyAlignment="0" applyProtection="0"/>
    <xf numFmtId="3" fontId="10" fillId="0" borderId="13" applyFill="0" applyAlignment="0" applyProtection="0"/>
    <xf numFmtId="3" fontId="10" fillId="0" borderId="13" applyFill="0" applyAlignment="0" applyProtection="0"/>
    <xf numFmtId="3" fontId="10" fillId="0" borderId="13" applyFill="0" applyAlignment="0" applyProtection="0"/>
    <xf numFmtId="0" fontId="10" fillId="0" borderId="13" applyFill="0" applyAlignment="0" applyProtection="0"/>
    <xf numFmtId="3" fontId="10" fillId="0" borderId="13" applyFill="0" applyAlignment="0" applyProtection="0"/>
    <xf numFmtId="0" fontId="10" fillId="0" borderId="16">
      <alignment horizontal="center" vertical="center"/>
    </xf>
    <xf numFmtId="0" fontId="10" fillId="0" borderId="16">
      <alignment horizontal="center" vertical="center"/>
    </xf>
    <xf numFmtId="3" fontId="11" fillId="0" borderId="14" applyFont="0" applyFill="0" applyAlignment="0" applyProtection="0"/>
    <xf numFmtId="0" fontId="11" fillId="0" borderId="14" applyFill="0" applyAlignment="0" applyProtection="0"/>
    <xf numFmtId="0" fontId="10" fillId="0" borderId="13" applyFill="0" applyAlignment="0" applyProtection="0"/>
    <xf numFmtId="3" fontId="10" fillId="0" borderId="13" applyFill="0" applyAlignment="0" applyProtection="0"/>
    <xf numFmtId="0" fontId="10" fillId="0" borderId="13" applyFill="0" applyAlignment="0" applyProtection="0"/>
    <xf numFmtId="0" fontId="10" fillId="0" borderId="13" applyFill="0" applyAlignment="0" applyProtection="0"/>
    <xf numFmtId="0" fontId="10" fillId="0" borderId="13" applyFill="0" applyAlignment="0" applyProtection="0"/>
    <xf numFmtId="0" fontId="10" fillId="0" borderId="13" applyFill="0" applyAlignment="0" applyProtection="0"/>
    <xf numFmtId="0" fontId="10" fillId="0" borderId="15">
      <alignment horizontal="left" vertical="center"/>
    </xf>
    <xf numFmtId="3" fontId="10" fillId="0" borderId="13" applyFill="0" applyAlignment="0" applyProtection="0"/>
    <xf numFmtId="3" fontId="13" fillId="0" borderId="14"/>
    <xf numFmtId="3" fontId="14" fillId="0" borderId="14"/>
    <xf numFmtId="0" fontId="10" fillId="0" borderId="16">
      <alignment horizontal="left" vertical="top"/>
    </xf>
    <xf numFmtId="0" fontId="15" fillId="0" borderId="14"/>
    <xf numFmtId="0" fontId="10" fillId="0" borderId="16">
      <alignment horizontal="left" vertical="center"/>
    </xf>
    <xf numFmtId="0" fontId="11" fillId="6" borderId="18"/>
    <xf numFmtId="3" fontId="11" fillId="0" borderId="14">
      <alignment horizontal="right" vertical="center"/>
    </xf>
    <xf numFmtId="0" fontId="10" fillId="0" borderId="16">
      <alignment horizontal="right" vertical="center"/>
    </xf>
    <xf numFmtId="0" fontId="11" fillId="0" borderId="17">
      <alignment horizontal="center" vertical="center"/>
    </xf>
    <xf numFmtId="3" fontId="11" fillId="0" borderId="14"/>
    <xf numFmtId="3" fontId="11" fillId="0" borderId="14"/>
    <xf numFmtId="0" fontId="11" fillId="0" borderId="17">
      <alignment horizontal="center" vertical="center" wrapText="1"/>
    </xf>
    <xf numFmtId="0" fontId="16" fillId="0" borderId="17">
      <alignment horizontal="left" vertical="center" indent="1"/>
    </xf>
    <xf numFmtId="0" fontId="17" fillId="0" borderId="14"/>
    <xf numFmtId="0" fontId="10" fillId="0" borderId="15">
      <alignment horizontal="left" vertical="center"/>
    </xf>
    <xf numFmtId="3" fontId="11" fillId="0" borderId="14">
      <alignment horizontal="center" vertical="center"/>
    </xf>
    <xf numFmtId="0" fontId="10" fillId="0" borderId="16">
      <alignment horizontal="center" vertical="center"/>
    </xf>
    <xf numFmtId="0" fontId="10" fillId="0" borderId="16">
      <alignment horizontal="center" vertical="center"/>
    </xf>
    <xf numFmtId="0" fontId="10" fillId="0" borderId="15">
      <alignment horizontal="left" vertical="center"/>
    </xf>
    <xf numFmtId="0" fontId="10" fillId="0" borderId="15">
      <alignment horizontal="left" vertical="center"/>
    </xf>
    <xf numFmtId="0" fontId="18" fillId="0" borderId="14"/>
  </cellStyleXfs>
  <cellXfs count="44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2" borderId="1" xfId="0" applyFill="1" applyBorder="1"/>
    <xf numFmtId="0" fontId="0" fillId="2" borderId="1" xfId="0" quotePrefix="1" applyFill="1" applyBorder="1"/>
    <xf numFmtId="0" fontId="3" fillId="4" borderId="0" xfId="0" applyFont="1" applyFill="1" applyAlignment="1">
      <alignment horizontal="right"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top" wrapText="1"/>
    </xf>
    <xf numFmtId="0" fontId="6" fillId="0" borderId="6" xfId="0" applyFont="1" applyBorder="1" applyAlignment="1">
      <alignment horizontal="left" indent="1"/>
    </xf>
    <xf numFmtId="0" fontId="4" fillId="0" borderId="7" xfId="0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6" fillId="0" borderId="9" xfId="0" applyFont="1" applyBorder="1" applyAlignment="1">
      <alignment horizontal="right" indent="1"/>
    </xf>
    <xf numFmtId="0" fontId="0" fillId="0" borderId="10" xfId="0" applyBorder="1"/>
    <xf numFmtId="0" fontId="0" fillId="0" borderId="9" xfId="0" applyBorder="1"/>
    <xf numFmtId="0" fontId="4" fillId="0" borderId="0" xfId="0" applyFont="1" applyAlignment="1">
      <alignment horizontal="left" indent="1"/>
    </xf>
    <xf numFmtId="0" fontId="2" fillId="0" borderId="0" xfId="0" applyFont="1" applyAlignment="1">
      <alignment horizontal="right" indent="1"/>
    </xf>
    <xf numFmtId="0" fontId="0" fillId="0" borderId="0" xfId="0" applyAlignment="1">
      <alignment horizontal="left" indent="1"/>
    </xf>
    <xf numFmtId="0" fontId="8" fillId="0" borderId="9" xfId="0" applyFont="1" applyBorder="1" applyAlignment="1">
      <alignment horizontal="right" indent="1"/>
    </xf>
    <xf numFmtId="0" fontId="9" fillId="0" borderId="0" xfId="0" applyFont="1"/>
    <xf numFmtId="0" fontId="0" fillId="0" borderId="11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12" xfId="0" applyBorder="1"/>
    <xf numFmtId="0" fontId="6" fillId="0" borderId="0" xfId="0" applyFont="1" applyAlignment="1">
      <alignment horizontal="right" indent="1"/>
    </xf>
    <xf numFmtId="0" fontId="6" fillId="0" borderId="9" xfId="0" applyFont="1" applyBorder="1" applyAlignment="1">
      <alignment horizontal="left" indent="1"/>
    </xf>
    <xf numFmtId="0" fontId="1" fillId="5" borderId="5" xfId="0" applyFont="1" applyFill="1" applyBorder="1" applyAlignment="1">
      <alignment horizontal="center"/>
    </xf>
    <xf numFmtId="0" fontId="7" fillId="0" borderId="2" xfId="0" applyFont="1" applyBorder="1" applyAlignment="1" applyProtection="1">
      <alignment horizontal="left" indent="1"/>
      <protection locked="0"/>
    </xf>
    <xf numFmtId="0" fontId="7" fillId="0" borderId="3" xfId="0" applyFont="1" applyBorder="1" applyAlignment="1" applyProtection="1">
      <alignment horizontal="left" indent="1"/>
      <protection locked="0"/>
    </xf>
    <xf numFmtId="0" fontId="7" fillId="0" borderId="4" xfId="0" applyFont="1" applyBorder="1" applyAlignment="1" applyProtection="1">
      <alignment horizontal="left" indent="1"/>
      <protection locked="0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7" fillId="8" borderId="2" xfId="0" applyFont="1" applyFill="1" applyBorder="1" applyAlignment="1" applyProtection="1">
      <alignment horizontal="left" indent="1"/>
      <protection locked="0"/>
    </xf>
    <xf numFmtId="0" fontId="7" fillId="8" borderId="3" xfId="0" applyFont="1" applyFill="1" applyBorder="1" applyAlignment="1" applyProtection="1">
      <alignment horizontal="left" indent="1"/>
      <protection locked="0"/>
    </xf>
    <xf numFmtId="0" fontId="7" fillId="8" borderId="4" xfId="0" applyFont="1" applyFill="1" applyBorder="1" applyAlignment="1" applyProtection="1">
      <alignment horizontal="left" indent="1"/>
      <protection locked="0"/>
    </xf>
  </cellXfs>
  <cellStyles count="74">
    <cellStyle name="AF Column - IBM Cognos" xfId="1" xr:uid="{85D7582C-EBEF-46AF-9DD2-87643307180D}"/>
    <cellStyle name="AF Data - IBM Cognos" xfId="2" xr:uid="{75874D68-0ED3-412C-8B77-B83A2EA7636D}"/>
    <cellStyle name="AF Data 0 - IBM Cognos" xfId="3" xr:uid="{DEDDA75D-C2A9-4EE0-9566-2A8DA5A512FE}"/>
    <cellStyle name="AF Data 1 - IBM Cognos" xfId="4" xr:uid="{28126F45-6837-4247-AD4B-AE1F55723AB3}"/>
    <cellStyle name="AF Data 2 - IBM Cognos" xfId="5" xr:uid="{30206AA8-163D-414E-8571-69C5C51FE63D}"/>
    <cellStyle name="AF Data 3 - IBM Cognos" xfId="6" xr:uid="{39A3AAF5-0C19-4A95-9640-CF0445819152}"/>
    <cellStyle name="AF Data 4 - IBM Cognos" xfId="7" xr:uid="{BFE8A3C2-A1DC-4FD1-83BD-9DDD7F02CFFC}"/>
    <cellStyle name="AF Data 5 - IBM Cognos" xfId="8" xr:uid="{A429BEF5-6190-4D05-A801-AF7745EEDA70}"/>
    <cellStyle name="AF Data Leaf - IBM Cognos" xfId="9" xr:uid="{AD2094A1-A588-4BBC-B2B4-D3CC263379EF}"/>
    <cellStyle name="AF Header - IBM Cognos" xfId="10" xr:uid="{6878595D-CB9E-4C36-8B84-1B5AF78D3E97}"/>
    <cellStyle name="AF Header 0 - IBM Cognos" xfId="11" xr:uid="{99EB0D27-797E-4C0B-A7C9-ED7C780FC77D}"/>
    <cellStyle name="AF Header 1 - IBM Cognos" xfId="12" xr:uid="{24691D44-7AB1-4158-8DE4-0EC81171A1BF}"/>
    <cellStyle name="AF Header 2 - IBM Cognos" xfId="13" xr:uid="{E498F57B-3A4E-4D29-866B-CE3C440B8665}"/>
    <cellStyle name="AF Header 3 - IBM Cognos" xfId="14" xr:uid="{94763DD0-0669-456B-9565-91E2FC39A14C}"/>
    <cellStyle name="AF Header 4 - IBM Cognos" xfId="15" xr:uid="{A6DC9F00-0181-4F45-8DEE-EE883FAE1EE2}"/>
    <cellStyle name="AF Header 5 - IBM Cognos" xfId="16" xr:uid="{3027F947-1B78-4FAA-890E-D42110F84168}"/>
    <cellStyle name="AF Header Leaf - IBM Cognos" xfId="17" xr:uid="{FBB4C3D0-92BA-49FB-8F21-7FAE290C323D}"/>
    <cellStyle name="AF Row - IBM Cognos" xfId="18" xr:uid="{E6038366-9BB9-4A7E-B443-CD1D5E134505}"/>
    <cellStyle name="AF Row 0 - IBM Cognos" xfId="19" xr:uid="{1B3A2433-D513-4DBE-AE50-84F24C42294D}"/>
    <cellStyle name="AF Row 1 - IBM Cognos" xfId="20" xr:uid="{D2A7A30C-F1EA-4E4F-9E3F-270B83A5A481}"/>
    <cellStyle name="AF Row 2 - IBM Cognos" xfId="21" xr:uid="{7908DA91-9401-4990-93F1-D331A9D576F4}"/>
    <cellStyle name="AF Row 3 - IBM Cognos" xfId="22" xr:uid="{5ABC4E94-2F4A-480B-A617-48541B67B5BC}"/>
    <cellStyle name="AF Row 4 - IBM Cognos" xfId="23" xr:uid="{118B3544-E36D-47F6-8C82-6805114C4DCB}"/>
    <cellStyle name="AF Row 5 - IBM Cognos" xfId="24" xr:uid="{F2D2F2AC-6BD2-4A03-9869-46C9C5B1B1E1}"/>
    <cellStyle name="AF Row Leaf - IBM Cognos" xfId="25" xr:uid="{52648820-E9F7-42B4-91BB-6465EF2CA285}"/>
    <cellStyle name="AF Subnm - IBM Cognos" xfId="26" xr:uid="{643310CD-1697-4F88-986B-45AD49FCE057}"/>
    <cellStyle name="AF Title - IBM Cognos" xfId="27" xr:uid="{CEA719C1-A7F8-43CE-A0CF-33272A98B9DD}"/>
    <cellStyle name="Calculated Column - IBM Cognos" xfId="28" xr:uid="{CE21E2D1-0631-42B8-B5B5-71201E14B6ED}"/>
    <cellStyle name="Calculated Column Name - IBM Cognos" xfId="29" xr:uid="{D30E46BF-854C-44A9-AE5F-F18CB8A7CAAC}"/>
    <cellStyle name="Calculated Row - IBM Cognos" xfId="30" xr:uid="{32921564-4A6E-4F8C-A9F7-D964D95702B7}"/>
    <cellStyle name="Calculated Row Name - IBM Cognos" xfId="31" xr:uid="{4862FFFE-867B-4F03-B5B3-335E8655500F}"/>
    <cellStyle name="Column Name - IBM Cognos" xfId="32" xr:uid="{38988758-CC67-43B2-B2CC-0BBCDA8CB869}"/>
    <cellStyle name="Column Template - IBM Cognos" xfId="33" xr:uid="{EA4D6D4E-8B51-4A6F-9EF1-606298BB3F82}"/>
    <cellStyle name="Differs From Base - IBM Cognos" xfId="34" xr:uid="{75C14BF4-1A77-4FB3-A00A-C6CA7C5203C2}"/>
    <cellStyle name="DQR Column 0 - IBM Cognos" xfId="35" xr:uid="{816EFA58-A6B0-4F92-9202-BB645C666C94}"/>
    <cellStyle name="DQR Column 1 - IBM Cognos" xfId="36" xr:uid="{2889AE8B-4FCB-466F-BB44-D0E93984AFE3}"/>
    <cellStyle name="DQR Column 2 - IBM Cognos" xfId="37" xr:uid="{3CB25248-1E6B-4C41-9D8D-A9289210FAB4}"/>
    <cellStyle name="DQR Column 3 - IBM Cognos" xfId="38" xr:uid="{635698B6-BE82-4451-9BFD-77E5AB7B649C}"/>
    <cellStyle name="DQR Column 4 - IBM Cognos" xfId="39" xr:uid="{BCED756A-0600-4FB3-87F9-A1C9B5A05646}"/>
    <cellStyle name="DQR Column 5 - IBM Cognos" xfId="40" xr:uid="{8FC45338-55AA-4AAD-999B-30C43FB14814}"/>
    <cellStyle name="DQR Column Default - IBM Cognos" xfId="41" xr:uid="{297F88C8-1578-4247-8FAD-51F3B17E4B7C}"/>
    <cellStyle name="DQR Column Leaf - IBM Cognos" xfId="42" xr:uid="{79CC8DC1-F4D3-4FD2-A415-8A602C1934E5}"/>
    <cellStyle name="DQR Data Default - IBM Cognos" xfId="43" xr:uid="{8282D8F4-10D9-45A0-9D82-D5AEFED217D4}"/>
    <cellStyle name="DQR Default - IBM Cognos" xfId="44" xr:uid="{FD3CBECD-4B86-4B5A-903D-379A52084657}"/>
    <cellStyle name="DQR Row 0 - IBM Cognos" xfId="45" xr:uid="{ACDC78C8-BDB7-42E1-9B32-9DDBBBEB3444}"/>
    <cellStyle name="DQR Row 1 - IBM Cognos" xfId="46" xr:uid="{325D0213-7531-4025-BBB3-A1A5B9A62628}"/>
    <cellStyle name="DQR Row 2 - IBM Cognos" xfId="47" xr:uid="{7F3BE2ED-9A60-4BC9-8720-E2D32D48994F}"/>
    <cellStyle name="DQR Row 3 - IBM Cognos" xfId="48" xr:uid="{F4B808D9-2796-43E9-B325-E2FF7C444945}"/>
    <cellStyle name="DQR Row 4 - IBM Cognos" xfId="49" xr:uid="{D2C339CE-D632-486D-A4B6-02278908BC56}"/>
    <cellStyle name="DQR Row 5 - IBM Cognos" xfId="50" xr:uid="{8170162A-5FC2-4232-8695-17C9F0FB7AE5}"/>
    <cellStyle name="DQR Row Default - IBM Cognos" xfId="51" xr:uid="{14864D37-57AD-4573-A5E1-C08A07989796}"/>
    <cellStyle name="DQR Row Leaf - IBM Cognos" xfId="52" xr:uid="{C599415A-5A61-4C2C-A3F9-0A3709E1409E}"/>
    <cellStyle name="Edit - IBM Cognos" xfId="53" xr:uid="{FEF3713A-BDD6-4F18-9276-FD99B0ED1D1B}"/>
    <cellStyle name="Formula - IBM Cognos" xfId="54" xr:uid="{0BFF738C-2C08-4786-B8EB-461E6F2A05F9}"/>
    <cellStyle name="Group Name - IBM Cognos" xfId="55" xr:uid="{6DF7E3B1-CA5A-4A7C-B440-F12C1B4A45C4}"/>
    <cellStyle name="Hold Values - IBM Cognos" xfId="56" xr:uid="{3D6557B6-AFBA-4A07-B563-2C847431020C}"/>
    <cellStyle name="List Name - IBM Cognos" xfId="57" xr:uid="{FFB3D8E5-462D-4322-92DB-B695DFAE09F7}"/>
    <cellStyle name="Locked - IBM Cognos" xfId="58" xr:uid="{1964A6FC-7D45-48E3-9037-E9495375DE28}"/>
    <cellStyle name="Measure - IBM Cognos" xfId="59" xr:uid="{A8489A86-B2E6-46FF-892D-3A595E649AB6}"/>
    <cellStyle name="Measure Header - IBM Cognos" xfId="60" xr:uid="{B4CDD516-FCFD-4EE0-9A9F-1745D425A2D6}"/>
    <cellStyle name="Measure Name - IBM Cognos" xfId="61" xr:uid="{720DDFC6-923F-4991-B3A7-6075B6FCE533}"/>
    <cellStyle name="Measure Summary - IBM Cognos" xfId="62" xr:uid="{98ED2D8E-E318-4B87-AFED-52FD045C4FA0}"/>
    <cellStyle name="Measure Summary TM1 - IBM Cognos" xfId="63" xr:uid="{B24C02EF-E302-4A0F-A9F6-091AB4955FCE}"/>
    <cellStyle name="Measure Template - IBM Cognos" xfId="64" xr:uid="{C215ED4F-8A99-4D3F-BB0A-68A1819F1FF2}"/>
    <cellStyle name="More - IBM Cognos" xfId="65" xr:uid="{3F684124-09A2-4886-8E50-43AB01B31754}"/>
    <cellStyle name="Normal" xfId="0" builtinId="0" customBuiltin="1"/>
    <cellStyle name="Pending Change - IBM Cognos" xfId="66" xr:uid="{00E12835-32EE-4A22-AE8C-43B46FBA0BDB}"/>
    <cellStyle name="Row Name - IBM Cognos" xfId="67" xr:uid="{D3EC097A-4298-4751-B3BD-DF8F15E21D4A}"/>
    <cellStyle name="Row Template - IBM Cognos" xfId="68" xr:uid="{2FF2BF5A-1244-4A76-8DD1-A6DC0A5FFBAC}"/>
    <cellStyle name="Summary Column Name - IBM Cognos" xfId="69" xr:uid="{DBA4DE3D-2D98-4FE1-88D2-1EBB5BDAE8EF}"/>
    <cellStyle name="Summary Column Name TM1 - IBM Cognos" xfId="70" xr:uid="{BADD8148-FA68-4481-B38F-5BEA2BDF410F}"/>
    <cellStyle name="Summary Row Name - IBM Cognos" xfId="71" xr:uid="{399244F8-33B4-42B2-8B04-8B46E693A5AF}"/>
    <cellStyle name="Summary Row Name TM1 - IBM Cognos" xfId="72" xr:uid="{EFCE7265-CED3-4D4B-A52D-153084A08BB2}"/>
    <cellStyle name="Unsaved Change - IBM Cognos" xfId="73" xr:uid="{D33908D1-4CFD-47F5-BB0F-2DD481987503}"/>
  </cellStyles>
  <dxfs count="5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3" Type="http://schemas.openxmlformats.org/officeDocument/2006/relationships/image" Target="../media/image5.emf"/><Relationship Id="rId7" Type="http://schemas.openxmlformats.org/officeDocument/2006/relationships/image" Target="../media/image8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6" Type="http://schemas.openxmlformats.org/officeDocument/2006/relationships/image" Target="../media/image2.emf"/><Relationship Id="rId5" Type="http://schemas.openxmlformats.org/officeDocument/2006/relationships/image" Target="../media/image3.emf"/><Relationship Id="rId4" Type="http://schemas.openxmlformats.org/officeDocument/2006/relationships/image" Target="../media/image4.emf"/><Relationship Id="rId9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51</xdr:row>
      <xdr:rowOff>19050</xdr:rowOff>
    </xdr:from>
    <xdr:ext cx="1853565" cy="457200"/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1853565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53</xdr:row>
          <xdr:rowOff>0</xdr:rowOff>
        </xdr:from>
        <xdr:to>
          <xdr:col>9</xdr:col>
          <xdr:colOff>638175</xdr:colOff>
          <xdr:row>53</xdr:row>
          <xdr:rowOff>247650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676275</xdr:colOff>
          <xdr:row>53</xdr:row>
          <xdr:rowOff>0</xdr:rowOff>
        </xdr:from>
        <xdr:to>
          <xdr:col>9</xdr:col>
          <xdr:colOff>1800225</xdr:colOff>
          <xdr:row>53</xdr:row>
          <xdr:rowOff>247650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1838325</xdr:colOff>
          <xdr:row>53</xdr:row>
          <xdr:rowOff>0</xdr:rowOff>
        </xdr:from>
        <xdr:to>
          <xdr:col>9</xdr:col>
          <xdr:colOff>3333750</xdr:colOff>
          <xdr:row>53</xdr:row>
          <xdr:rowOff>247650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561975</xdr:colOff>
          <xdr:row>53</xdr:row>
          <xdr:rowOff>0</xdr:rowOff>
        </xdr:from>
        <xdr:to>
          <xdr:col>13</xdr:col>
          <xdr:colOff>161925</xdr:colOff>
          <xdr:row>53</xdr:row>
          <xdr:rowOff>247650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428625</xdr:colOff>
          <xdr:row>52</xdr:row>
          <xdr:rowOff>38100</xdr:rowOff>
        </xdr:from>
        <xdr:to>
          <xdr:col>16</xdr:col>
          <xdr:colOff>742950</xdr:colOff>
          <xdr:row>53</xdr:row>
          <xdr:rowOff>295275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3352800</xdr:colOff>
          <xdr:row>53</xdr:row>
          <xdr:rowOff>0</xdr:rowOff>
        </xdr:from>
        <xdr:to>
          <xdr:col>10</xdr:col>
          <xdr:colOff>9525</xdr:colOff>
          <xdr:row>53</xdr:row>
          <xdr:rowOff>247650</xdr:rowOff>
        </xdr:to>
        <xdr:sp macro="" textlink="">
          <xdr:nvSpPr>
            <xdr:cNvPr id="1030" name="TIButton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209550</xdr:colOff>
          <xdr:row>56</xdr:row>
          <xdr:rowOff>47625</xdr:rowOff>
        </xdr:from>
        <xdr:to>
          <xdr:col>15</xdr:col>
          <xdr:colOff>323850</xdr:colOff>
          <xdr:row>58</xdr:row>
          <xdr:rowOff>47625</xdr:rowOff>
        </xdr:to>
        <xdr:sp macro="" textlink="">
          <xdr:nvSpPr>
            <xdr:cNvPr id="1032" name="TIButton7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53</xdr:row>
          <xdr:rowOff>0</xdr:rowOff>
        </xdr:from>
        <xdr:to>
          <xdr:col>12</xdr:col>
          <xdr:colOff>523875</xdr:colOff>
          <xdr:row>53</xdr:row>
          <xdr:rowOff>247650</xdr:rowOff>
        </xdr:to>
        <xdr:sp macro="" textlink="">
          <xdr:nvSpPr>
            <xdr:cNvPr id="1033" name="TIButton8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190500</xdr:colOff>
          <xdr:row>81</xdr:row>
          <xdr:rowOff>161925</xdr:rowOff>
        </xdr:from>
        <xdr:to>
          <xdr:col>15</xdr:col>
          <xdr:colOff>428625</xdr:colOff>
          <xdr:row>83</xdr:row>
          <xdr:rowOff>28575</xdr:rowOff>
        </xdr:to>
        <xdr:sp macro="" textlink="">
          <xdr:nvSpPr>
            <xdr:cNvPr id="1037" name="TIButton9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1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DE65A-0559-4AE8-81B5-92826554FC2E}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DFC4-5743-4419-8C9C-FA49B1380B78}">
  <sheetPr codeName="Sheet1">
    <pageSetUpPr fitToPage="1"/>
  </sheetPr>
  <dimension ref="A1:AW94"/>
  <sheetViews>
    <sheetView showGridLines="0" tabSelected="1" topLeftCell="I52" workbookViewId="0"/>
  </sheetViews>
  <sheetFormatPr defaultRowHeight="15" outlineLevelRow="1" outlineLevelCol="1" x14ac:dyDescent="0.25"/>
  <cols>
    <col min="1" max="1" width="2.7109375" hidden="1" customWidth="1" outlineLevel="1"/>
    <col min="2" max="2" width="74.5703125" hidden="1" customWidth="1" outlineLevel="1"/>
    <col min="3" max="3" width="11.7109375" hidden="1" customWidth="1" outlineLevel="1"/>
    <col min="4" max="4" width="8.140625" hidden="1" customWidth="1" outlineLevel="1"/>
    <col min="5" max="5" width="8.5703125" hidden="1" customWidth="1" outlineLevel="1"/>
    <col min="6" max="7" width="16.85546875" hidden="1" customWidth="1" outlineLevel="1"/>
    <col min="8" max="8" width="9.7109375" hidden="1" customWidth="1" outlineLevel="1"/>
    <col min="9" max="9" width="0.85546875" customWidth="1" collapsed="1"/>
    <col min="10" max="10" width="68.7109375" customWidth="1"/>
    <col min="11" max="11" width="0.85546875" customWidth="1"/>
    <col min="12" max="12" width="16.28515625" style="12" bestFit="1" customWidth="1"/>
    <col min="13" max="13" width="17.7109375" style="12" bestFit="1" customWidth="1"/>
    <col min="14" max="14" width="10.7109375" style="12" customWidth="1"/>
    <col min="15" max="15" width="20.7109375" style="12" customWidth="1"/>
    <col min="16" max="16" width="20.7109375" customWidth="1"/>
    <col min="17" max="17" width="1.5703125" customWidth="1"/>
    <col min="18" max="18" width="15.140625" bestFit="1" customWidth="1"/>
    <col min="19" max="19" width="12" customWidth="1"/>
    <col min="20" max="20" width="15.140625" customWidth="1"/>
    <col min="21" max="21" width="12" bestFit="1" customWidth="1"/>
    <col min="22" max="22" width="12" customWidth="1"/>
    <col min="23" max="23" width="17" customWidth="1"/>
    <col min="24" max="38" width="12.7109375" customWidth="1"/>
    <col min="39" max="39" width="17.85546875" customWidth="1"/>
    <col min="40" max="42" width="17.42578125" customWidth="1"/>
    <col min="43" max="43" width="21.140625" customWidth="1"/>
    <col min="44" max="44" width="22.5703125" customWidth="1"/>
    <col min="45" max="45" width="21.5703125" customWidth="1"/>
  </cols>
  <sheetData>
    <row r="1" spans="2:4" hidden="1" outlineLevel="1" x14ac:dyDescent="0.25"/>
    <row r="2" spans="2:4" hidden="1" outlineLevel="1" x14ac:dyDescent="0.25">
      <c r="B2" s="38" t="s">
        <v>19</v>
      </c>
      <c r="C2" s="39"/>
      <c r="D2" s="40"/>
    </row>
    <row r="3" spans="2:4" hidden="1" outlineLevel="1" x14ac:dyDescent="0.25">
      <c r="B3" s="2" t="s">
        <v>20</v>
      </c>
      <c r="C3" s="3" t="s">
        <v>1006</v>
      </c>
      <c r="D3" s="4"/>
    </row>
    <row r="4" spans="2:4" hidden="1" outlineLevel="1" x14ac:dyDescent="0.25">
      <c r="B4" s="2" t="s">
        <v>21</v>
      </c>
      <c r="C4" s="5" t="str" cm="1">
        <f t="array" aca="1" ref="C4" ca="1">_xll.VIEW(db_name&amp;":}ElementAttributes_}Clients","!","!")</f>
        <v>finance_geus:}ElementAttributes_}Clients</v>
      </c>
      <c r="D4" s="4"/>
    </row>
    <row r="5" spans="2:4" hidden="1" outlineLevel="1" x14ac:dyDescent="0.25">
      <c r="B5" s="2" t="s">
        <v>22</v>
      </c>
      <c r="C5" s="3" t="str" cm="1">
        <f t="array" aca="1" ref="C5" ca="1">_xll.TM1USER(db_name)</f>
        <v/>
      </c>
      <c r="D5" s="4"/>
    </row>
    <row r="6" spans="2:4" hidden="1" outlineLevel="1" x14ac:dyDescent="0.25">
      <c r="B6" s="2" t="s">
        <v>23</v>
      </c>
      <c r="C6" s="3" t="str" cm="1">
        <f t="array" aca="1" ref="C6" ca="1">_xll.DBR($C$4,$C$5,$B6)</f>
        <v>*KEY_ERR</v>
      </c>
      <c r="D6" s="4"/>
    </row>
    <row r="7" spans="2:4" hidden="1" outlineLevel="1" x14ac:dyDescent="0.25">
      <c r="B7" s="2" t="s">
        <v>24</v>
      </c>
      <c r="C7" s="3" t="str" cm="1">
        <f t="array" aca="1" ref="C7" ca="1">_xll.DBR($C$4,$C$5,$B7)</f>
        <v>*KEY_ERR</v>
      </c>
      <c r="D7" s="4"/>
    </row>
    <row r="8" spans="2:4" hidden="1" outlineLevel="1" x14ac:dyDescent="0.25">
      <c r="B8" s="2" t="s">
        <v>25</v>
      </c>
      <c r="C8" s="3" t="str">
        <f ca="1">IF(LEFT($C$6,6)="CAM_AD",$C$7,$C$6)</f>
        <v>*KEY_ERR</v>
      </c>
      <c r="D8" s="6"/>
    </row>
    <row r="9" spans="2:4" hidden="1" outlineLevel="1" x14ac:dyDescent="0.25"/>
    <row r="10" spans="2:4" hidden="1" outlineLevel="1" x14ac:dyDescent="0.25">
      <c r="B10" s="38" t="s">
        <v>26</v>
      </c>
      <c r="C10" s="39"/>
      <c r="D10" s="40"/>
    </row>
    <row r="11" spans="2:4" hidden="1" outlineLevel="1" x14ac:dyDescent="0.25">
      <c r="B11" s="2" t="s">
        <v>27</v>
      </c>
      <c r="C11" s="6" t="str" cm="1">
        <f t="array" aca="1" ref="C11" ca="1">_xll.VIEW(db_name&amp;":}ElementAttributes_variables","!","!")</f>
        <v>finance_geus:}ElementAttributes_variables</v>
      </c>
      <c r="D11" s="6"/>
    </row>
    <row r="12" spans="2:4" hidden="1" outlineLevel="1" x14ac:dyDescent="0.25">
      <c r="B12" s="2" t="s">
        <v>0</v>
      </c>
      <c r="C12" s="6" t="str" cm="1">
        <f t="array" aca="1" ref="C12" ca="1">_xll.DBR($C$11,$B12,"value")</f>
        <v>*KEY_ERR</v>
      </c>
      <c r="D12" s="6"/>
    </row>
    <row r="13" spans="2:4" hidden="1" outlineLevel="1" x14ac:dyDescent="0.25">
      <c r="B13" s="2" t="s">
        <v>28</v>
      </c>
      <c r="C13" s="6" t="str" cm="1">
        <f t="array" aca="1" ref="C13" ca="1">_xll.DBR($C$11,$B13,"value")</f>
        <v>*KEY_ERR</v>
      </c>
      <c r="D13" s="6"/>
    </row>
    <row r="14" spans="2:4" hidden="1" outlineLevel="1" x14ac:dyDescent="0.25">
      <c r="B14" s="2" t="s">
        <v>29</v>
      </c>
      <c r="C14" s="6" t="str" cm="1">
        <f t="array" aca="1" ref="C14" ca="1">_xll.DBR($C$11,$B14,"value")</f>
        <v>*KEY_ERR</v>
      </c>
      <c r="D14" s="6"/>
    </row>
    <row r="15" spans="2:4" hidden="1" outlineLevel="1" x14ac:dyDescent="0.25">
      <c r="B15" s="2" t="s">
        <v>30</v>
      </c>
      <c r="C15" s="6" t="str" cm="1">
        <f t="array" aca="1" ref="C15" ca="1">_xll.DBR($C$11,$B15,"value")</f>
        <v>*KEY_ERR</v>
      </c>
      <c r="D15" s="6"/>
    </row>
    <row r="16" spans="2:4" hidden="1" outlineLevel="1" x14ac:dyDescent="0.25">
      <c r="B16" s="2" t="s">
        <v>31</v>
      </c>
      <c r="C16" s="6" t="str" cm="1">
        <f t="array" aca="1" ref="C16" ca="1">_xll.DBR($C$11,$B16,"value")</f>
        <v>*KEY_ERR</v>
      </c>
      <c r="D16" s="6"/>
    </row>
    <row r="17" spans="2:8" hidden="1" outlineLevel="1" x14ac:dyDescent="0.25"/>
    <row r="18" spans="2:8" hidden="1" outlineLevel="1" x14ac:dyDescent="0.25">
      <c r="B18" s="38" t="s">
        <v>32</v>
      </c>
      <c r="C18" s="39"/>
      <c r="D18" s="40"/>
    </row>
    <row r="19" spans="2:8" hidden="1" outlineLevel="1" x14ac:dyDescent="0.25">
      <c r="B19" s="2" t="s">
        <v>33</v>
      </c>
      <c r="C19" s="6" t="str" cm="1">
        <f t="array" aca="1" ref="C19" ca="1">_xll.VIEW(db_name&amp;":sys_application","!","!")</f>
        <v>finance_geus:sys_application</v>
      </c>
      <c r="D19" s="6"/>
    </row>
    <row r="20" spans="2:8" hidden="1" outlineLevel="1" x14ac:dyDescent="0.25">
      <c r="B20" s="2" t="s">
        <v>34</v>
      </c>
      <c r="C20" t="s">
        <v>91</v>
      </c>
      <c r="D20" s="6"/>
    </row>
    <row r="21" spans="2:8" hidden="1" outlineLevel="1" x14ac:dyDescent="0.25">
      <c r="B21" s="6"/>
      <c r="C21" s="2" t="s">
        <v>35</v>
      </c>
      <c r="D21" s="2" t="s">
        <v>36</v>
      </c>
      <c r="E21" s="2" t="s">
        <v>37</v>
      </c>
      <c r="F21" s="2" t="s">
        <v>38</v>
      </c>
      <c r="G21" s="2" t="s">
        <v>39</v>
      </c>
      <c r="H21" s="2" t="s">
        <v>40</v>
      </c>
    </row>
    <row r="22" spans="2:8" hidden="1" outlineLevel="1" x14ac:dyDescent="0.25">
      <c r="B22" s="6" t="s">
        <v>41</v>
      </c>
      <c r="C22" s="6" t="str" cm="1">
        <f t="array" aca="1" ref="C22" ca="1">_xll.DBR($C$19,$B22,C$21)</f>
        <v>*KEY_ERR</v>
      </c>
      <c r="D22" s="6" t="str" cm="1">
        <f t="array" aca="1" ref="D22" ca="1">_xll.DBR($C$19,$B22,D$21)</f>
        <v>*KEY_ERR</v>
      </c>
      <c r="E22" s="6" t="str" cm="1">
        <f t="array" aca="1" ref="E22" ca="1">_xll.DBR($C$19,$B22,E$21)</f>
        <v>*KEY_ERR</v>
      </c>
      <c r="F22" s="6" t="str" cm="1">
        <f t="array" aca="1" ref="F22" ca="1">_xll.DBR($C$19,$B22,F$21)</f>
        <v>*KEY_ERR</v>
      </c>
      <c r="G22" s="6" t="str" cm="1">
        <f t="array" aca="1" ref="G22" ca="1">_xll.DBR($C$19,$B22,G$21)</f>
        <v>*KEY_ERR</v>
      </c>
      <c r="H22" s="6" t="str" cm="1">
        <f t="array" aca="1" ref="H22" ca="1">_xll.DBR($C$19,$B22,H$21)</f>
        <v>*KEY_ERR</v>
      </c>
    </row>
    <row r="23" spans="2:8" hidden="1" outlineLevel="1" x14ac:dyDescent="0.25">
      <c r="B23" s="6" t="s">
        <v>42</v>
      </c>
      <c r="C23" s="6" t="str" cm="1">
        <f t="array" aca="1" ref="C23" ca="1">_xll.DBR($C$19,$B23,C$21)</f>
        <v>*KEY_ERR</v>
      </c>
      <c r="D23" s="6" t="str" cm="1">
        <f t="array" aca="1" ref="D23" ca="1">_xll.DBR($C$19,$B23,D$21)</f>
        <v>*KEY_ERR</v>
      </c>
      <c r="E23" s="6" t="str" cm="1">
        <f t="array" aca="1" ref="E23" ca="1">_xll.DBR($C$19,$B23,E$21)</f>
        <v>*KEY_ERR</v>
      </c>
      <c r="F23" s="6" t="str" cm="1">
        <f t="array" aca="1" ref="F23" ca="1">_xll.DBR($C$19,$B23,F$21)</f>
        <v>*KEY_ERR</v>
      </c>
      <c r="G23" s="6" t="str" cm="1">
        <f t="array" aca="1" ref="G23" ca="1">_xll.DBR($C$19,$B23,G$21)</f>
        <v>*KEY_ERR</v>
      </c>
      <c r="H23" s="6" t="str" cm="1">
        <f t="array" aca="1" ref="H23" ca="1">_xll.DBR($C$19,$B23,H$21)</f>
        <v>*KEY_ERR</v>
      </c>
    </row>
    <row r="24" spans="2:8" hidden="1" outlineLevel="1" x14ac:dyDescent="0.25">
      <c r="B24" s="6" t="s">
        <v>43</v>
      </c>
      <c r="C24" s="6" t="str" cm="1">
        <f t="array" aca="1" ref="C24" ca="1">_xll.DBR($C$19,$B24,C$21)</f>
        <v>*KEY_ERR</v>
      </c>
      <c r="D24" s="6" t="str" cm="1">
        <f t="array" aca="1" ref="D24" ca="1">_xll.DBR($C$19,$B24,D$21)</f>
        <v>*KEY_ERR</v>
      </c>
      <c r="E24" s="6" t="str" cm="1">
        <f t="array" aca="1" ref="E24" ca="1">_xll.DBR($C$19,$B24,E$21)</f>
        <v>*KEY_ERR</v>
      </c>
      <c r="F24" s="6" t="str" cm="1">
        <f t="array" aca="1" ref="F24" ca="1">_xll.DBR($C$19,$B24,F$21)</f>
        <v>*KEY_ERR</v>
      </c>
      <c r="G24" s="6" t="str" cm="1">
        <f t="array" aca="1" ref="G24" ca="1">_xll.DBR($C$19,$B24,G$21)</f>
        <v>*KEY_ERR</v>
      </c>
      <c r="H24" s="6" t="str" cm="1">
        <f t="array" aca="1" ref="H24" ca="1">_xll.DBR($C$19,$B24,H$21)</f>
        <v>*KEY_ERR</v>
      </c>
    </row>
    <row r="25" spans="2:8" hidden="1" outlineLevel="1" x14ac:dyDescent="0.25">
      <c r="B25" s="6" t="s">
        <v>44</v>
      </c>
      <c r="C25" s="6" t="str" cm="1">
        <f t="array" aca="1" ref="C25" ca="1">_xll.DBR($C$19,$B25,C$21)</f>
        <v>*KEY_ERR</v>
      </c>
      <c r="D25" s="6" t="str" cm="1">
        <f t="array" aca="1" ref="D25" ca="1">_xll.DBR($C$19,$B25,D$21)</f>
        <v>*KEY_ERR</v>
      </c>
      <c r="E25" s="6" t="str" cm="1">
        <f t="array" aca="1" ref="E25" ca="1">_xll.DBR($C$19,$B25,E$21)</f>
        <v>*KEY_ERR</v>
      </c>
      <c r="F25" s="6" t="str" cm="1">
        <f t="array" aca="1" ref="F25" ca="1">_xll.DBR($C$19,$B25,F$21)</f>
        <v>*KEY_ERR</v>
      </c>
      <c r="G25" s="6" t="str" cm="1">
        <f t="array" aca="1" ref="G25" ca="1">_xll.DBR($C$19,$B25,G$21)</f>
        <v>*KEY_ERR</v>
      </c>
      <c r="H25" s="6" t="str" cm="1">
        <f t="array" aca="1" ref="H25" ca="1">_xll.DBR($C$19,$B25,H$21)</f>
        <v>*KEY_ERR</v>
      </c>
    </row>
    <row r="26" spans="2:8" hidden="1" outlineLevel="1" x14ac:dyDescent="0.25">
      <c r="B26" s="6" t="s">
        <v>45</v>
      </c>
      <c r="C26" s="6" t="str" cm="1">
        <f t="array" aca="1" ref="C26" ca="1">_xll.DBR($C$19,$B26,C$21)</f>
        <v>*KEY_ERR</v>
      </c>
      <c r="D26" s="6" t="str" cm="1">
        <f t="array" aca="1" ref="D26" ca="1">_xll.DBR($C$19,$B26,D$21)</f>
        <v>*KEY_ERR</v>
      </c>
      <c r="E26" s="6" t="str" cm="1">
        <f t="array" aca="1" ref="E26" ca="1">_xll.DBR($C$19,$B26,E$21)</f>
        <v>*KEY_ERR</v>
      </c>
      <c r="F26" s="6" t="str" cm="1">
        <f t="array" aca="1" ref="F26" ca="1">_xll.DBR($C$19,$B26,F$21)</f>
        <v>*KEY_ERR</v>
      </c>
      <c r="G26" s="6" t="str" cm="1">
        <f t="array" aca="1" ref="G26" ca="1">_xll.DBR($C$19,$B26,G$21)</f>
        <v>*KEY_ERR</v>
      </c>
      <c r="H26" s="6" t="str" cm="1">
        <f t="array" aca="1" ref="H26" ca="1">_xll.DBR($C$19,$B26,H$21)</f>
        <v>*KEY_ERR</v>
      </c>
    </row>
    <row r="27" spans="2:8" hidden="1" outlineLevel="1" x14ac:dyDescent="0.25">
      <c r="B27" s="6" t="s">
        <v>49</v>
      </c>
      <c r="C27" s="6" t="str" cm="1">
        <f t="array" aca="1" ref="C27" ca="1">_xll.DBR($C$19,$B27,C$21)</f>
        <v>*KEY_ERR</v>
      </c>
      <c r="D27" s="6" t="str" cm="1">
        <f t="array" aca="1" ref="D27" ca="1">_xll.DBR($C$19,$B27,D$21)</f>
        <v>*KEY_ERR</v>
      </c>
      <c r="E27" s="6" t="str" cm="1">
        <f t="array" aca="1" ref="E27" ca="1">_xll.DBR($C$19,$B27,E$21)</f>
        <v>*KEY_ERR</v>
      </c>
      <c r="F27" s="6" t="str" cm="1">
        <f t="array" aca="1" ref="F27" ca="1">_xll.DBR($C$19,$B27,F$21)</f>
        <v>*KEY_ERR</v>
      </c>
      <c r="G27" s="6" t="str" cm="1">
        <f t="array" aca="1" ref="G27" ca="1">_xll.DBR($C$19,$B27,G$21)</f>
        <v>*KEY_ERR</v>
      </c>
      <c r="H27" s="6" t="str" cm="1">
        <f t="array" aca="1" ref="H27" ca="1">_xll.DBR($C$19,$B27,H$21)</f>
        <v>*KEY_ERR</v>
      </c>
    </row>
    <row r="28" spans="2:8" hidden="1" outlineLevel="1" x14ac:dyDescent="0.25">
      <c r="B28" s="6" t="s">
        <v>50</v>
      </c>
      <c r="C28" s="6" t="str" cm="1">
        <f t="array" aca="1" ref="C28" ca="1">_xll.DBR($C$19,$B28,C$21)</f>
        <v>*KEY_ERR</v>
      </c>
      <c r="D28" s="6" t="str" cm="1">
        <f t="array" aca="1" ref="D28" ca="1">_xll.DBR($C$19,$B28,D$21)</f>
        <v>*KEY_ERR</v>
      </c>
      <c r="E28" s="6" t="str" cm="1">
        <f t="array" aca="1" ref="E28" ca="1">_xll.DBR($C$19,$B28,E$21)</f>
        <v>*KEY_ERR</v>
      </c>
      <c r="F28" s="6" t="str" cm="1">
        <f t="array" aca="1" ref="F28" ca="1">_xll.DBR($C$19,$B28,F$21)</f>
        <v>*KEY_ERR</v>
      </c>
      <c r="G28" s="6" t="str" cm="1">
        <f t="array" aca="1" ref="G28" ca="1">_xll.DBR($C$19,$B28,G$21)</f>
        <v>*KEY_ERR</v>
      </c>
      <c r="H28" s="6" t="str" cm="1">
        <f t="array" aca="1" ref="H28" ca="1">_xll.DBR($C$19,$B28,H$21)</f>
        <v>*KEY_ERR</v>
      </c>
    </row>
    <row r="29" spans="2:8" hidden="1" outlineLevel="1" x14ac:dyDescent="0.25">
      <c r="B29" s="6" t="s">
        <v>92</v>
      </c>
      <c r="C29" s="6" t="str" cm="1">
        <f t="array" aca="1" ref="C29" ca="1">_xll.DBR($C$19,$B29,C$21)</f>
        <v>*KEY_ERR</v>
      </c>
      <c r="D29" s="6" t="str" cm="1">
        <f t="array" aca="1" ref="D29" ca="1">_xll.DBR($C$19,$B29,D$21)</f>
        <v>*KEY_ERR</v>
      </c>
      <c r="E29" s="6" t="str" cm="1">
        <f t="array" aca="1" ref="E29" ca="1">_xll.DBR($C$19,$B29,E$21)</f>
        <v>*KEY_ERR</v>
      </c>
      <c r="F29" s="6" t="str" cm="1">
        <f t="array" aca="1" ref="F29" ca="1">_xll.DBR($C$19,$B29,F$21)</f>
        <v>*KEY_ERR</v>
      </c>
      <c r="G29" s="6" t="str" cm="1">
        <f t="array" aca="1" ref="G29" ca="1">_xll.DBR($C$19,$B29,G$21)</f>
        <v>*KEY_ERR</v>
      </c>
      <c r="H29" s="6" t="str" cm="1">
        <f t="array" aca="1" ref="H29" ca="1">_xll.DBR($C$19,$B29,H$21)</f>
        <v>*KEY_ERR</v>
      </c>
    </row>
    <row r="30" spans="2:8" hidden="1" outlineLevel="1" x14ac:dyDescent="0.25">
      <c r="B30" s="7" t="s">
        <v>46</v>
      </c>
      <c r="C30" s="8" t="s">
        <v>47</v>
      </c>
    </row>
    <row r="31" spans="2:8" ht="17.25" hidden="1" customHeight="1" outlineLevel="1" x14ac:dyDescent="0.25"/>
    <row r="32" spans="2:8" hidden="1" outlineLevel="1" x14ac:dyDescent="0.25">
      <c r="B32" s="38"/>
      <c r="C32" s="39"/>
      <c r="D32" s="40"/>
    </row>
    <row r="33" spans="2:4" hidden="1" outlineLevel="1" x14ac:dyDescent="0.25">
      <c r="B33" s="2" t="s">
        <v>72</v>
      </c>
      <c r="C33" s="6" t="s">
        <v>18</v>
      </c>
      <c r="D33" s="6" t="s">
        <v>73</v>
      </c>
    </row>
    <row r="34" spans="2:4" hidden="1" outlineLevel="1" x14ac:dyDescent="0.25">
      <c r="B34" s="2" t="s">
        <v>81</v>
      </c>
      <c r="C34" s="6"/>
      <c r="D34" s="6"/>
    </row>
    <row r="35" spans="2:4" hidden="1" outlineLevel="1" x14ac:dyDescent="0.25">
      <c r="B35" s="2" t="str">
        <f ca="1">_xll.VIEW(db_name&amp;":sys_client preference", psUser,"!","!")</f>
        <v>finance_geus:sys_client preference</v>
      </c>
      <c r="C35" s="6" t="s">
        <v>83</v>
      </c>
      <c r="D35" s="6" t="s">
        <v>99</v>
      </c>
    </row>
    <row r="36" spans="2:4" hidden="1" outlineLevel="1" x14ac:dyDescent="0.25">
      <c r="B36" s="2" t="s">
        <v>82</v>
      </c>
      <c r="C36" s="6" t="str">
        <f ca="1">_xll.DBR($B$35,psUser,$B36,$C$35)</f>
        <v>*KEY_ERR</v>
      </c>
      <c r="D36" s="6"/>
    </row>
    <row r="37" spans="2:4" hidden="1" outlineLevel="1" x14ac:dyDescent="0.25">
      <c r="B37" s="2" t="s">
        <v>85</v>
      </c>
      <c r="C37" s="6" t="s">
        <v>86</v>
      </c>
      <c r="D37" s="6"/>
    </row>
    <row r="38" spans="2:4" hidden="1" outlineLevel="1" x14ac:dyDescent="0.25">
      <c r="B38" s="2" t="s">
        <v>93</v>
      </c>
      <c r="C38" s="6"/>
      <c r="D38" s="6"/>
    </row>
    <row r="39" spans="2:4" hidden="1" outlineLevel="1" x14ac:dyDescent="0.25">
      <c r="B39" s="2" t="s">
        <v>94</v>
      </c>
      <c r="C39" s="6"/>
      <c r="D39" s="6"/>
    </row>
    <row r="40" spans="2:4" hidden="1" outlineLevel="1" x14ac:dyDescent="0.25">
      <c r="B40" s="2" t="s">
        <v>95</v>
      </c>
      <c r="C40" s="6"/>
      <c r="D40" s="6"/>
    </row>
    <row r="41" spans="2:4" hidden="1" outlineLevel="1" x14ac:dyDescent="0.25">
      <c r="B41" s="2" t="s">
        <v>96</v>
      </c>
      <c r="C41" s="6"/>
      <c r="D41" s="6"/>
    </row>
    <row r="42" spans="2:4" hidden="1" outlineLevel="1" x14ac:dyDescent="0.25">
      <c r="B42" s="2" t="s">
        <v>97</v>
      </c>
      <c r="C42" s="6"/>
      <c r="D42" s="6"/>
    </row>
    <row r="43" spans="2:4" hidden="1" outlineLevel="1" x14ac:dyDescent="0.25">
      <c r="B43" s="2" t="s">
        <v>98</v>
      </c>
      <c r="C43" s="6"/>
      <c r="D43" s="6"/>
    </row>
    <row r="44" spans="2:4" hidden="1" outlineLevel="1" x14ac:dyDescent="0.25">
      <c r="B44" s="38"/>
      <c r="C44" s="39"/>
      <c r="D44" s="40"/>
    </row>
    <row r="45" spans="2:4" hidden="1" outlineLevel="1" x14ac:dyDescent="0.25">
      <c r="B45" s="2" t="str">
        <f ca="1">_xll.VIEW(db_name&amp;":}ElementAttributes_sys_dim update method","!","!")</f>
        <v>finance_geus:}ElementAttributes_sys_dim update method</v>
      </c>
      <c r="C45" s="6" t="s">
        <v>515</v>
      </c>
      <c r="D45" s="6" t="s">
        <v>516</v>
      </c>
    </row>
    <row r="46" spans="2:4" hidden="1" outlineLevel="1" x14ac:dyDescent="0.25">
      <c r="B46" s="2" t="s">
        <v>1005</v>
      </c>
      <c r="C46" s="6">
        <f ca="1">_xll.DIMIX(db_name&amp;":sys_Dim update method",psMethod)</f>
        <v>0</v>
      </c>
      <c r="D46" s="6"/>
    </row>
    <row r="47" spans="2:4" hidden="1" outlineLevel="1" x14ac:dyDescent="0.25">
      <c r="B47" s="1"/>
    </row>
    <row r="48" spans="2:4" hidden="1" outlineLevel="1" x14ac:dyDescent="0.25">
      <c r="B48" s="1"/>
    </row>
    <row r="49" spans="9:49" s="10" customFormat="1" ht="60" hidden="1" outlineLevel="1" x14ac:dyDescent="0.25">
      <c r="J49" s="11" t="s">
        <v>48</v>
      </c>
      <c r="L49" s="14" t="s">
        <v>1</v>
      </c>
      <c r="M49" s="14" t="s">
        <v>2</v>
      </c>
      <c r="N49" s="14" t="s">
        <v>3</v>
      </c>
      <c r="O49" s="14" t="s">
        <v>4</v>
      </c>
      <c r="P49" s="14" t="s">
        <v>5</v>
      </c>
      <c r="Q49" s="14" t="s">
        <v>9</v>
      </c>
      <c r="R49" s="14" t="s">
        <v>10</v>
      </c>
      <c r="S49" s="14" t="s">
        <v>12</v>
      </c>
      <c r="T49" s="14" t="s">
        <v>51</v>
      </c>
      <c r="U49" s="14" t="s">
        <v>7</v>
      </c>
      <c r="V49" s="14" t="s">
        <v>68</v>
      </c>
      <c r="W49" s="14" t="s">
        <v>6</v>
      </c>
      <c r="X49" s="14" t="s">
        <v>15</v>
      </c>
      <c r="Y49" s="14" t="s">
        <v>16</v>
      </c>
      <c r="Z49" s="14" t="s">
        <v>17</v>
      </c>
      <c r="AA49" s="14" t="s">
        <v>52</v>
      </c>
      <c r="AB49" s="14" t="s">
        <v>53</v>
      </c>
      <c r="AC49" s="14" t="s">
        <v>54</v>
      </c>
      <c r="AD49" s="14" t="s">
        <v>55</v>
      </c>
      <c r="AE49" s="14" t="s">
        <v>56</v>
      </c>
      <c r="AF49" s="14" t="s">
        <v>57</v>
      </c>
      <c r="AG49" s="14" t="s">
        <v>58</v>
      </c>
      <c r="AH49" s="14" t="s">
        <v>59</v>
      </c>
      <c r="AI49" s="14" t="s">
        <v>60</v>
      </c>
      <c r="AJ49" s="14" t="s">
        <v>61</v>
      </c>
      <c r="AK49" s="14" t="s">
        <v>62</v>
      </c>
      <c r="AL49" s="14" t="s">
        <v>63</v>
      </c>
      <c r="AM49" s="14" t="s">
        <v>11</v>
      </c>
      <c r="AN49" s="14" t="s">
        <v>13</v>
      </c>
      <c r="AO49" s="14" t="s">
        <v>14</v>
      </c>
      <c r="AP49" s="14" t="s">
        <v>65</v>
      </c>
      <c r="AQ49" s="14" t="s">
        <v>66</v>
      </c>
      <c r="AR49" s="14" t="s">
        <v>67</v>
      </c>
      <c r="AS49" s="14" t="s">
        <v>8</v>
      </c>
      <c r="AW49" s="10" t="s">
        <v>64</v>
      </c>
    </row>
    <row r="50" spans="9:49" hidden="1" outlineLevel="1" x14ac:dyDescent="0.25"/>
    <row r="51" spans="9:49" hidden="1" outlineLevel="1" x14ac:dyDescent="0.25"/>
    <row r="52" spans="9:49" ht="39.75" customHeight="1" collapsed="1" x14ac:dyDescent="0.25">
      <c r="I52" s="9"/>
      <c r="J52" s="9"/>
      <c r="K52" s="9"/>
      <c r="L52" s="13"/>
      <c r="M52" s="13"/>
      <c r="N52" s="13"/>
      <c r="O52" s="13"/>
      <c r="P52" s="9"/>
      <c r="Q52" s="9"/>
      <c r="R52" s="9"/>
      <c r="S52" s="9"/>
      <c r="T52" s="9"/>
      <c r="U52" s="9"/>
      <c r="V52" s="9"/>
      <c r="W52" s="9" t="s">
        <v>513</v>
      </c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</row>
    <row r="53" spans="9:49" ht="4.5" customHeight="1" x14ac:dyDescent="0.25"/>
    <row r="54" spans="9:49" ht="24" customHeight="1" x14ac:dyDescent="0.25">
      <c r="J54" s="1"/>
    </row>
    <row r="55" spans="9:49" ht="1.5" customHeight="1" x14ac:dyDescent="0.25">
      <c r="I55" s="9"/>
      <c r="J55" s="9"/>
      <c r="K55" s="9"/>
      <c r="L55" s="13"/>
      <c r="M55" s="13"/>
      <c r="N55" s="13"/>
      <c r="O55" s="13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</row>
    <row r="56" spans="9:49" collapsed="1" x14ac:dyDescent="0.25">
      <c r="J56" s="15" t="s">
        <v>510</v>
      </c>
      <c r="K56" s="16"/>
      <c r="L56" s="16"/>
      <c r="M56" s="16"/>
      <c r="N56" s="16"/>
      <c r="O56" s="17"/>
      <c r="P56" s="18"/>
      <c r="Q56" s="18"/>
      <c r="R56" s="18"/>
      <c r="S56" s="18"/>
      <c r="T56" s="18"/>
      <c r="U56" s="18"/>
      <c r="V56" s="18"/>
      <c r="W56" s="19"/>
    </row>
    <row r="57" spans="9:49" ht="4.5" customHeight="1" x14ac:dyDescent="0.25">
      <c r="J57" s="20"/>
      <c r="W57" s="21"/>
    </row>
    <row r="58" spans="9:49" x14ac:dyDescent="0.25">
      <c r="J58" s="20"/>
      <c r="L58" s="34" t="s">
        <v>80</v>
      </c>
      <c r="M58" s="34"/>
      <c r="N58" s="34"/>
      <c r="O58"/>
      <c r="W58" s="21"/>
    </row>
    <row r="59" spans="9:49" x14ac:dyDescent="0.25">
      <c r="J59" s="22"/>
      <c r="W59" s="21"/>
    </row>
    <row r="60" spans="9:49" x14ac:dyDescent="0.25">
      <c r="J60" s="20" t="s">
        <v>69</v>
      </c>
      <c r="L60" s="35"/>
      <c r="M60" s="36"/>
      <c r="N60" s="37"/>
      <c r="O60" s="23" t="s">
        <v>88</v>
      </c>
      <c r="W60" s="21"/>
    </row>
    <row r="61" spans="9:49" ht="4.5" customHeight="1" x14ac:dyDescent="0.25">
      <c r="J61" s="22"/>
      <c r="K61" s="24"/>
      <c r="L61"/>
      <c r="M61" s="25"/>
      <c r="N61"/>
      <c r="O61"/>
      <c r="W61" s="21"/>
    </row>
    <row r="62" spans="9:49" x14ac:dyDescent="0.25">
      <c r="J62" s="20" t="s">
        <v>70</v>
      </c>
      <c r="L62" s="35"/>
      <c r="M62" s="36"/>
      <c r="N62" s="37"/>
      <c r="O62" s="23" t="s">
        <v>89</v>
      </c>
      <c r="W62" s="21"/>
    </row>
    <row r="63" spans="9:49" ht="4.5" customHeight="1" x14ac:dyDescent="0.25">
      <c r="J63" s="22"/>
      <c r="K63" s="24"/>
      <c r="L63"/>
      <c r="M63" s="25"/>
      <c r="N63"/>
      <c r="O63"/>
      <c r="W63" s="21"/>
    </row>
    <row r="64" spans="9:49" x14ac:dyDescent="0.25">
      <c r="J64" s="20" t="s">
        <v>71</v>
      </c>
      <c r="L64" s="35" t="s">
        <v>18</v>
      </c>
      <c r="M64" s="36"/>
      <c r="N64" s="37"/>
      <c r="O64" s="23" t="s">
        <v>90</v>
      </c>
      <c r="W64" s="21"/>
    </row>
    <row r="65" spans="10:23" ht="4.5" customHeight="1" x14ac:dyDescent="0.25">
      <c r="J65" s="22"/>
      <c r="K65" s="24"/>
      <c r="L65"/>
      <c r="M65" s="25"/>
      <c r="N65"/>
      <c r="O65"/>
      <c r="W65" s="21"/>
    </row>
    <row r="66" spans="10:23" x14ac:dyDescent="0.25">
      <c r="J66" s="20" t="s">
        <v>84</v>
      </c>
      <c r="L66" s="35" t="str">
        <f ca="1">_xll.SUBNM(db_name&amp;":programme","default",1,"code and description")</f>
        <v/>
      </c>
      <c r="M66" s="36"/>
      <c r="N66" s="37"/>
      <c r="W66" s="21"/>
    </row>
    <row r="67" spans="10:23" ht="4.5" customHeight="1" x14ac:dyDescent="0.25">
      <c r="J67" s="22"/>
      <c r="K67" s="24"/>
      <c r="L67"/>
      <c r="M67" s="25"/>
      <c r="N67"/>
      <c r="O67"/>
      <c r="W67" s="21"/>
    </row>
    <row r="68" spans="10:23" x14ac:dyDescent="0.25">
      <c r="J68" s="22"/>
      <c r="W68" s="21"/>
    </row>
    <row r="69" spans="10:23" x14ac:dyDescent="0.25">
      <c r="J69" s="26" t="s">
        <v>79</v>
      </c>
      <c r="W69" s="21"/>
    </row>
    <row r="70" spans="10:23" ht="4.5" customHeight="1" x14ac:dyDescent="0.25">
      <c r="J70" s="22"/>
      <c r="K70" s="24"/>
      <c r="L70"/>
      <c r="M70" s="25"/>
      <c r="N70"/>
      <c r="O70"/>
      <c r="W70" s="21"/>
    </row>
    <row r="71" spans="10:23" x14ac:dyDescent="0.25">
      <c r="J71" s="20" t="s">
        <v>74</v>
      </c>
      <c r="L71" s="35" t="str">
        <f ca="1">_xll.SUBNM(db_name&amp;":Outcome","",1,"code and description")</f>
        <v/>
      </c>
      <c r="M71" s="36"/>
      <c r="N71" s="37"/>
      <c r="O71" s="23" t="s">
        <v>87</v>
      </c>
      <c r="P71" s="27"/>
      <c r="W71" s="21"/>
    </row>
    <row r="72" spans="10:23" ht="4.5" customHeight="1" x14ac:dyDescent="0.25">
      <c r="J72" s="22"/>
      <c r="K72" s="24"/>
      <c r="L72"/>
      <c r="M72" s="25"/>
      <c r="N72"/>
      <c r="O72" s="27"/>
      <c r="P72" s="27"/>
      <c r="W72" s="21"/>
    </row>
    <row r="73" spans="10:23" x14ac:dyDescent="0.25">
      <c r="J73" s="20" t="s">
        <v>77</v>
      </c>
      <c r="L73" s="35"/>
      <c r="M73" s="36"/>
      <c r="N73" s="37"/>
      <c r="O73" s="23" t="s">
        <v>87</v>
      </c>
      <c r="P73" s="27"/>
      <c r="W73" s="21"/>
    </row>
    <row r="74" spans="10:23" ht="4.5" customHeight="1" x14ac:dyDescent="0.25">
      <c r="J74" s="22"/>
      <c r="K74" s="24"/>
      <c r="L74"/>
      <c r="M74" s="25"/>
      <c r="N74"/>
      <c r="O74" s="27"/>
      <c r="P74" s="27"/>
      <c r="W74" s="21"/>
    </row>
    <row r="75" spans="10:23" ht="14.25" customHeight="1" x14ac:dyDescent="0.25">
      <c r="J75" s="20" t="s">
        <v>78</v>
      </c>
      <c r="L75" s="35" t="str">
        <f ca="1">_xll.SUBNM(db_name&amp;":Function","",1,"code and description")</f>
        <v/>
      </c>
      <c r="M75" s="36"/>
      <c r="N75" s="37"/>
      <c r="O75" s="23" t="s">
        <v>87</v>
      </c>
      <c r="P75" s="27"/>
      <c r="W75" s="21"/>
    </row>
    <row r="76" spans="10:23" ht="4.5" customHeight="1" x14ac:dyDescent="0.25">
      <c r="J76" s="22"/>
      <c r="K76" s="24"/>
      <c r="L76"/>
      <c r="M76" s="25"/>
      <c r="N76"/>
      <c r="O76" s="27"/>
      <c r="P76" s="27"/>
      <c r="W76" s="21"/>
    </row>
    <row r="77" spans="10:23" x14ac:dyDescent="0.25">
      <c r="J77" s="20" t="s">
        <v>75</v>
      </c>
      <c r="L77" s="35" t="str">
        <f ca="1">_xll.SUBNM(db_name&amp;":Appropriation Item","",1,"code and description")</f>
        <v/>
      </c>
      <c r="M77" s="36"/>
      <c r="N77" s="37"/>
      <c r="O77" s="23" t="s">
        <v>87</v>
      </c>
      <c r="P77" s="27"/>
      <c r="W77" s="21"/>
    </row>
    <row r="78" spans="10:23" ht="4.5" customHeight="1" x14ac:dyDescent="0.25">
      <c r="J78" s="22"/>
      <c r="K78" s="24"/>
      <c r="L78"/>
      <c r="M78" s="25"/>
      <c r="N78"/>
      <c r="O78" s="27"/>
      <c r="P78" s="27"/>
      <c r="W78" s="21"/>
    </row>
    <row r="79" spans="10:23" x14ac:dyDescent="0.25">
      <c r="J79" s="20" t="s">
        <v>76</v>
      </c>
      <c r="L79" s="35" t="str">
        <f ca="1">_xll.SUBNM(db_name&amp;":SPP","",1,"code and description")</f>
        <v/>
      </c>
      <c r="M79" s="36"/>
      <c r="N79" s="37"/>
      <c r="O79" s="23" t="s">
        <v>87</v>
      </c>
      <c r="P79" s="27"/>
      <c r="W79" s="21"/>
    </row>
    <row r="80" spans="10:23" ht="4.5" customHeight="1" x14ac:dyDescent="0.25">
      <c r="J80" s="22"/>
      <c r="K80" s="24"/>
      <c r="L80"/>
      <c r="M80" s="25"/>
      <c r="N80"/>
      <c r="O80"/>
      <c r="W80" s="21"/>
    </row>
    <row r="81" spans="10:23" x14ac:dyDescent="0.25">
      <c r="J81" s="28"/>
      <c r="K81" s="29"/>
      <c r="L81" s="30"/>
      <c r="M81" s="30"/>
      <c r="N81" s="30"/>
      <c r="O81" s="30"/>
      <c r="P81" s="29"/>
      <c r="Q81" s="29"/>
      <c r="R81" s="29"/>
      <c r="S81" s="29"/>
      <c r="T81" s="29"/>
      <c r="U81" s="29"/>
      <c r="V81" s="29"/>
      <c r="W81" s="31"/>
    </row>
    <row r="82" spans="10:23" x14ac:dyDescent="0.25">
      <c r="J82" s="15" t="s">
        <v>511</v>
      </c>
      <c r="K82" s="18"/>
      <c r="L82" s="17"/>
      <c r="M82" s="17"/>
      <c r="N82" s="17"/>
      <c r="O82" s="17"/>
      <c r="P82" s="18"/>
      <c r="Q82" s="18"/>
      <c r="R82" s="18"/>
      <c r="S82" s="18"/>
      <c r="T82" s="18"/>
      <c r="U82" s="18"/>
      <c r="V82" s="18"/>
      <c r="W82" s="19"/>
    </row>
    <row r="83" spans="10:23" x14ac:dyDescent="0.25">
      <c r="J83" s="33"/>
      <c r="L83" s="34" t="s">
        <v>80</v>
      </c>
      <c r="M83" s="34"/>
      <c r="N83" s="34"/>
      <c r="W83" s="21"/>
    </row>
    <row r="84" spans="10:23" ht="4.5" customHeight="1" x14ac:dyDescent="0.25">
      <c r="J84" s="20"/>
      <c r="W84" s="21"/>
    </row>
    <row r="85" spans="10:23" x14ac:dyDescent="0.25">
      <c r="J85" s="20" t="s">
        <v>100</v>
      </c>
      <c r="L85" s="35" t="str">
        <f ca="1">_xll.DBRW($B$35,psUser,$B$39,$D$35)</f>
        <v/>
      </c>
      <c r="M85" s="36"/>
      <c r="N85" s="37"/>
      <c r="O85" s="23" t="str">
        <f ca="1">_xll.DBRW($B$45,psMethod,$D$45)</f>
        <v/>
      </c>
      <c r="W85" s="21"/>
    </row>
    <row r="86" spans="10:23" ht="4.5" customHeight="1" x14ac:dyDescent="0.25">
      <c r="J86" s="22"/>
      <c r="K86" s="24"/>
      <c r="L86"/>
      <c r="M86" s="25"/>
      <c r="N86"/>
      <c r="O86" s="27"/>
      <c r="P86" s="27"/>
      <c r="W86" s="21"/>
    </row>
    <row r="87" spans="10:23" x14ac:dyDescent="0.25">
      <c r="J87" s="20" t="s">
        <v>101</v>
      </c>
      <c r="L87" s="35" t="str">
        <f ca="1">_xll.DBRW($B$35,psUser,$B$40,$D$35)</f>
        <v/>
      </c>
      <c r="M87" s="36"/>
      <c r="N87" s="37"/>
      <c r="P87" s="32" t="s">
        <v>509</v>
      </c>
      <c r="R87" s="35" t="str">
        <f ca="1">_xll.DBRW($B$35,psUser,$B$42,$D$35)</f>
        <v/>
      </c>
      <c r="S87" s="36"/>
      <c r="T87" s="37"/>
      <c r="U87" s="23" t="s">
        <v>514</v>
      </c>
      <c r="W87" s="21"/>
    </row>
    <row r="88" spans="10:23" ht="4.5" customHeight="1" x14ac:dyDescent="0.25">
      <c r="J88" s="22"/>
      <c r="K88" s="24"/>
      <c r="L88"/>
      <c r="M88" s="25"/>
      <c r="N88"/>
      <c r="O88" s="27"/>
      <c r="P88" s="27"/>
      <c r="W88" s="21"/>
    </row>
    <row r="89" spans="10:23" x14ac:dyDescent="0.25">
      <c r="J89" s="20" t="s">
        <v>508</v>
      </c>
      <c r="L89" s="35" t="str">
        <f ca="1">_xll.DBRW($B$35,psUser,$B$41,$D$35)</f>
        <v/>
      </c>
      <c r="M89" s="36"/>
      <c r="N89" s="37"/>
      <c r="P89" s="32"/>
      <c r="R89" s="32"/>
      <c r="S89" s="32"/>
      <c r="T89" s="32"/>
      <c r="W89" s="21"/>
    </row>
    <row r="90" spans="10:23" ht="4.5" customHeight="1" x14ac:dyDescent="0.25">
      <c r="J90" s="22"/>
      <c r="K90" s="24"/>
      <c r="L90"/>
      <c r="M90" s="25"/>
      <c r="N90"/>
      <c r="O90" s="27"/>
      <c r="P90" s="27"/>
      <c r="W90" s="21"/>
    </row>
    <row r="91" spans="10:23" x14ac:dyDescent="0.25">
      <c r="J91" s="20" t="s">
        <v>512</v>
      </c>
      <c r="L91" s="41" t="str">
        <f ca="1">_xll.DBRW($B$35,psUser,$B$43,$D$35)</f>
        <v/>
      </c>
      <c r="M91" s="42"/>
      <c r="N91" s="43"/>
      <c r="O91" s="23"/>
      <c r="W91" s="21"/>
    </row>
    <row r="92" spans="10:23" x14ac:dyDescent="0.25">
      <c r="J92" s="22"/>
      <c r="W92" s="21"/>
    </row>
    <row r="93" spans="10:23" x14ac:dyDescent="0.25">
      <c r="J93" s="22"/>
      <c r="W93" s="21"/>
    </row>
    <row r="94" spans="10:23" x14ac:dyDescent="0.25">
      <c r="J94" s="28"/>
      <c r="K94" s="29"/>
      <c r="L94" s="30"/>
      <c r="M94" s="30"/>
      <c r="N94" s="30"/>
      <c r="O94" s="30"/>
      <c r="P94" s="29"/>
      <c r="Q94" s="29"/>
      <c r="R94" s="29"/>
      <c r="S94" s="29"/>
      <c r="T94" s="29"/>
      <c r="U94" s="29"/>
      <c r="V94" s="29"/>
      <c r="W94" s="31"/>
    </row>
  </sheetData>
  <sheetProtection sheet="1" objects="1" scenarios="1"/>
  <mergeCells count="21">
    <mergeCell ref="L91:N91"/>
    <mergeCell ref="L85:N85"/>
    <mergeCell ref="L87:N87"/>
    <mergeCell ref="L89:N89"/>
    <mergeCell ref="R87:T87"/>
    <mergeCell ref="L58:N58"/>
    <mergeCell ref="B2:D2"/>
    <mergeCell ref="B10:D10"/>
    <mergeCell ref="B18:D18"/>
    <mergeCell ref="B32:D32"/>
    <mergeCell ref="B44:D44"/>
    <mergeCell ref="L60:N60"/>
    <mergeCell ref="L62:N62"/>
    <mergeCell ref="L64:N64"/>
    <mergeCell ref="L66:N66"/>
    <mergeCell ref="L71:N71"/>
    <mergeCell ref="L83:N83"/>
    <mergeCell ref="L77:N77"/>
    <mergeCell ref="L79:N79"/>
    <mergeCell ref="L75:N75"/>
    <mergeCell ref="L73:N73"/>
  </mergeCells>
  <conditionalFormatting sqref="L89:N89">
    <cfRule type="expression" dxfId="4" priority="4">
      <formula>OR(psMethodIndex =3,psMethodIndex =4)</formula>
    </cfRule>
    <cfRule type="cellIs" dxfId="3" priority="5" operator="equal">
      <formula>"Root Member"</formula>
    </cfRule>
  </conditionalFormatting>
  <conditionalFormatting sqref="L91:N91">
    <cfRule type="expression" dxfId="2" priority="1">
      <formula>OR(psMethodIndex = 3,psMethodIndex =4)</formula>
    </cfRule>
  </conditionalFormatting>
  <conditionalFormatting sqref="R87:T87">
    <cfRule type="expression" dxfId="1" priority="2">
      <formula>OR(psMethodIndex =3,psMethodIndex =4)</formula>
    </cfRule>
  </conditionalFormatting>
  <conditionalFormatting sqref="T87">
    <cfRule type="cellIs" dxfId="0" priority="3" operator="equal">
      <formula>"Root Member"</formula>
    </cfRule>
  </conditionalFormatting>
  <dataValidations count="1">
    <dataValidation type="list" allowBlank="1" showInputMessage="1" showErrorMessage="1" sqref="L64:N64" xr:uid="{3C7A1ACA-452C-46AE-8C6B-F72F2F6910DD}">
      <formula1>sTypeOption</formula1>
    </dataValidation>
  </dataValidations>
  <pageMargins left="0.70866141732283472" right="0.70866141732283472" top="0.74803149606299213" bottom="0.74803149606299213" header="0.31496062992125984" footer="0.31496062992125984"/>
  <pageSetup paperSize="9" scale="26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37" r:id="rId4" name="TIButton9">
          <controlPr defaultSize="0" print="0" autoLine="0" r:id="rId5">
            <anchor moveWithCells="1" sizeWithCells="1">
              <from>
                <xdr:col>14</xdr:col>
                <xdr:colOff>190500</xdr:colOff>
                <xdr:row>81</xdr:row>
                <xdr:rowOff>161925</xdr:rowOff>
              </from>
              <to>
                <xdr:col>15</xdr:col>
                <xdr:colOff>428625</xdr:colOff>
                <xdr:row>83</xdr:row>
                <xdr:rowOff>28575</xdr:rowOff>
              </to>
            </anchor>
          </controlPr>
        </control>
      </mc:Choice>
      <mc:Fallback>
        <control shapeId="1037" r:id="rId4" name="TIButton9"/>
      </mc:Fallback>
    </mc:AlternateContent>
    <mc:AlternateContent xmlns:mc="http://schemas.openxmlformats.org/markup-compatibility/2006">
      <mc:Choice Requires="x14">
        <control shapeId="1030" r:id="rId6" name="TIButton6">
          <controlPr defaultSize="0" print="0" autoLine="0" autoPict="0" r:id="rId7">
            <anchor moveWithCells="1" sizeWithCells="1">
              <from>
                <xdr:col>9</xdr:col>
                <xdr:colOff>3352800</xdr:colOff>
                <xdr:row>53</xdr:row>
                <xdr:rowOff>0</xdr:rowOff>
              </from>
              <to>
                <xdr:col>10</xdr:col>
                <xdr:colOff>9525</xdr:colOff>
                <xdr:row>53</xdr:row>
                <xdr:rowOff>247650</xdr:rowOff>
              </to>
            </anchor>
          </controlPr>
        </control>
      </mc:Choice>
      <mc:Fallback>
        <control shapeId="1030" r:id="rId6" name="TIButton6"/>
      </mc:Fallback>
    </mc:AlternateContent>
    <mc:AlternateContent xmlns:mc="http://schemas.openxmlformats.org/markup-compatibility/2006">
      <mc:Choice Requires="x14">
        <control shapeId="1029" r:id="rId8" name="TIButton5">
          <controlPr defaultSize="0" print="0" autoLine="0" autoPict="0" r:id="rId9">
            <anchor moveWithCells="1" sizeWithCells="1">
              <from>
                <xdr:col>16</xdr:col>
                <xdr:colOff>428625</xdr:colOff>
                <xdr:row>52</xdr:row>
                <xdr:rowOff>38100</xdr:rowOff>
              </from>
              <to>
                <xdr:col>16</xdr:col>
                <xdr:colOff>742950</xdr:colOff>
                <xdr:row>53</xdr:row>
                <xdr:rowOff>295275</xdr:rowOff>
              </to>
            </anchor>
          </controlPr>
        </control>
      </mc:Choice>
      <mc:Fallback>
        <control shapeId="1029" r:id="rId8" name="TIButton5"/>
      </mc:Fallback>
    </mc:AlternateContent>
    <mc:AlternateContent xmlns:mc="http://schemas.openxmlformats.org/markup-compatibility/2006">
      <mc:Choice Requires="x14">
        <control shapeId="1028" r:id="rId10" name="TIButton4">
          <controlPr defaultSize="0" print="0" autoLine="0" r:id="rId11">
            <anchor moveWithCells="1" sizeWithCells="1">
              <from>
                <xdr:col>12</xdr:col>
                <xdr:colOff>561975</xdr:colOff>
                <xdr:row>53</xdr:row>
                <xdr:rowOff>0</xdr:rowOff>
              </from>
              <to>
                <xdr:col>13</xdr:col>
                <xdr:colOff>161925</xdr:colOff>
                <xdr:row>53</xdr:row>
                <xdr:rowOff>247650</xdr:rowOff>
              </to>
            </anchor>
          </controlPr>
        </control>
      </mc:Choice>
      <mc:Fallback>
        <control shapeId="1028" r:id="rId10" name="TIButton4"/>
      </mc:Fallback>
    </mc:AlternateContent>
    <mc:AlternateContent xmlns:mc="http://schemas.openxmlformats.org/markup-compatibility/2006">
      <mc:Choice Requires="x14">
        <control shapeId="1027" r:id="rId12" name="TIButton3">
          <controlPr defaultSize="0" print="0" autoLine="0" autoPict="0" r:id="rId13">
            <anchor moveWithCells="1" sizeWithCells="1">
              <from>
                <xdr:col>9</xdr:col>
                <xdr:colOff>1838325</xdr:colOff>
                <xdr:row>53</xdr:row>
                <xdr:rowOff>0</xdr:rowOff>
              </from>
              <to>
                <xdr:col>9</xdr:col>
                <xdr:colOff>3333750</xdr:colOff>
                <xdr:row>53</xdr:row>
                <xdr:rowOff>247650</xdr:rowOff>
              </to>
            </anchor>
          </controlPr>
        </control>
      </mc:Choice>
      <mc:Fallback>
        <control shapeId="1027" r:id="rId12" name="TIButton3"/>
      </mc:Fallback>
    </mc:AlternateContent>
    <mc:AlternateContent xmlns:mc="http://schemas.openxmlformats.org/markup-compatibility/2006">
      <mc:Choice Requires="x14">
        <control shapeId="1026" r:id="rId14" name="TIButton2">
          <controlPr defaultSize="0" print="0" autoLine="0" autoPict="0" r:id="rId15">
            <anchor moveWithCells="1" sizeWithCells="1">
              <from>
                <xdr:col>9</xdr:col>
                <xdr:colOff>676275</xdr:colOff>
                <xdr:row>53</xdr:row>
                <xdr:rowOff>0</xdr:rowOff>
              </from>
              <to>
                <xdr:col>9</xdr:col>
                <xdr:colOff>1800225</xdr:colOff>
                <xdr:row>53</xdr:row>
                <xdr:rowOff>247650</xdr:rowOff>
              </to>
            </anchor>
          </controlPr>
        </control>
      </mc:Choice>
      <mc:Fallback>
        <control shapeId="1026" r:id="rId14" name="TIButton2"/>
      </mc:Fallback>
    </mc:AlternateContent>
    <mc:AlternateContent xmlns:mc="http://schemas.openxmlformats.org/markup-compatibility/2006">
      <mc:Choice Requires="x14">
        <control shapeId="1025" r:id="rId16" name="TIButton1">
          <controlPr defaultSize="0" print="0" autoLine="0" autoPict="0" r:id="rId17">
            <anchor moveWithCells="1" sizeWithCells="1">
              <from>
                <xdr:col>9</xdr:col>
                <xdr:colOff>0</xdr:colOff>
                <xdr:row>53</xdr:row>
                <xdr:rowOff>0</xdr:rowOff>
              </from>
              <to>
                <xdr:col>9</xdr:col>
                <xdr:colOff>638175</xdr:colOff>
                <xdr:row>53</xdr:row>
                <xdr:rowOff>247650</xdr:rowOff>
              </to>
            </anchor>
          </controlPr>
        </control>
      </mc:Choice>
      <mc:Fallback>
        <control shapeId="1025" r:id="rId16" name="TIButton1"/>
      </mc:Fallback>
    </mc:AlternateContent>
    <mc:AlternateContent xmlns:mc="http://schemas.openxmlformats.org/markup-compatibility/2006">
      <mc:Choice Requires="x14">
        <control shapeId="1032" r:id="rId18" name="TIButton7">
          <controlPr defaultSize="0" print="0" autoLine="0" r:id="rId19">
            <anchor moveWithCells="1" sizeWithCells="1">
              <from>
                <xdr:col>14</xdr:col>
                <xdr:colOff>209550</xdr:colOff>
                <xdr:row>56</xdr:row>
                <xdr:rowOff>47625</xdr:rowOff>
              </from>
              <to>
                <xdr:col>15</xdr:col>
                <xdr:colOff>323850</xdr:colOff>
                <xdr:row>58</xdr:row>
                <xdr:rowOff>47625</xdr:rowOff>
              </to>
            </anchor>
          </controlPr>
        </control>
      </mc:Choice>
      <mc:Fallback>
        <control shapeId="1032" r:id="rId18" name="TIButton7"/>
      </mc:Fallback>
    </mc:AlternateContent>
    <mc:AlternateContent xmlns:mc="http://schemas.openxmlformats.org/markup-compatibility/2006">
      <mc:Choice Requires="x14">
        <control shapeId="1033" r:id="rId20" name="TIButton8">
          <controlPr defaultSize="0" print="0" autoLine="0" autoPict="0" r:id="rId21">
            <anchor moveWithCells="1" sizeWithCells="1">
              <from>
                <xdr:col>11</xdr:col>
                <xdr:colOff>19050</xdr:colOff>
                <xdr:row>53</xdr:row>
                <xdr:rowOff>0</xdr:rowOff>
              </from>
              <to>
                <xdr:col>12</xdr:col>
                <xdr:colOff>523875</xdr:colOff>
                <xdr:row>53</xdr:row>
                <xdr:rowOff>247650</xdr:rowOff>
              </to>
            </anchor>
          </controlPr>
        </control>
      </mc:Choice>
      <mc:Fallback>
        <control shapeId="1033" r:id="rId20" name="TIButton8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B82FE-EF89-4769-93D9-1DE8DBC6869F}">
  <sheetPr codeName="Sheet2"/>
  <dimension ref="A1:A894"/>
  <sheetViews>
    <sheetView workbookViewId="0"/>
  </sheetViews>
  <sheetFormatPr defaultRowHeight="15" x14ac:dyDescent="0.25"/>
  <sheetData>
    <row r="1" spans="1:1" x14ac:dyDescent="0.25">
      <c r="A1" t="s">
        <v>517</v>
      </c>
    </row>
    <row r="2" spans="1:1" x14ac:dyDescent="0.25">
      <c r="A2" t="s">
        <v>518</v>
      </c>
    </row>
    <row r="3" spans="1:1" x14ac:dyDescent="0.25">
      <c r="A3" t="s">
        <v>519</v>
      </c>
    </row>
    <row r="4" spans="1:1" x14ac:dyDescent="0.25">
      <c r="A4" t="s">
        <v>102</v>
      </c>
    </row>
    <row r="5" spans="1:1" x14ac:dyDescent="0.25">
      <c r="A5" t="s">
        <v>103</v>
      </c>
    </row>
    <row r="6" spans="1:1" x14ac:dyDescent="0.25">
      <c r="A6" t="s">
        <v>520</v>
      </c>
    </row>
    <row r="7" spans="1:1" x14ac:dyDescent="0.25">
      <c r="A7" t="s">
        <v>521</v>
      </c>
    </row>
    <row r="8" spans="1:1" x14ac:dyDescent="0.25">
      <c r="A8" t="s">
        <v>522</v>
      </c>
    </row>
    <row r="9" spans="1:1" x14ac:dyDescent="0.25">
      <c r="A9" t="s">
        <v>523</v>
      </c>
    </row>
    <row r="10" spans="1:1" x14ac:dyDescent="0.25">
      <c r="A10" t="s">
        <v>524</v>
      </c>
    </row>
    <row r="11" spans="1:1" x14ac:dyDescent="0.25">
      <c r="A11" t="s">
        <v>525</v>
      </c>
    </row>
    <row r="12" spans="1:1" x14ac:dyDescent="0.25">
      <c r="A12" t="s">
        <v>526</v>
      </c>
    </row>
    <row r="13" spans="1:1" x14ac:dyDescent="0.25">
      <c r="A13" t="s">
        <v>527</v>
      </c>
    </row>
    <row r="14" spans="1:1" x14ac:dyDescent="0.25">
      <c r="A14" t="s">
        <v>104</v>
      </c>
    </row>
    <row r="15" spans="1:1" x14ac:dyDescent="0.25">
      <c r="A15" t="s">
        <v>528</v>
      </c>
    </row>
    <row r="16" spans="1:1" x14ac:dyDescent="0.25">
      <c r="A16" t="s">
        <v>105</v>
      </c>
    </row>
    <row r="17" spans="1:1" x14ac:dyDescent="0.25">
      <c r="A17" t="s">
        <v>529</v>
      </c>
    </row>
    <row r="18" spans="1:1" x14ac:dyDescent="0.25">
      <c r="A18" t="s">
        <v>106</v>
      </c>
    </row>
    <row r="19" spans="1:1" x14ac:dyDescent="0.25">
      <c r="A19" t="s">
        <v>530</v>
      </c>
    </row>
    <row r="20" spans="1:1" x14ac:dyDescent="0.25">
      <c r="A20" t="s">
        <v>531</v>
      </c>
    </row>
    <row r="21" spans="1:1" x14ac:dyDescent="0.25">
      <c r="A21" t="s">
        <v>532</v>
      </c>
    </row>
    <row r="22" spans="1:1" x14ac:dyDescent="0.25">
      <c r="A22" t="s">
        <v>533</v>
      </c>
    </row>
    <row r="23" spans="1:1" x14ac:dyDescent="0.25">
      <c r="A23" t="s">
        <v>534</v>
      </c>
    </row>
    <row r="24" spans="1:1" x14ac:dyDescent="0.25">
      <c r="A24" t="s">
        <v>535</v>
      </c>
    </row>
    <row r="25" spans="1:1" x14ac:dyDescent="0.25">
      <c r="A25" t="s">
        <v>107</v>
      </c>
    </row>
    <row r="26" spans="1:1" x14ac:dyDescent="0.25">
      <c r="A26" t="s">
        <v>536</v>
      </c>
    </row>
    <row r="27" spans="1:1" x14ac:dyDescent="0.25">
      <c r="A27" t="s">
        <v>537</v>
      </c>
    </row>
    <row r="28" spans="1:1" x14ac:dyDescent="0.25">
      <c r="A28" t="s">
        <v>538</v>
      </c>
    </row>
    <row r="29" spans="1:1" x14ac:dyDescent="0.25">
      <c r="A29" t="s">
        <v>539</v>
      </c>
    </row>
    <row r="30" spans="1:1" x14ac:dyDescent="0.25">
      <c r="A30" t="s">
        <v>540</v>
      </c>
    </row>
    <row r="31" spans="1:1" x14ac:dyDescent="0.25">
      <c r="A31" t="s">
        <v>541</v>
      </c>
    </row>
    <row r="32" spans="1:1" x14ac:dyDescent="0.25">
      <c r="A32" t="s">
        <v>542</v>
      </c>
    </row>
    <row r="33" spans="1:1" x14ac:dyDescent="0.25">
      <c r="A33" t="s">
        <v>543</v>
      </c>
    </row>
    <row r="34" spans="1:1" x14ac:dyDescent="0.25">
      <c r="A34" t="s">
        <v>544</v>
      </c>
    </row>
    <row r="35" spans="1:1" x14ac:dyDescent="0.25">
      <c r="A35" t="s">
        <v>108</v>
      </c>
    </row>
    <row r="36" spans="1:1" x14ac:dyDescent="0.25">
      <c r="A36" t="s">
        <v>109</v>
      </c>
    </row>
    <row r="37" spans="1:1" x14ac:dyDescent="0.25">
      <c r="A37" t="s">
        <v>110</v>
      </c>
    </row>
    <row r="38" spans="1:1" x14ac:dyDescent="0.25">
      <c r="A38" t="s">
        <v>545</v>
      </c>
    </row>
    <row r="39" spans="1:1" x14ac:dyDescent="0.25">
      <c r="A39" t="s">
        <v>546</v>
      </c>
    </row>
    <row r="40" spans="1:1" x14ac:dyDescent="0.25">
      <c r="A40" t="s">
        <v>547</v>
      </c>
    </row>
    <row r="41" spans="1:1" x14ac:dyDescent="0.25">
      <c r="A41" t="s">
        <v>548</v>
      </c>
    </row>
    <row r="42" spans="1:1" x14ac:dyDescent="0.25">
      <c r="A42" t="s">
        <v>549</v>
      </c>
    </row>
    <row r="43" spans="1:1" x14ac:dyDescent="0.25">
      <c r="A43" t="s">
        <v>550</v>
      </c>
    </row>
    <row r="44" spans="1:1" x14ac:dyDescent="0.25">
      <c r="A44" t="s">
        <v>551</v>
      </c>
    </row>
    <row r="45" spans="1:1" x14ac:dyDescent="0.25">
      <c r="A45" t="s">
        <v>552</v>
      </c>
    </row>
    <row r="46" spans="1:1" x14ac:dyDescent="0.25">
      <c r="A46" t="s">
        <v>111</v>
      </c>
    </row>
    <row r="47" spans="1:1" x14ac:dyDescent="0.25">
      <c r="A47" t="s">
        <v>553</v>
      </c>
    </row>
    <row r="48" spans="1:1" x14ac:dyDescent="0.25">
      <c r="A48" t="s">
        <v>554</v>
      </c>
    </row>
    <row r="49" spans="1:1" x14ac:dyDescent="0.25">
      <c r="A49" t="s">
        <v>555</v>
      </c>
    </row>
    <row r="50" spans="1:1" x14ac:dyDescent="0.25">
      <c r="A50" t="s">
        <v>556</v>
      </c>
    </row>
    <row r="51" spans="1:1" x14ac:dyDescent="0.25">
      <c r="A51" t="s">
        <v>557</v>
      </c>
    </row>
    <row r="52" spans="1:1" x14ac:dyDescent="0.25">
      <c r="A52" t="s">
        <v>558</v>
      </c>
    </row>
    <row r="53" spans="1:1" x14ac:dyDescent="0.25">
      <c r="A53" t="s">
        <v>559</v>
      </c>
    </row>
    <row r="54" spans="1:1" x14ac:dyDescent="0.25">
      <c r="A54" t="s">
        <v>560</v>
      </c>
    </row>
    <row r="55" spans="1:1" x14ac:dyDescent="0.25">
      <c r="A55" t="s">
        <v>561</v>
      </c>
    </row>
    <row r="56" spans="1:1" x14ac:dyDescent="0.25">
      <c r="A56" t="s">
        <v>562</v>
      </c>
    </row>
    <row r="57" spans="1:1" x14ac:dyDescent="0.25">
      <c r="A57" t="s">
        <v>563</v>
      </c>
    </row>
    <row r="58" spans="1:1" x14ac:dyDescent="0.25">
      <c r="A58" t="s">
        <v>112</v>
      </c>
    </row>
    <row r="59" spans="1:1" x14ac:dyDescent="0.25">
      <c r="A59" t="s">
        <v>564</v>
      </c>
    </row>
    <row r="60" spans="1:1" x14ac:dyDescent="0.25">
      <c r="A60" t="s">
        <v>565</v>
      </c>
    </row>
    <row r="61" spans="1:1" x14ac:dyDescent="0.25">
      <c r="A61" t="s">
        <v>566</v>
      </c>
    </row>
    <row r="62" spans="1:1" x14ac:dyDescent="0.25">
      <c r="A62" t="s">
        <v>113</v>
      </c>
    </row>
    <row r="63" spans="1:1" x14ac:dyDescent="0.25">
      <c r="A63" t="s">
        <v>567</v>
      </c>
    </row>
    <row r="64" spans="1:1" x14ac:dyDescent="0.25">
      <c r="A64" t="s">
        <v>568</v>
      </c>
    </row>
    <row r="65" spans="1:1" x14ac:dyDescent="0.25">
      <c r="A65" t="s">
        <v>569</v>
      </c>
    </row>
    <row r="66" spans="1:1" x14ac:dyDescent="0.25">
      <c r="A66" t="s">
        <v>114</v>
      </c>
    </row>
    <row r="67" spans="1:1" x14ac:dyDescent="0.25">
      <c r="A67" t="s">
        <v>115</v>
      </c>
    </row>
    <row r="68" spans="1:1" x14ac:dyDescent="0.25">
      <c r="A68" t="s">
        <v>116</v>
      </c>
    </row>
    <row r="69" spans="1:1" x14ac:dyDescent="0.25">
      <c r="A69" t="s">
        <v>570</v>
      </c>
    </row>
    <row r="70" spans="1:1" x14ac:dyDescent="0.25">
      <c r="A70" t="s">
        <v>571</v>
      </c>
    </row>
    <row r="71" spans="1:1" x14ac:dyDescent="0.25">
      <c r="A71" t="s">
        <v>572</v>
      </c>
    </row>
    <row r="72" spans="1:1" x14ac:dyDescent="0.25">
      <c r="A72" t="s">
        <v>117</v>
      </c>
    </row>
    <row r="73" spans="1:1" x14ac:dyDescent="0.25">
      <c r="A73" t="s">
        <v>573</v>
      </c>
    </row>
    <row r="74" spans="1:1" x14ac:dyDescent="0.25">
      <c r="A74" t="s">
        <v>118</v>
      </c>
    </row>
    <row r="75" spans="1:1" x14ac:dyDescent="0.25">
      <c r="A75" t="s">
        <v>574</v>
      </c>
    </row>
    <row r="76" spans="1:1" x14ac:dyDescent="0.25">
      <c r="A76" t="s">
        <v>119</v>
      </c>
    </row>
    <row r="77" spans="1:1" x14ac:dyDescent="0.25">
      <c r="A77" t="s">
        <v>575</v>
      </c>
    </row>
    <row r="78" spans="1:1" x14ac:dyDescent="0.25">
      <c r="A78" t="s">
        <v>120</v>
      </c>
    </row>
    <row r="79" spans="1:1" x14ac:dyDescent="0.25">
      <c r="A79" t="s">
        <v>576</v>
      </c>
    </row>
    <row r="80" spans="1:1" x14ac:dyDescent="0.25">
      <c r="A80" t="s">
        <v>121</v>
      </c>
    </row>
    <row r="81" spans="1:1" x14ac:dyDescent="0.25">
      <c r="A81" t="s">
        <v>577</v>
      </c>
    </row>
    <row r="82" spans="1:1" x14ac:dyDescent="0.25">
      <c r="A82" t="s">
        <v>578</v>
      </c>
    </row>
    <row r="83" spans="1:1" x14ac:dyDescent="0.25">
      <c r="A83" t="s">
        <v>579</v>
      </c>
    </row>
    <row r="84" spans="1:1" x14ac:dyDescent="0.25">
      <c r="A84" t="s">
        <v>580</v>
      </c>
    </row>
    <row r="85" spans="1:1" x14ac:dyDescent="0.25">
      <c r="A85" t="s">
        <v>581</v>
      </c>
    </row>
    <row r="86" spans="1:1" x14ac:dyDescent="0.25">
      <c r="A86" t="s">
        <v>582</v>
      </c>
    </row>
    <row r="87" spans="1:1" x14ac:dyDescent="0.25">
      <c r="A87" t="s">
        <v>122</v>
      </c>
    </row>
    <row r="88" spans="1:1" x14ac:dyDescent="0.25">
      <c r="A88" t="s">
        <v>583</v>
      </c>
    </row>
    <row r="89" spans="1:1" x14ac:dyDescent="0.25">
      <c r="A89" t="s">
        <v>584</v>
      </c>
    </row>
    <row r="90" spans="1:1" x14ac:dyDescent="0.25">
      <c r="A90" t="s">
        <v>585</v>
      </c>
    </row>
    <row r="91" spans="1:1" x14ac:dyDescent="0.25">
      <c r="A91" t="s">
        <v>586</v>
      </c>
    </row>
    <row r="92" spans="1:1" x14ac:dyDescent="0.25">
      <c r="A92" t="s">
        <v>587</v>
      </c>
    </row>
    <row r="93" spans="1:1" x14ac:dyDescent="0.25">
      <c r="A93" t="s">
        <v>588</v>
      </c>
    </row>
    <row r="94" spans="1:1" x14ac:dyDescent="0.25">
      <c r="A94" t="s">
        <v>589</v>
      </c>
    </row>
    <row r="95" spans="1:1" x14ac:dyDescent="0.25">
      <c r="A95" t="s">
        <v>123</v>
      </c>
    </row>
    <row r="96" spans="1:1" x14ac:dyDescent="0.25">
      <c r="A96" t="s">
        <v>590</v>
      </c>
    </row>
    <row r="97" spans="1:1" x14ac:dyDescent="0.25">
      <c r="A97" t="s">
        <v>124</v>
      </c>
    </row>
    <row r="98" spans="1:1" x14ac:dyDescent="0.25">
      <c r="A98" t="s">
        <v>591</v>
      </c>
    </row>
    <row r="99" spans="1:1" x14ac:dyDescent="0.25">
      <c r="A99" t="s">
        <v>592</v>
      </c>
    </row>
    <row r="100" spans="1:1" x14ac:dyDescent="0.25">
      <c r="A100" t="s">
        <v>125</v>
      </c>
    </row>
    <row r="101" spans="1:1" x14ac:dyDescent="0.25">
      <c r="A101" t="s">
        <v>593</v>
      </c>
    </row>
    <row r="102" spans="1:1" x14ac:dyDescent="0.25">
      <c r="A102" t="s">
        <v>126</v>
      </c>
    </row>
    <row r="103" spans="1:1" x14ac:dyDescent="0.25">
      <c r="A103" t="s">
        <v>594</v>
      </c>
    </row>
    <row r="104" spans="1:1" x14ac:dyDescent="0.25">
      <c r="A104" t="s">
        <v>595</v>
      </c>
    </row>
    <row r="105" spans="1:1" x14ac:dyDescent="0.25">
      <c r="A105" t="s">
        <v>596</v>
      </c>
    </row>
    <row r="106" spans="1:1" x14ac:dyDescent="0.25">
      <c r="A106" t="s">
        <v>597</v>
      </c>
    </row>
    <row r="107" spans="1:1" x14ac:dyDescent="0.25">
      <c r="A107" t="s">
        <v>127</v>
      </c>
    </row>
    <row r="108" spans="1:1" x14ac:dyDescent="0.25">
      <c r="A108" t="s">
        <v>598</v>
      </c>
    </row>
    <row r="109" spans="1:1" x14ac:dyDescent="0.25">
      <c r="A109" t="s">
        <v>599</v>
      </c>
    </row>
    <row r="110" spans="1:1" x14ac:dyDescent="0.25">
      <c r="A110" t="s">
        <v>600</v>
      </c>
    </row>
    <row r="111" spans="1:1" x14ac:dyDescent="0.25">
      <c r="A111" t="s">
        <v>601</v>
      </c>
    </row>
    <row r="112" spans="1:1" x14ac:dyDescent="0.25">
      <c r="A112" t="s">
        <v>602</v>
      </c>
    </row>
    <row r="113" spans="1:1" x14ac:dyDescent="0.25">
      <c r="A113" t="s">
        <v>603</v>
      </c>
    </row>
    <row r="114" spans="1:1" x14ac:dyDescent="0.25">
      <c r="A114" t="s">
        <v>128</v>
      </c>
    </row>
    <row r="115" spans="1:1" x14ac:dyDescent="0.25">
      <c r="A115" t="s">
        <v>604</v>
      </c>
    </row>
    <row r="116" spans="1:1" x14ac:dyDescent="0.25">
      <c r="A116" t="s">
        <v>129</v>
      </c>
    </row>
    <row r="117" spans="1:1" x14ac:dyDescent="0.25">
      <c r="A117" t="s">
        <v>130</v>
      </c>
    </row>
    <row r="118" spans="1:1" x14ac:dyDescent="0.25">
      <c r="A118" t="s">
        <v>131</v>
      </c>
    </row>
    <row r="119" spans="1:1" x14ac:dyDescent="0.25">
      <c r="A119" t="s">
        <v>605</v>
      </c>
    </row>
    <row r="120" spans="1:1" x14ac:dyDescent="0.25">
      <c r="A120" t="s">
        <v>606</v>
      </c>
    </row>
    <row r="121" spans="1:1" x14ac:dyDescent="0.25">
      <c r="A121" t="s">
        <v>607</v>
      </c>
    </row>
    <row r="122" spans="1:1" x14ac:dyDescent="0.25">
      <c r="A122" t="s">
        <v>608</v>
      </c>
    </row>
    <row r="123" spans="1:1" x14ac:dyDescent="0.25">
      <c r="A123" t="s">
        <v>609</v>
      </c>
    </row>
    <row r="124" spans="1:1" x14ac:dyDescent="0.25">
      <c r="A124" t="s">
        <v>610</v>
      </c>
    </row>
    <row r="125" spans="1:1" x14ac:dyDescent="0.25">
      <c r="A125" t="s">
        <v>611</v>
      </c>
    </row>
    <row r="126" spans="1:1" x14ac:dyDescent="0.25">
      <c r="A126" t="s">
        <v>612</v>
      </c>
    </row>
    <row r="127" spans="1:1" x14ac:dyDescent="0.25">
      <c r="A127" t="s">
        <v>132</v>
      </c>
    </row>
    <row r="128" spans="1:1" x14ac:dyDescent="0.25">
      <c r="A128" t="s">
        <v>133</v>
      </c>
    </row>
    <row r="129" spans="1:1" x14ac:dyDescent="0.25">
      <c r="A129" t="s">
        <v>134</v>
      </c>
    </row>
    <row r="130" spans="1:1" x14ac:dyDescent="0.25">
      <c r="A130" t="s">
        <v>135</v>
      </c>
    </row>
    <row r="131" spans="1:1" x14ac:dyDescent="0.25">
      <c r="A131" t="s">
        <v>136</v>
      </c>
    </row>
    <row r="132" spans="1:1" x14ac:dyDescent="0.25">
      <c r="A132" t="s">
        <v>137</v>
      </c>
    </row>
    <row r="133" spans="1:1" x14ac:dyDescent="0.25">
      <c r="A133" t="s">
        <v>138</v>
      </c>
    </row>
    <row r="134" spans="1:1" x14ac:dyDescent="0.25">
      <c r="A134" t="s">
        <v>139</v>
      </c>
    </row>
    <row r="135" spans="1:1" x14ac:dyDescent="0.25">
      <c r="A135" t="s">
        <v>140</v>
      </c>
    </row>
    <row r="136" spans="1:1" x14ac:dyDescent="0.25">
      <c r="A136" t="s">
        <v>141</v>
      </c>
    </row>
    <row r="137" spans="1:1" x14ac:dyDescent="0.25">
      <c r="A137" t="s">
        <v>142</v>
      </c>
    </row>
    <row r="138" spans="1:1" x14ac:dyDescent="0.25">
      <c r="A138" t="s">
        <v>143</v>
      </c>
    </row>
    <row r="139" spans="1:1" x14ac:dyDescent="0.25">
      <c r="A139" t="s">
        <v>144</v>
      </c>
    </row>
    <row r="140" spans="1:1" x14ac:dyDescent="0.25">
      <c r="A140" t="s">
        <v>145</v>
      </c>
    </row>
    <row r="141" spans="1:1" x14ac:dyDescent="0.25">
      <c r="A141" t="s">
        <v>146</v>
      </c>
    </row>
    <row r="142" spans="1:1" x14ac:dyDescent="0.25">
      <c r="A142" t="s">
        <v>147</v>
      </c>
    </row>
    <row r="143" spans="1:1" x14ac:dyDescent="0.25">
      <c r="A143" t="s">
        <v>148</v>
      </c>
    </row>
    <row r="144" spans="1:1" x14ac:dyDescent="0.25">
      <c r="A144" t="s">
        <v>149</v>
      </c>
    </row>
    <row r="145" spans="1:1" x14ac:dyDescent="0.25">
      <c r="A145" t="s">
        <v>150</v>
      </c>
    </row>
    <row r="146" spans="1:1" x14ac:dyDescent="0.25">
      <c r="A146" t="s">
        <v>151</v>
      </c>
    </row>
    <row r="147" spans="1:1" x14ac:dyDescent="0.25">
      <c r="A147" t="s">
        <v>152</v>
      </c>
    </row>
    <row r="148" spans="1:1" x14ac:dyDescent="0.25">
      <c r="A148" t="s">
        <v>153</v>
      </c>
    </row>
    <row r="149" spans="1:1" x14ac:dyDescent="0.25">
      <c r="A149" t="s">
        <v>154</v>
      </c>
    </row>
    <row r="150" spans="1:1" x14ac:dyDescent="0.25">
      <c r="A150" t="s">
        <v>155</v>
      </c>
    </row>
    <row r="151" spans="1:1" x14ac:dyDescent="0.25">
      <c r="A151" t="s">
        <v>156</v>
      </c>
    </row>
    <row r="152" spans="1:1" x14ac:dyDescent="0.25">
      <c r="A152" t="s">
        <v>157</v>
      </c>
    </row>
    <row r="153" spans="1:1" x14ac:dyDescent="0.25">
      <c r="A153" t="s">
        <v>158</v>
      </c>
    </row>
    <row r="154" spans="1:1" x14ac:dyDescent="0.25">
      <c r="A154" t="s">
        <v>159</v>
      </c>
    </row>
    <row r="155" spans="1:1" x14ac:dyDescent="0.25">
      <c r="A155" t="s">
        <v>160</v>
      </c>
    </row>
    <row r="156" spans="1:1" x14ac:dyDescent="0.25">
      <c r="A156" t="s">
        <v>161</v>
      </c>
    </row>
    <row r="157" spans="1:1" x14ac:dyDescent="0.25">
      <c r="A157" t="s">
        <v>162</v>
      </c>
    </row>
    <row r="158" spans="1:1" x14ac:dyDescent="0.25">
      <c r="A158" t="s">
        <v>163</v>
      </c>
    </row>
    <row r="159" spans="1:1" x14ac:dyDescent="0.25">
      <c r="A159" t="s">
        <v>164</v>
      </c>
    </row>
    <row r="160" spans="1:1" x14ac:dyDescent="0.25">
      <c r="A160" t="s">
        <v>165</v>
      </c>
    </row>
    <row r="161" spans="1:1" x14ac:dyDescent="0.25">
      <c r="A161" t="s">
        <v>166</v>
      </c>
    </row>
    <row r="162" spans="1:1" x14ac:dyDescent="0.25">
      <c r="A162" t="s">
        <v>167</v>
      </c>
    </row>
    <row r="163" spans="1:1" x14ac:dyDescent="0.25">
      <c r="A163" t="s">
        <v>168</v>
      </c>
    </row>
    <row r="164" spans="1:1" x14ac:dyDescent="0.25">
      <c r="A164" t="s">
        <v>169</v>
      </c>
    </row>
    <row r="165" spans="1:1" x14ac:dyDescent="0.25">
      <c r="A165" t="s">
        <v>170</v>
      </c>
    </row>
    <row r="166" spans="1:1" x14ac:dyDescent="0.25">
      <c r="A166" t="s">
        <v>171</v>
      </c>
    </row>
    <row r="167" spans="1:1" x14ac:dyDescent="0.25">
      <c r="A167" t="s">
        <v>172</v>
      </c>
    </row>
    <row r="168" spans="1:1" x14ac:dyDescent="0.25">
      <c r="A168" t="s">
        <v>173</v>
      </c>
    </row>
    <row r="169" spans="1:1" x14ac:dyDescent="0.25">
      <c r="A169" t="s">
        <v>174</v>
      </c>
    </row>
    <row r="170" spans="1:1" x14ac:dyDescent="0.25">
      <c r="A170" t="s">
        <v>175</v>
      </c>
    </row>
    <row r="171" spans="1:1" x14ac:dyDescent="0.25">
      <c r="A171" t="s">
        <v>176</v>
      </c>
    </row>
    <row r="172" spans="1:1" x14ac:dyDescent="0.25">
      <c r="A172" t="s">
        <v>177</v>
      </c>
    </row>
    <row r="173" spans="1:1" x14ac:dyDescent="0.25">
      <c r="A173" t="s">
        <v>178</v>
      </c>
    </row>
    <row r="174" spans="1:1" x14ac:dyDescent="0.25">
      <c r="A174" t="s">
        <v>179</v>
      </c>
    </row>
    <row r="175" spans="1:1" x14ac:dyDescent="0.25">
      <c r="A175" t="s">
        <v>180</v>
      </c>
    </row>
    <row r="176" spans="1:1" x14ac:dyDescent="0.25">
      <c r="A176" t="s">
        <v>181</v>
      </c>
    </row>
    <row r="177" spans="1:1" x14ac:dyDescent="0.25">
      <c r="A177" t="s">
        <v>182</v>
      </c>
    </row>
    <row r="178" spans="1:1" x14ac:dyDescent="0.25">
      <c r="A178" t="s">
        <v>183</v>
      </c>
    </row>
    <row r="179" spans="1:1" x14ac:dyDescent="0.25">
      <c r="A179" t="s">
        <v>184</v>
      </c>
    </row>
    <row r="180" spans="1:1" x14ac:dyDescent="0.25">
      <c r="A180" t="s">
        <v>185</v>
      </c>
    </row>
    <row r="181" spans="1:1" x14ac:dyDescent="0.25">
      <c r="A181" t="s">
        <v>186</v>
      </c>
    </row>
    <row r="182" spans="1:1" x14ac:dyDescent="0.25">
      <c r="A182" t="s">
        <v>187</v>
      </c>
    </row>
    <row r="183" spans="1:1" x14ac:dyDescent="0.25">
      <c r="A183" t="s">
        <v>188</v>
      </c>
    </row>
    <row r="184" spans="1:1" x14ac:dyDescent="0.25">
      <c r="A184" t="s">
        <v>189</v>
      </c>
    </row>
    <row r="185" spans="1:1" x14ac:dyDescent="0.25">
      <c r="A185" t="s">
        <v>190</v>
      </c>
    </row>
    <row r="186" spans="1:1" x14ac:dyDescent="0.25">
      <c r="A186" t="s">
        <v>191</v>
      </c>
    </row>
    <row r="187" spans="1:1" x14ac:dyDescent="0.25">
      <c r="A187" t="s">
        <v>192</v>
      </c>
    </row>
    <row r="188" spans="1:1" x14ac:dyDescent="0.25">
      <c r="A188" t="s">
        <v>193</v>
      </c>
    </row>
    <row r="189" spans="1:1" x14ac:dyDescent="0.25">
      <c r="A189" t="s">
        <v>194</v>
      </c>
    </row>
    <row r="190" spans="1:1" x14ac:dyDescent="0.25">
      <c r="A190" t="s">
        <v>195</v>
      </c>
    </row>
    <row r="191" spans="1:1" x14ac:dyDescent="0.25">
      <c r="A191" t="s">
        <v>196</v>
      </c>
    </row>
    <row r="192" spans="1:1" x14ac:dyDescent="0.25">
      <c r="A192" t="s">
        <v>197</v>
      </c>
    </row>
    <row r="193" spans="1:1" x14ac:dyDescent="0.25">
      <c r="A193" t="s">
        <v>198</v>
      </c>
    </row>
    <row r="194" spans="1:1" x14ac:dyDescent="0.25">
      <c r="A194" t="s">
        <v>199</v>
      </c>
    </row>
    <row r="195" spans="1:1" x14ac:dyDescent="0.25">
      <c r="A195" t="s">
        <v>200</v>
      </c>
    </row>
    <row r="196" spans="1:1" x14ac:dyDescent="0.25">
      <c r="A196" t="s">
        <v>201</v>
      </c>
    </row>
    <row r="197" spans="1:1" x14ac:dyDescent="0.25">
      <c r="A197" t="s">
        <v>202</v>
      </c>
    </row>
    <row r="198" spans="1:1" x14ac:dyDescent="0.25">
      <c r="A198" t="s">
        <v>203</v>
      </c>
    </row>
    <row r="199" spans="1:1" x14ac:dyDescent="0.25">
      <c r="A199" t="s">
        <v>204</v>
      </c>
    </row>
    <row r="200" spans="1:1" x14ac:dyDescent="0.25">
      <c r="A200" t="s">
        <v>205</v>
      </c>
    </row>
    <row r="201" spans="1:1" x14ac:dyDescent="0.25">
      <c r="A201" t="s">
        <v>206</v>
      </c>
    </row>
    <row r="202" spans="1:1" x14ac:dyDescent="0.25">
      <c r="A202" t="s">
        <v>207</v>
      </c>
    </row>
    <row r="203" spans="1:1" x14ac:dyDescent="0.25">
      <c r="A203" t="s">
        <v>208</v>
      </c>
    </row>
    <row r="204" spans="1:1" x14ac:dyDescent="0.25">
      <c r="A204" t="s">
        <v>209</v>
      </c>
    </row>
    <row r="205" spans="1:1" x14ac:dyDescent="0.25">
      <c r="A205" t="s">
        <v>210</v>
      </c>
    </row>
    <row r="206" spans="1:1" x14ac:dyDescent="0.25">
      <c r="A206" t="s">
        <v>211</v>
      </c>
    </row>
    <row r="207" spans="1:1" x14ac:dyDescent="0.25">
      <c r="A207" t="s">
        <v>212</v>
      </c>
    </row>
    <row r="208" spans="1:1" x14ac:dyDescent="0.25">
      <c r="A208" t="s">
        <v>213</v>
      </c>
    </row>
    <row r="209" spans="1:1" x14ac:dyDescent="0.25">
      <c r="A209" t="s">
        <v>214</v>
      </c>
    </row>
    <row r="210" spans="1:1" x14ac:dyDescent="0.25">
      <c r="A210" t="s">
        <v>215</v>
      </c>
    </row>
    <row r="211" spans="1:1" x14ac:dyDescent="0.25">
      <c r="A211" t="s">
        <v>216</v>
      </c>
    </row>
    <row r="212" spans="1:1" x14ac:dyDescent="0.25">
      <c r="A212" t="s">
        <v>217</v>
      </c>
    </row>
    <row r="213" spans="1:1" x14ac:dyDescent="0.25">
      <c r="A213" t="s">
        <v>218</v>
      </c>
    </row>
    <row r="214" spans="1:1" x14ac:dyDescent="0.25">
      <c r="A214" t="s">
        <v>219</v>
      </c>
    </row>
    <row r="215" spans="1:1" x14ac:dyDescent="0.25">
      <c r="A215" t="s">
        <v>220</v>
      </c>
    </row>
    <row r="216" spans="1:1" x14ac:dyDescent="0.25">
      <c r="A216" t="s">
        <v>221</v>
      </c>
    </row>
    <row r="217" spans="1:1" x14ac:dyDescent="0.25">
      <c r="A217" t="s">
        <v>222</v>
      </c>
    </row>
    <row r="218" spans="1:1" x14ac:dyDescent="0.25">
      <c r="A218" t="s">
        <v>223</v>
      </c>
    </row>
    <row r="219" spans="1:1" x14ac:dyDescent="0.25">
      <c r="A219" t="s">
        <v>224</v>
      </c>
    </row>
    <row r="220" spans="1:1" x14ac:dyDescent="0.25">
      <c r="A220" t="s">
        <v>225</v>
      </c>
    </row>
    <row r="221" spans="1:1" x14ac:dyDescent="0.25">
      <c r="A221" t="s">
        <v>226</v>
      </c>
    </row>
    <row r="222" spans="1:1" x14ac:dyDescent="0.25">
      <c r="A222" t="s">
        <v>227</v>
      </c>
    </row>
    <row r="223" spans="1:1" x14ac:dyDescent="0.25">
      <c r="A223" t="s">
        <v>228</v>
      </c>
    </row>
    <row r="224" spans="1:1" x14ac:dyDescent="0.25">
      <c r="A224" t="s">
        <v>229</v>
      </c>
    </row>
    <row r="225" spans="1:1" x14ac:dyDescent="0.25">
      <c r="A225" t="s">
        <v>230</v>
      </c>
    </row>
    <row r="226" spans="1:1" x14ac:dyDescent="0.25">
      <c r="A226" t="s">
        <v>231</v>
      </c>
    </row>
    <row r="227" spans="1:1" x14ac:dyDescent="0.25">
      <c r="A227" t="s">
        <v>232</v>
      </c>
    </row>
    <row r="228" spans="1:1" x14ac:dyDescent="0.25">
      <c r="A228" t="s">
        <v>233</v>
      </c>
    </row>
    <row r="229" spans="1:1" x14ac:dyDescent="0.25">
      <c r="A229" t="s">
        <v>234</v>
      </c>
    </row>
    <row r="230" spans="1:1" x14ac:dyDescent="0.25">
      <c r="A230" t="s">
        <v>235</v>
      </c>
    </row>
    <row r="231" spans="1:1" x14ac:dyDescent="0.25">
      <c r="A231" t="s">
        <v>236</v>
      </c>
    </row>
    <row r="232" spans="1:1" x14ac:dyDescent="0.25">
      <c r="A232" t="s">
        <v>237</v>
      </c>
    </row>
    <row r="233" spans="1:1" x14ac:dyDescent="0.25">
      <c r="A233" t="s">
        <v>238</v>
      </c>
    </row>
    <row r="234" spans="1:1" x14ac:dyDescent="0.25">
      <c r="A234" t="s">
        <v>239</v>
      </c>
    </row>
    <row r="235" spans="1:1" x14ac:dyDescent="0.25">
      <c r="A235" t="s">
        <v>240</v>
      </c>
    </row>
    <row r="236" spans="1:1" x14ac:dyDescent="0.25">
      <c r="A236" t="s">
        <v>241</v>
      </c>
    </row>
    <row r="237" spans="1:1" x14ac:dyDescent="0.25">
      <c r="A237" t="s">
        <v>242</v>
      </c>
    </row>
    <row r="238" spans="1:1" x14ac:dyDescent="0.25">
      <c r="A238" t="s">
        <v>243</v>
      </c>
    </row>
    <row r="239" spans="1:1" x14ac:dyDescent="0.25">
      <c r="A239" t="s">
        <v>244</v>
      </c>
    </row>
    <row r="240" spans="1:1" x14ac:dyDescent="0.25">
      <c r="A240" t="s">
        <v>245</v>
      </c>
    </row>
    <row r="241" spans="1:1" x14ac:dyDescent="0.25">
      <c r="A241" t="s">
        <v>246</v>
      </c>
    </row>
    <row r="242" spans="1:1" x14ac:dyDescent="0.25">
      <c r="A242" t="s">
        <v>247</v>
      </c>
    </row>
    <row r="243" spans="1:1" x14ac:dyDescent="0.25">
      <c r="A243" t="s">
        <v>248</v>
      </c>
    </row>
    <row r="244" spans="1:1" x14ac:dyDescent="0.25">
      <c r="A244" t="s">
        <v>249</v>
      </c>
    </row>
    <row r="245" spans="1:1" x14ac:dyDescent="0.25">
      <c r="A245" t="s">
        <v>250</v>
      </c>
    </row>
    <row r="246" spans="1:1" x14ac:dyDescent="0.25">
      <c r="A246" t="s">
        <v>251</v>
      </c>
    </row>
    <row r="247" spans="1:1" x14ac:dyDescent="0.25">
      <c r="A247" t="s">
        <v>252</v>
      </c>
    </row>
    <row r="248" spans="1:1" x14ac:dyDescent="0.25">
      <c r="A248" t="s">
        <v>253</v>
      </c>
    </row>
    <row r="249" spans="1:1" x14ac:dyDescent="0.25">
      <c r="A249" t="s">
        <v>254</v>
      </c>
    </row>
    <row r="250" spans="1:1" x14ac:dyDescent="0.25">
      <c r="A250" t="s">
        <v>255</v>
      </c>
    </row>
    <row r="251" spans="1:1" x14ac:dyDescent="0.25">
      <c r="A251" t="s">
        <v>256</v>
      </c>
    </row>
    <row r="252" spans="1:1" x14ac:dyDescent="0.25">
      <c r="A252" t="s">
        <v>257</v>
      </c>
    </row>
    <row r="253" spans="1:1" x14ac:dyDescent="0.25">
      <c r="A253" t="s">
        <v>258</v>
      </c>
    </row>
    <row r="254" spans="1:1" x14ac:dyDescent="0.25">
      <c r="A254" t="s">
        <v>259</v>
      </c>
    </row>
    <row r="255" spans="1:1" x14ac:dyDescent="0.25">
      <c r="A255" t="s">
        <v>260</v>
      </c>
    </row>
    <row r="256" spans="1:1" x14ac:dyDescent="0.25">
      <c r="A256" t="s">
        <v>261</v>
      </c>
    </row>
    <row r="257" spans="1:1" x14ac:dyDescent="0.25">
      <c r="A257" t="s">
        <v>262</v>
      </c>
    </row>
    <row r="258" spans="1:1" x14ac:dyDescent="0.25">
      <c r="A258" t="s">
        <v>263</v>
      </c>
    </row>
    <row r="259" spans="1:1" x14ac:dyDescent="0.25">
      <c r="A259" t="s">
        <v>264</v>
      </c>
    </row>
    <row r="260" spans="1:1" x14ac:dyDescent="0.25">
      <c r="A260" t="s">
        <v>265</v>
      </c>
    </row>
    <row r="261" spans="1:1" x14ac:dyDescent="0.25">
      <c r="A261" t="s">
        <v>266</v>
      </c>
    </row>
    <row r="262" spans="1:1" x14ac:dyDescent="0.25">
      <c r="A262" t="s">
        <v>267</v>
      </c>
    </row>
    <row r="263" spans="1:1" x14ac:dyDescent="0.25">
      <c r="A263" t="s">
        <v>268</v>
      </c>
    </row>
    <row r="264" spans="1:1" x14ac:dyDescent="0.25">
      <c r="A264" t="s">
        <v>269</v>
      </c>
    </row>
    <row r="265" spans="1:1" x14ac:dyDescent="0.25">
      <c r="A265" t="s">
        <v>270</v>
      </c>
    </row>
    <row r="266" spans="1:1" x14ac:dyDescent="0.25">
      <c r="A266" t="s">
        <v>271</v>
      </c>
    </row>
    <row r="267" spans="1:1" x14ac:dyDescent="0.25">
      <c r="A267" t="s">
        <v>272</v>
      </c>
    </row>
    <row r="268" spans="1:1" x14ac:dyDescent="0.25">
      <c r="A268" t="s">
        <v>273</v>
      </c>
    </row>
    <row r="269" spans="1:1" x14ac:dyDescent="0.25">
      <c r="A269" t="s">
        <v>274</v>
      </c>
    </row>
    <row r="270" spans="1:1" x14ac:dyDescent="0.25">
      <c r="A270" t="s">
        <v>275</v>
      </c>
    </row>
    <row r="271" spans="1:1" x14ac:dyDescent="0.25">
      <c r="A271" t="s">
        <v>276</v>
      </c>
    </row>
    <row r="272" spans="1:1" x14ac:dyDescent="0.25">
      <c r="A272" t="s">
        <v>277</v>
      </c>
    </row>
    <row r="273" spans="1:1" x14ac:dyDescent="0.25">
      <c r="A273" t="s">
        <v>278</v>
      </c>
    </row>
    <row r="274" spans="1:1" x14ac:dyDescent="0.25">
      <c r="A274" t="s">
        <v>279</v>
      </c>
    </row>
    <row r="275" spans="1:1" x14ac:dyDescent="0.25">
      <c r="A275" t="s">
        <v>280</v>
      </c>
    </row>
    <row r="276" spans="1:1" x14ac:dyDescent="0.25">
      <c r="A276" t="s">
        <v>281</v>
      </c>
    </row>
    <row r="277" spans="1:1" x14ac:dyDescent="0.25">
      <c r="A277" t="s">
        <v>282</v>
      </c>
    </row>
    <row r="278" spans="1:1" x14ac:dyDescent="0.25">
      <c r="A278" t="s">
        <v>283</v>
      </c>
    </row>
    <row r="279" spans="1:1" x14ac:dyDescent="0.25">
      <c r="A279" t="s">
        <v>284</v>
      </c>
    </row>
    <row r="280" spans="1:1" x14ac:dyDescent="0.25">
      <c r="A280" t="s">
        <v>285</v>
      </c>
    </row>
    <row r="281" spans="1:1" x14ac:dyDescent="0.25">
      <c r="A281" t="s">
        <v>286</v>
      </c>
    </row>
    <row r="282" spans="1:1" x14ac:dyDescent="0.25">
      <c r="A282" t="s">
        <v>287</v>
      </c>
    </row>
    <row r="283" spans="1:1" x14ac:dyDescent="0.25">
      <c r="A283" t="s">
        <v>288</v>
      </c>
    </row>
    <row r="284" spans="1:1" x14ac:dyDescent="0.25">
      <c r="A284" t="s">
        <v>289</v>
      </c>
    </row>
    <row r="285" spans="1:1" x14ac:dyDescent="0.25">
      <c r="A285" t="s">
        <v>290</v>
      </c>
    </row>
    <row r="286" spans="1:1" x14ac:dyDescent="0.25">
      <c r="A286" t="s">
        <v>291</v>
      </c>
    </row>
    <row r="287" spans="1:1" x14ac:dyDescent="0.25">
      <c r="A287" t="s">
        <v>292</v>
      </c>
    </row>
    <row r="288" spans="1:1" x14ac:dyDescent="0.25">
      <c r="A288" t="s">
        <v>293</v>
      </c>
    </row>
    <row r="289" spans="1:1" x14ac:dyDescent="0.25">
      <c r="A289" t="s">
        <v>294</v>
      </c>
    </row>
    <row r="290" spans="1:1" x14ac:dyDescent="0.25">
      <c r="A290" t="s">
        <v>295</v>
      </c>
    </row>
    <row r="291" spans="1:1" x14ac:dyDescent="0.25">
      <c r="A291" t="s">
        <v>296</v>
      </c>
    </row>
    <row r="292" spans="1:1" x14ac:dyDescent="0.25">
      <c r="A292" t="s">
        <v>297</v>
      </c>
    </row>
    <row r="293" spans="1:1" x14ac:dyDescent="0.25">
      <c r="A293" t="s">
        <v>298</v>
      </c>
    </row>
    <row r="294" spans="1:1" x14ac:dyDescent="0.25">
      <c r="A294" t="s">
        <v>299</v>
      </c>
    </row>
    <row r="295" spans="1:1" x14ac:dyDescent="0.25">
      <c r="A295" t="s">
        <v>300</v>
      </c>
    </row>
    <row r="296" spans="1:1" x14ac:dyDescent="0.25">
      <c r="A296" t="s">
        <v>301</v>
      </c>
    </row>
    <row r="297" spans="1:1" x14ac:dyDescent="0.25">
      <c r="A297" t="s">
        <v>302</v>
      </c>
    </row>
    <row r="298" spans="1:1" x14ac:dyDescent="0.25">
      <c r="A298" t="s">
        <v>303</v>
      </c>
    </row>
    <row r="299" spans="1:1" x14ac:dyDescent="0.25">
      <c r="A299" t="s">
        <v>304</v>
      </c>
    </row>
    <row r="300" spans="1:1" x14ac:dyDescent="0.25">
      <c r="A300" t="s">
        <v>305</v>
      </c>
    </row>
    <row r="301" spans="1:1" x14ac:dyDescent="0.25">
      <c r="A301" t="s">
        <v>306</v>
      </c>
    </row>
    <row r="302" spans="1:1" x14ac:dyDescent="0.25">
      <c r="A302" t="s">
        <v>307</v>
      </c>
    </row>
    <row r="303" spans="1:1" x14ac:dyDescent="0.25">
      <c r="A303" t="s">
        <v>308</v>
      </c>
    </row>
    <row r="304" spans="1:1" x14ac:dyDescent="0.25">
      <c r="A304" t="s">
        <v>309</v>
      </c>
    </row>
    <row r="305" spans="1:1" x14ac:dyDescent="0.25">
      <c r="A305" t="s">
        <v>310</v>
      </c>
    </row>
    <row r="306" spans="1:1" x14ac:dyDescent="0.25">
      <c r="A306" t="s">
        <v>311</v>
      </c>
    </row>
    <row r="307" spans="1:1" x14ac:dyDescent="0.25">
      <c r="A307" t="s">
        <v>312</v>
      </c>
    </row>
    <row r="308" spans="1:1" x14ac:dyDescent="0.25">
      <c r="A308" t="s">
        <v>313</v>
      </c>
    </row>
    <row r="309" spans="1:1" x14ac:dyDescent="0.25">
      <c r="A309" t="s">
        <v>314</v>
      </c>
    </row>
    <row r="310" spans="1:1" x14ac:dyDescent="0.25">
      <c r="A310" t="s">
        <v>315</v>
      </c>
    </row>
    <row r="311" spans="1:1" x14ac:dyDescent="0.25">
      <c r="A311" t="s">
        <v>316</v>
      </c>
    </row>
    <row r="312" spans="1:1" x14ac:dyDescent="0.25">
      <c r="A312" t="s">
        <v>317</v>
      </c>
    </row>
    <row r="313" spans="1:1" x14ac:dyDescent="0.25">
      <c r="A313" t="s">
        <v>318</v>
      </c>
    </row>
    <row r="314" spans="1:1" x14ac:dyDescent="0.25">
      <c r="A314" t="s">
        <v>319</v>
      </c>
    </row>
    <row r="315" spans="1:1" x14ac:dyDescent="0.25">
      <c r="A315" t="s">
        <v>320</v>
      </c>
    </row>
    <row r="316" spans="1:1" x14ac:dyDescent="0.25">
      <c r="A316" t="s">
        <v>321</v>
      </c>
    </row>
    <row r="317" spans="1:1" x14ac:dyDescent="0.25">
      <c r="A317" t="s">
        <v>322</v>
      </c>
    </row>
    <row r="318" spans="1:1" x14ac:dyDescent="0.25">
      <c r="A318" t="s">
        <v>323</v>
      </c>
    </row>
    <row r="319" spans="1:1" x14ac:dyDescent="0.25">
      <c r="A319" t="s">
        <v>324</v>
      </c>
    </row>
    <row r="320" spans="1:1" x14ac:dyDescent="0.25">
      <c r="A320" t="s">
        <v>325</v>
      </c>
    </row>
    <row r="321" spans="1:1" x14ac:dyDescent="0.25">
      <c r="A321" t="s">
        <v>326</v>
      </c>
    </row>
    <row r="322" spans="1:1" x14ac:dyDescent="0.25">
      <c r="A322" t="s">
        <v>327</v>
      </c>
    </row>
    <row r="323" spans="1:1" x14ac:dyDescent="0.25">
      <c r="A323" t="s">
        <v>328</v>
      </c>
    </row>
    <row r="324" spans="1:1" x14ac:dyDescent="0.25">
      <c r="A324" t="s">
        <v>329</v>
      </c>
    </row>
    <row r="325" spans="1:1" x14ac:dyDescent="0.25">
      <c r="A325" t="s">
        <v>330</v>
      </c>
    </row>
    <row r="326" spans="1:1" x14ac:dyDescent="0.25">
      <c r="A326" t="s">
        <v>331</v>
      </c>
    </row>
    <row r="327" spans="1:1" x14ac:dyDescent="0.25">
      <c r="A327" t="s">
        <v>332</v>
      </c>
    </row>
    <row r="328" spans="1:1" x14ac:dyDescent="0.25">
      <c r="A328" t="s">
        <v>333</v>
      </c>
    </row>
    <row r="329" spans="1:1" x14ac:dyDescent="0.25">
      <c r="A329" t="s">
        <v>334</v>
      </c>
    </row>
    <row r="330" spans="1:1" x14ac:dyDescent="0.25">
      <c r="A330" t="s">
        <v>335</v>
      </c>
    </row>
    <row r="331" spans="1:1" x14ac:dyDescent="0.25">
      <c r="A331" t="s">
        <v>336</v>
      </c>
    </row>
    <row r="332" spans="1:1" x14ac:dyDescent="0.25">
      <c r="A332" t="s">
        <v>337</v>
      </c>
    </row>
    <row r="333" spans="1:1" x14ac:dyDescent="0.25">
      <c r="A333" t="s">
        <v>338</v>
      </c>
    </row>
    <row r="334" spans="1:1" x14ac:dyDescent="0.25">
      <c r="A334" t="s">
        <v>339</v>
      </c>
    </row>
    <row r="335" spans="1:1" x14ac:dyDescent="0.25">
      <c r="A335" t="s">
        <v>340</v>
      </c>
    </row>
    <row r="336" spans="1:1" x14ac:dyDescent="0.25">
      <c r="A336" t="s">
        <v>341</v>
      </c>
    </row>
    <row r="337" spans="1:1" x14ac:dyDescent="0.25">
      <c r="A337" t="s">
        <v>342</v>
      </c>
    </row>
    <row r="338" spans="1:1" x14ac:dyDescent="0.25">
      <c r="A338" t="s">
        <v>343</v>
      </c>
    </row>
    <row r="339" spans="1:1" x14ac:dyDescent="0.25">
      <c r="A339" t="s">
        <v>344</v>
      </c>
    </row>
    <row r="340" spans="1:1" x14ac:dyDescent="0.25">
      <c r="A340" t="s">
        <v>345</v>
      </c>
    </row>
    <row r="341" spans="1:1" x14ac:dyDescent="0.25">
      <c r="A341" t="s">
        <v>346</v>
      </c>
    </row>
    <row r="342" spans="1:1" x14ac:dyDescent="0.25">
      <c r="A342" t="s">
        <v>347</v>
      </c>
    </row>
    <row r="343" spans="1:1" x14ac:dyDescent="0.25">
      <c r="A343" t="s">
        <v>348</v>
      </c>
    </row>
    <row r="344" spans="1:1" x14ac:dyDescent="0.25">
      <c r="A344" t="s">
        <v>349</v>
      </c>
    </row>
    <row r="345" spans="1:1" x14ac:dyDescent="0.25">
      <c r="A345" t="s">
        <v>350</v>
      </c>
    </row>
    <row r="346" spans="1:1" x14ac:dyDescent="0.25">
      <c r="A346" t="s">
        <v>351</v>
      </c>
    </row>
    <row r="347" spans="1:1" x14ac:dyDescent="0.25">
      <c r="A347" t="s">
        <v>352</v>
      </c>
    </row>
    <row r="348" spans="1:1" x14ac:dyDescent="0.25">
      <c r="A348" t="s">
        <v>353</v>
      </c>
    </row>
    <row r="349" spans="1:1" x14ac:dyDescent="0.25">
      <c r="A349" t="s">
        <v>354</v>
      </c>
    </row>
    <row r="350" spans="1:1" x14ac:dyDescent="0.25">
      <c r="A350" t="s">
        <v>355</v>
      </c>
    </row>
    <row r="351" spans="1:1" x14ac:dyDescent="0.25">
      <c r="A351" t="s">
        <v>356</v>
      </c>
    </row>
    <row r="352" spans="1:1" x14ac:dyDescent="0.25">
      <c r="A352" t="s">
        <v>357</v>
      </c>
    </row>
    <row r="353" spans="1:1" x14ac:dyDescent="0.25">
      <c r="A353" t="s">
        <v>358</v>
      </c>
    </row>
    <row r="354" spans="1:1" x14ac:dyDescent="0.25">
      <c r="A354" t="s">
        <v>359</v>
      </c>
    </row>
    <row r="355" spans="1:1" x14ac:dyDescent="0.25">
      <c r="A355" t="s">
        <v>360</v>
      </c>
    </row>
    <row r="356" spans="1:1" x14ac:dyDescent="0.25">
      <c r="A356" t="s">
        <v>361</v>
      </c>
    </row>
    <row r="357" spans="1:1" x14ac:dyDescent="0.25">
      <c r="A357" t="s">
        <v>362</v>
      </c>
    </row>
    <row r="358" spans="1:1" x14ac:dyDescent="0.25">
      <c r="A358" t="s">
        <v>363</v>
      </c>
    </row>
    <row r="359" spans="1:1" x14ac:dyDescent="0.25">
      <c r="A359" t="s">
        <v>364</v>
      </c>
    </row>
    <row r="360" spans="1:1" x14ac:dyDescent="0.25">
      <c r="A360" t="s">
        <v>365</v>
      </c>
    </row>
    <row r="361" spans="1:1" x14ac:dyDescent="0.25">
      <c r="A361" t="s">
        <v>366</v>
      </c>
    </row>
    <row r="362" spans="1:1" x14ac:dyDescent="0.25">
      <c r="A362" t="s">
        <v>367</v>
      </c>
    </row>
    <row r="363" spans="1:1" x14ac:dyDescent="0.25">
      <c r="A363" t="s">
        <v>368</v>
      </c>
    </row>
    <row r="364" spans="1:1" x14ac:dyDescent="0.25">
      <c r="A364" t="s">
        <v>369</v>
      </c>
    </row>
    <row r="365" spans="1:1" x14ac:dyDescent="0.25">
      <c r="A365" t="s">
        <v>370</v>
      </c>
    </row>
    <row r="366" spans="1:1" x14ac:dyDescent="0.25">
      <c r="A366" t="s">
        <v>371</v>
      </c>
    </row>
    <row r="367" spans="1:1" x14ac:dyDescent="0.25">
      <c r="A367" t="s">
        <v>372</v>
      </c>
    </row>
    <row r="368" spans="1:1" x14ac:dyDescent="0.25">
      <c r="A368" t="s">
        <v>373</v>
      </c>
    </row>
    <row r="369" spans="1:1" x14ac:dyDescent="0.25">
      <c r="A369" t="s">
        <v>374</v>
      </c>
    </row>
    <row r="370" spans="1:1" x14ac:dyDescent="0.25">
      <c r="A370" t="s">
        <v>375</v>
      </c>
    </row>
    <row r="371" spans="1:1" x14ac:dyDescent="0.25">
      <c r="A371" t="s">
        <v>376</v>
      </c>
    </row>
    <row r="372" spans="1:1" x14ac:dyDescent="0.25">
      <c r="A372" t="s">
        <v>377</v>
      </c>
    </row>
    <row r="373" spans="1:1" x14ac:dyDescent="0.25">
      <c r="A373" t="s">
        <v>378</v>
      </c>
    </row>
    <row r="374" spans="1:1" x14ac:dyDescent="0.25">
      <c r="A374" t="s">
        <v>379</v>
      </c>
    </row>
    <row r="375" spans="1:1" x14ac:dyDescent="0.25">
      <c r="A375" t="s">
        <v>380</v>
      </c>
    </row>
    <row r="376" spans="1:1" x14ac:dyDescent="0.25">
      <c r="A376" t="s">
        <v>381</v>
      </c>
    </row>
    <row r="377" spans="1:1" x14ac:dyDescent="0.25">
      <c r="A377" t="s">
        <v>382</v>
      </c>
    </row>
    <row r="378" spans="1:1" x14ac:dyDescent="0.25">
      <c r="A378" t="s">
        <v>383</v>
      </c>
    </row>
    <row r="379" spans="1:1" x14ac:dyDescent="0.25">
      <c r="A379" t="s">
        <v>384</v>
      </c>
    </row>
    <row r="380" spans="1:1" x14ac:dyDescent="0.25">
      <c r="A380" t="s">
        <v>385</v>
      </c>
    </row>
    <row r="381" spans="1:1" x14ac:dyDescent="0.25">
      <c r="A381" t="s">
        <v>386</v>
      </c>
    </row>
    <row r="382" spans="1:1" x14ac:dyDescent="0.25">
      <c r="A382" t="s">
        <v>387</v>
      </c>
    </row>
    <row r="383" spans="1:1" x14ac:dyDescent="0.25">
      <c r="A383" t="s">
        <v>388</v>
      </c>
    </row>
    <row r="384" spans="1:1" x14ac:dyDescent="0.25">
      <c r="A384" t="s">
        <v>389</v>
      </c>
    </row>
    <row r="385" spans="1:1" x14ac:dyDescent="0.25">
      <c r="A385" t="s">
        <v>390</v>
      </c>
    </row>
    <row r="386" spans="1:1" x14ac:dyDescent="0.25">
      <c r="A386" t="s">
        <v>391</v>
      </c>
    </row>
    <row r="387" spans="1:1" x14ac:dyDescent="0.25">
      <c r="A387" t="s">
        <v>392</v>
      </c>
    </row>
    <row r="388" spans="1:1" x14ac:dyDescent="0.25">
      <c r="A388" t="s">
        <v>393</v>
      </c>
    </row>
    <row r="389" spans="1:1" x14ac:dyDescent="0.25">
      <c r="A389" t="s">
        <v>394</v>
      </c>
    </row>
    <row r="390" spans="1:1" x14ac:dyDescent="0.25">
      <c r="A390" t="s">
        <v>395</v>
      </c>
    </row>
    <row r="391" spans="1:1" x14ac:dyDescent="0.25">
      <c r="A391" t="s">
        <v>396</v>
      </c>
    </row>
    <row r="392" spans="1:1" x14ac:dyDescent="0.25">
      <c r="A392" t="s">
        <v>397</v>
      </c>
    </row>
    <row r="393" spans="1:1" x14ac:dyDescent="0.25">
      <c r="A393" t="s">
        <v>398</v>
      </c>
    </row>
    <row r="394" spans="1:1" x14ac:dyDescent="0.25">
      <c r="A394" t="s">
        <v>399</v>
      </c>
    </row>
    <row r="395" spans="1:1" x14ac:dyDescent="0.25">
      <c r="A395" t="s">
        <v>400</v>
      </c>
    </row>
    <row r="396" spans="1:1" x14ac:dyDescent="0.25">
      <c r="A396" t="s">
        <v>401</v>
      </c>
    </row>
    <row r="397" spans="1:1" x14ac:dyDescent="0.25">
      <c r="A397" t="s">
        <v>402</v>
      </c>
    </row>
    <row r="398" spans="1:1" x14ac:dyDescent="0.25">
      <c r="A398" t="s">
        <v>403</v>
      </c>
    </row>
    <row r="399" spans="1:1" x14ac:dyDescent="0.25">
      <c r="A399" t="s">
        <v>404</v>
      </c>
    </row>
    <row r="400" spans="1:1" x14ac:dyDescent="0.25">
      <c r="A400" t="s">
        <v>405</v>
      </c>
    </row>
    <row r="401" spans="1:1" x14ac:dyDescent="0.25">
      <c r="A401" t="s">
        <v>406</v>
      </c>
    </row>
    <row r="402" spans="1:1" x14ac:dyDescent="0.25">
      <c r="A402" t="s">
        <v>407</v>
      </c>
    </row>
    <row r="403" spans="1:1" x14ac:dyDescent="0.25">
      <c r="A403" t="s">
        <v>408</v>
      </c>
    </row>
    <row r="404" spans="1:1" x14ac:dyDescent="0.25">
      <c r="A404" t="s">
        <v>409</v>
      </c>
    </row>
    <row r="405" spans="1:1" x14ac:dyDescent="0.25">
      <c r="A405" t="s">
        <v>410</v>
      </c>
    </row>
    <row r="406" spans="1:1" x14ac:dyDescent="0.25">
      <c r="A406" t="s">
        <v>411</v>
      </c>
    </row>
    <row r="407" spans="1:1" x14ac:dyDescent="0.25">
      <c r="A407" t="s">
        <v>412</v>
      </c>
    </row>
    <row r="408" spans="1:1" x14ac:dyDescent="0.25">
      <c r="A408" t="s">
        <v>413</v>
      </c>
    </row>
    <row r="409" spans="1:1" x14ac:dyDescent="0.25">
      <c r="A409" t="s">
        <v>414</v>
      </c>
    </row>
    <row r="410" spans="1:1" x14ac:dyDescent="0.25">
      <c r="A410" t="s">
        <v>415</v>
      </c>
    </row>
    <row r="411" spans="1:1" x14ac:dyDescent="0.25">
      <c r="A411" t="s">
        <v>416</v>
      </c>
    </row>
    <row r="412" spans="1:1" x14ac:dyDescent="0.25">
      <c r="A412" t="s">
        <v>417</v>
      </c>
    </row>
    <row r="413" spans="1:1" x14ac:dyDescent="0.25">
      <c r="A413" t="s">
        <v>418</v>
      </c>
    </row>
    <row r="414" spans="1:1" x14ac:dyDescent="0.25">
      <c r="A414" t="s">
        <v>419</v>
      </c>
    </row>
    <row r="415" spans="1:1" x14ac:dyDescent="0.25">
      <c r="A415" t="s">
        <v>420</v>
      </c>
    </row>
    <row r="416" spans="1:1" x14ac:dyDescent="0.25">
      <c r="A416" t="s">
        <v>421</v>
      </c>
    </row>
    <row r="417" spans="1:1" x14ac:dyDescent="0.25">
      <c r="A417" t="s">
        <v>422</v>
      </c>
    </row>
    <row r="418" spans="1:1" x14ac:dyDescent="0.25">
      <c r="A418" t="s">
        <v>423</v>
      </c>
    </row>
    <row r="419" spans="1:1" x14ac:dyDescent="0.25">
      <c r="A419" t="s">
        <v>424</v>
      </c>
    </row>
    <row r="420" spans="1:1" x14ac:dyDescent="0.25">
      <c r="A420" t="s">
        <v>425</v>
      </c>
    </row>
    <row r="421" spans="1:1" x14ac:dyDescent="0.25">
      <c r="A421" t="s">
        <v>426</v>
      </c>
    </row>
    <row r="422" spans="1:1" x14ac:dyDescent="0.25">
      <c r="A422" t="s">
        <v>427</v>
      </c>
    </row>
    <row r="423" spans="1:1" x14ac:dyDescent="0.25">
      <c r="A423" t="s">
        <v>428</v>
      </c>
    </row>
    <row r="424" spans="1:1" x14ac:dyDescent="0.25">
      <c r="A424" t="s">
        <v>429</v>
      </c>
    </row>
    <row r="425" spans="1:1" x14ac:dyDescent="0.25">
      <c r="A425" t="s">
        <v>430</v>
      </c>
    </row>
    <row r="426" spans="1:1" x14ac:dyDescent="0.25">
      <c r="A426" t="s">
        <v>431</v>
      </c>
    </row>
    <row r="427" spans="1:1" x14ac:dyDescent="0.25">
      <c r="A427" t="s">
        <v>432</v>
      </c>
    </row>
    <row r="428" spans="1:1" x14ac:dyDescent="0.25">
      <c r="A428" t="s">
        <v>433</v>
      </c>
    </row>
    <row r="429" spans="1:1" x14ac:dyDescent="0.25">
      <c r="A429" t="s">
        <v>434</v>
      </c>
    </row>
    <row r="430" spans="1:1" x14ac:dyDescent="0.25">
      <c r="A430" t="s">
        <v>435</v>
      </c>
    </row>
    <row r="431" spans="1:1" x14ac:dyDescent="0.25">
      <c r="A431" t="s">
        <v>436</v>
      </c>
    </row>
    <row r="432" spans="1:1" x14ac:dyDescent="0.25">
      <c r="A432" t="s">
        <v>437</v>
      </c>
    </row>
    <row r="433" spans="1:1" x14ac:dyDescent="0.25">
      <c r="A433" t="s">
        <v>438</v>
      </c>
    </row>
    <row r="434" spans="1:1" x14ac:dyDescent="0.25">
      <c r="A434" t="s">
        <v>439</v>
      </c>
    </row>
    <row r="435" spans="1:1" x14ac:dyDescent="0.25">
      <c r="A435" t="s">
        <v>440</v>
      </c>
    </row>
    <row r="436" spans="1:1" x14ac:dyDescent="0.25">
      <c r="A436" t="s">
        <v>441</v>
      </c>
    </row>
    <row r="437" spans="1:1" x14ac:dyDescent="0.25">
      <c r="A437" t="s">
        <v>442</v>
      </c>
    </row>
    <row r="438" spans="1:1" x14ac:dyDescent="0.25">
      <c r="A438" t="s">
        <v>443</v>
      </c>
    </row>
    <row r="439" spans="1:1" x14ac:dyDescent="0.25">
      <c r="A439" t="s">
        <v>444</v>
      </c>
    </row>
    <row r="440" spans="1:1" x14ac:dyDescent="0.25">
      <c r="A440" t="s">
        <v>445</v>
      </c>
    </row>
    <row r="441" spans="1:1" x14ac:dyDescent="0.25">
      <c r="A441" t="s">
        <v>446</v>
      </c>
    </row>
    <row r="442" spans="1:1" x14ac:dyDescent="0.25">
      <c r="A442" t="s">
        <v>447</v>
      </c>
    </row>
    <row r="443" spans="1:1" x14ac:dyDescent="0.25">
      <c r="A443" t="s">
        <v>448</v>
      </c>
    </row>
    <row r="444" spans="1:1" x14ac:dyDescent="0.25">
      <c r="A444" t="s">
        <v>449</v>
      </c>
    </row>
    <row r="445" spans="1:1" x14ac:dyDescent="0.25">
      <c r="A445" t="s">
        <v>450</v>
      </c>
    </row>
    <row r="446" spans="1:1" x14ac:dyDescent="0.25">
      <c r="A446" t="s">
        <v>451</v>
      </c>
    </row>
    <row r="447" spans="1:1" x14ac:dyDescent="0.25">
      <c r="A447" t="s">
        <v>452</v>
      </c>
    </row>
    <row r="448" spans="1:1" x14ac:dyDescent="0.25">
      <c r="A448" t="s">
        <v>453</v>
      </c>
    </row>
    <row r="449" spans="1:1" x14ac:dyDescent="0.25">
      <c r="A449" t="s">
        <v>454</v>
      </c>
    </row>
    <row r="450" spans="1:1" x14ac:dyDescent="0.25">
      <c r="A450" t="s">
        <v>455</v>
      </c>
    </row>
    <row r="451" spans="1:1" x14ac:dyDescent="0.25">
      <c r="A451" t="s">
        <v>456</v>
      </c>
    </row>
    <row r="452" spans="1:1" x14ac:dyDescent="0.25">
      <c r="A452" t="s">
        <v>457</v>
      </c>
    </row>
    <row r="453" spans="1:1" x14ac:dyDescent="0.25">
      <c r="A453" t="s">
        <v>458</v>
      </c>
    </row>
    <row r="454" spans="1:1" x14ac:dyDescent="0.25">
      <c r="A454" t="s">
        <v>459</v>
      </c>
    </row>
    <row r="455" spans="1:1" x14ac:dyDescent="0.25">
      <c r="A455" t="s">
        <v>460</v>
      </c>
    </row>
    <row r="456" spans="1:1" x14ac:dyDescent="0.25">
      <c r="A456" t="s">
        <v>461</v>
      </c>
    </row>
    <row r="457" spans="1:1" x14ac:dyDescent="0.25">
      <c r="A457" t="s">
        <v>462</v>
      </c>
    </row>
    <row r="458" spans="1:1" x14ac:dyDescent="0.25">
      <c r="A458" t="s">
        <v>463</v>
      </c>
    </row>
    <row r="459" spans="1:1" x14ac:dyDescent="0.25">
      <c r="A459" t="s">
        <v>464</v>
      </c>
    </row>
    <row r="460" spans="1:1" x14ac:dyDescent="0.25">
      <c r="A460" t="s">
        <v>465</v>
      </c>
    </row>
    <row r="461" spans="1:1" x14ac:dyDescent="0.25">
      <c r="A461" t="s">
        <v>466</v>
      </c>
    </row>
    <row r="462" spans="1:1" x14ac:dyDescent="0.25">
      <c r="A462" t="s">
        <v>467</v>
      </c>
    </row>
    <row r="463" spans="1:1" x14ac:dyDescent="0.25">
      <c r="A463" t="s">
        <v>468</v>
      </c>
    </row>
    <row r="464" spans="1:1" x14ac:dyDescent="0.25">
      <c r="A464" t="s">
        <v>469</v>
      </c>
    </row>
    <row r="465" spans="1:1" x14ac:dyDescent="0.25">
      <c r="A465" t="s">
        <v>470</v>
      </c>
    </row>
    <row r="466" spans="1:1" x14ac:dyDescent="0.25">
      <c r="A466" t="s">
        <v>471</v>
      </c>
    </row>
    <row r="467" spans="1:1" x14ac:dyDescent="0.25">
      <c r="A467" t="s">
        <v>472</v>
      </c>
    </row>
    <row r="468" spans="1:1" x14ac:dyDescent="0.25">
      <c r="A468" t="s">
        <v>473</v>
      </c>
    </row>
    <row r="469" spans="1:1" x14ac:dyDescent="0.25">
      <c r="A469" t="s">
        <v>474</v>
      </c>
    </row>
    <row r="470" spans="1:1" x14ac:dyDescent="0.25">
      <c r="A470" t="s">
        <v>475</v>
      </c>
    </row>
    <row r="471" spans="1:1" x14ac:dyDescent="0.25">
      <c r="A471" t="s">
        <v>476</v>
      </c>
    </row>
    <row r="472" spans="1:1" x14ac:dyDescent="0.25">
      <c r="A472" t="s">
        <v>477</v>
      </c>
    </row>
    <row r="473" spans="1:1" x14ac:dyDescent="0.25">
      <c r="A473" t="s">
        <v>478</v>
      </c>
    </row>
    <row r="474" spans="1:1" x14ac:dyDescent="0.25">
      <c r="A474" t="s">
        <v>479</v>
      </c>
    </row>
    <row r="475" spans="1:1" x14ac:dyDescent="0.25">
      <c r="A475" t="s">
        <v>480</v>
      </c>
    </row>
    <row r="476" spans="1:1" x14ac:dyDescent="0.25">
      <c r="A476" t="s">
        <v>481</v>
      </c>
    </row>
    <row r="477" spans="1:1" x14ac:dyDescent="0.25">
      <c r="A477" t="s">
        <v>482</v>
      </c>
    </row>
    <row r="478" spans="1:1" x14ac:dyDescent="0.25">
      <c r="A478" t="s">
        <v>483</v>
      </c>
    </row>
    <row r="479" spans="1:1" x14ac:dyDescent="0.25">
      <c r="A479" t="s">
        <v>484</v>
      </c>
    </row>
    <row r="480" spans="1:1" x14ac:dyDescent="0.25">
      <c r="A480" t="s">
        <v>485</v>
      </c>
    </row>
    <row r="481" spans="1:1" x14ac:dyDescent="0.25">
      <c r="A481" t="s">
        <v>486</v>
      </c>
    </row>
    <row r="482" spans="1:1" x14ac:dyDescent="0.25">
      <c r="A482" t="s">
        <v>487</v>
      </c>
    </row>
    <row r="483" spans="1:1" x14ac:dyDescent="0.25">
      <c r="A483" t="s">
        <v>488</v>
      </c>
    </row>
    <row r="484" spans="1:1" x14ac:dyDescent="0.25">
      <c r="A484" t="s">
        <v>489</v>
      </c>
    </row>
    <row r="485" spans="1:1" x14ac:dyDescent="0.25">
      <c r="A485" t="s">
        <v>490</v>
      </c>
    </row>
    <row r="486" spans="1:1" x14ac:dyDescent="0.25">
      <c r="A486" t="s">
        <v>491</v>
      </c>
    </row>
    <row r="487" spans="1:1" x14ac:dyDescent="0.25">
      <c r="A487" t="s">
        <v>492</v>
      </c>
    </row>
    <row r="488" spans="1:1" x14ac:dyDescent="0.25">
      <c r="A488" t="s">
        <v>493</v>
      </c>
    </row>
    <row r="489" spans="1:1" x14ac:dyDescent="0.25">
      <c r="A489" t="s">
        <v>494</v>
      </c>
    </row>
    <row r="490" spans="1:1" x14ac:dyDescent="0.25">
      <c r="A490" t="s">
        <v>495</v>
      </c>
    </row>
    <row r="491" spans="1:1" x14ac:dyDescent="0.25">
      <c r="A491" t="s">
        <v>500</v>
      </c>
    </row>
    <row r="492" spans="1:1" x14ac:dyDescent="0.25">
      <c r="A492" t="s">
        <v>501</v>
      </c>
    </row>
    <row r="493" spans="1:1" x14ac:dyDescent="0.25">
      <c r="A493" t="s">
        <v>613</v>
      </c>
    </row>
    <row r="494" spans="1:1" x14ac:dyDescent="0.25">
      <c r="A494" t="s">
        <v>496</v>
      </c>
    </row>
    <row r="495" spans="1:1" x14ac:dyDescent="0.25">
      <c r="A495" t="s">
        <v>614</v>
      </c>
    </row>
    <row r="496" spans="1:1" x14ac:dyDescent="0.25">
      <c r="A496" t="s">
        <v>497</v>
      </c>
    </row>
    <row r="497" spans="1:1" x14ac:dyDescent="0.25">
      <c r="A497" t="s">
        <v>615</v>
      </c>
    </row>
    <row r="498" spans="1:1" x14ac:dyDescent="0.25">
      <c r="A498" t="s">
        <v>498</v>
      </c>
    </row>
    <row r="499" spans="1:1" x14ac:dyDescent="0.25">
      <c r="A499" t="s">
        <v>616</v>
      </c>
    </row>
    <row r="500" spans="1:1" x14ac:dyDescent="0.25">
      <c r="A500" t="s">
        <v>499</v>
      </c>
    </row>
    <row r="501" spans="1:1" x14ac:dyDescent="0.25">
      <c r="A501" t="s">
        <v>502</v>
      </c>
    </row>
    <row r="502" spans="1:1" x14ac:dyDescent="0.25">
      <c r="A502" t="s">
        <v>503</v>
      </c>
    </row>
    <row r="503" spans="1:1" x14ac:dyDescent="0.25">
      <c r="A503" t="s">
        <v>504</v>
      </c>
    </row>
    <row r="504" spans="1:1" x14ac:dyDescent="0.25">
      <c r="A504" t="s">
        <v>505</v>
      </c>
    </row>
    <row r="505" spans="1:1" x14ac:dyDescent="0.25">
      <c r="A505" t="s">
        <v>506</v>
      </c>
    </row>
    <row r="506" spans="1:1" x14ac:dyDescent="0.25">
      <c r="A506" t="s">
        <v>507</v>
      </c>
    </row>
    <row r="507" spans="1:1" x14ac:dyDescent="0.25">
      <c r="A507" t="s">
        <v>617</v>
      </c>
    </row>
    <row r="508" spans="1:1" x14ac:dyDescent="0.25">
      <c r="A508" t="s">
        <v>618</v>
      </c>
    </row>
    <row r="509" spans="1:1" x14ac:dyDescent="0.25">
      <c r="A509" t="s">
        <v>619</v>
      </c>
    </row>
    <row r="510" spans="1:1" x14ac:dyDescent="0.25">
      <c r="A510" t="s">
        <v>620</v>
      </c>
    </row>
    <row r="511" spans="1:1" x14ac:dyDescent="0.25">
      <c r="A511" t="s">
        <v>621</v>
      </c>
    </row>
    <row r="512" spans="1:1" x14ac:dyDescent="0.25">
      <c r="A512" t="s">
        <v>622</v>
      </c>
    </row>
    <row r="513" spans="1:1" x14ac:dyDescent="0.25">
      <c r="A513" t="s">
        <v>623</v>
      </c>
    </row>
    <row r="514" spans="1:1" x14ac:dyDescent="0.25">
      <c r="A514" t="s">
        <v>624</v>
      </c>
    </row>
    <row r="515" spans="1:1" x14ac:dyDescent="0.25">
      <c r="A515" t="s">
        <v>625</v>
      </c>
    </row>
    <row r="516" spans="1:1" x14ac:dyDescent="0.25">
      <c r="A516" t="s">
        <v>626</v>
      </c>
    </row>
    <row r="517" spans="1:1" x14ac:dyDescent="0.25">
      <c r="A517" t="s">
        <v>627</v>
      </c>
    </row>
    <row r="518" spans="1:1" x14ac:dyDescent="0.25">
      <c r="A518" t="s">
        <v>628</v>
      </c>
    </row>
    <row r="519" spans="1:1" x14ac:dyDescent="0.25">
      <c r="A519" t="s">
        <v>629</v>
      </c>
    </row>
    <row r="520" spans="1:1" x14ac:dyDescent="0.25">
      <c r="A520" t="s">
        <v>630</v>
      </c>
    </row>
    <row r="521" spans="1:1" x14ac:dyDescent="0.25">
      <c r="A521" t="s">
        <v>631</v>
      </c>
    </row>
    <row r="522" spans="1:1" x14ac:dyDescent="0.25">
      <c r="A522" t="s">
        <v>632</v>
      </c>
    </row>
    <row r="523" spans="1:1" x14ac:dyDescent="0.25">
      <c r="A523" t="s">
        <v>633</v>
      </c>
    </row>
    <row r="524" spans="1:1" x14ac:dyDescent="0.25">
      <c r="A524" t="s">
        <v>634</v>
      </c>
    </row>
    <row r="525" spans="1:1" x14ac:dyDescent="0.25">
      <c r="A525" t="s">
        <v>635</v>
      </c>
    </row>
    <row r="526" spans="1:1" x14ac:dyDescent="0.25">
      <c r="A526" t="s">
        <v>636</v>
      </c>
    </row>
    <row r="527" spans="1:1" x14ac:dyDescent="0.25">
      <c r="A527" t="s">
        <v>637</v>
      </c>
    </row>
    <row r="528" spans="1:1" x14ac:dyDescent="0.25">
      <c r="A528" t="s">
        <v>638</v>
      </c>
    </row>
    <row r="529" spans="1:1" x14ac:dyDescent="0.25">
      <c r="A529" t="s">
        <v>639</v>
      </c>
    </row>
    <row r="530" spans="1:1" x14ac:dyDescent="0.25">
      <c r="A530" t="s">
        <v>640</v>
      </c>
    </row>
    <row r="531" spans="1:1" x14ac:dyDescent="0.25">
      <c r="A531" t="s">
        <v>641</v>
      </c>
    </row>
    <row r="532" spans="1:1" x14ac:dyDescent="0.25">
      <c r="A532" t="s">
        <v>642</v>
      </c>
    </row>
    <row r="533" spans="1:1" x14ac:dyDescent="0.25">
      <c r="A533" t="s">
        <v>643</v>
      </c>
    </row>
    <row r="534" spans="1:1" x14ac:dyDescent="0.25">
      <c r="A534" t="s">
        <v>644</v>
      </c>
    </row>
    <row r="535" spans="1:1" x14ac:dyDescent="0.25">
      <c r="A535" t="s">
        <v>645</v>
      </c>
    </row>
    <row r="536" spans="1:1" x14ac:dyDescent="0.25">
      <c r="A536" t="s">
        <v>646</v>
      </c>
    </row>
    <row r="537" spans="1:1" x14ac:dyDescent="0.25">
      <c r="A537" t="s">
        <v>647</v>
      </c>
    </row>
    <row r="538" spans="1:1" x14ac:dyDescent="0.25">
      <c r="A538" t="s">
        <v>648</v>
      </c>
    </row>
    <row r="539" spans="1:1" x14ac:dyDescent="0.25">
      <c r="A539" t="s">
        <v>649</v>
      </c>
    </row>
    <row r="540" spans="1:1" x14ac:dyDescent="0.25">
      <c r="A540" t="s">
        <v>650</v>
      </c>
    </row>
    <row r="541" spans="1:1" x14ac:dyDescent="0.25">
      <c r="A541" t="s">
        <v>651</v>
      </c>
    </row>
    <row r="542" spans="1:1" x14ac:dyDescent="0.25">
      <c r="A542" t="s">
        <v>652</v>
      </c>
    </row>
    <row r="543" spans="1:1" x14ac:dyDescent="0.25">
      <c r="A543" t="s">
        <v>653</v>
      </c>
    </row>
    <row r="544" spans="1:1" x14ac:dyDescent="0.25">
      <c r="A544" t="s">
        <v>654</v>
      </c>
    </row>
    <row r="545" spans="1:1" x14ac:dyDescent="0.25">
      <c r="A545" t="s">
        <v>655</v>
      </c>
    </row>
    <row r="546" spans="1:1" x14ac:dyDescent="0.25">
      <c r="A546" t="s">
        <v>656</v>
      </c>
    </row>
    <row r="547" spans="1:1" x14ac:dyDescent="0.25">
      <c r="A547" t="s">
        <v>657</v>
      </c>
    </row>
    <row r="548" spans="1:1" x14ac:dyDescent="0.25">
      <c r="A548" t="s">
        <v>658</v>
      </c>
    </row>
    <row r="549" spans="1:1" x14ac:dyDescent="0.25">
      <c r="A549" t="s">
        <v>659</v>
      </c>
    </row>
    <row r="550" spans="1:1" x14ac:dyDescent="0.25">
      <c r="A550" t="s">
        <v>660</v>
      </c>
    </row>
    <row r="551" spans="1:1" x14ac:dyDescent="0.25">
      <c r="A551" t="s">
        <v>661</v>
      </c>
    </row>
    <row r="552" spans="1:1" x14ac:dyDescent="0.25">
      <c r="A552" t="s">
        <v>662</v>
      </c>
    </row>
    <row r="553" spans="1:1" x14ac:dyDescent="0.25">
      <c r="A553" t="s">
        <v>663</v>
      </c>
    </row>
    <row r="554" spans="1:1" x14ac:dyDescent="0.25">
      <c r="A554" t="s">
        <v>664</v>
      </c>
    </row>
    <row r="555" spans="1:1" x14ac:dyDescent="0.25">
      <c r="A555" t="s">
        <v>665</v>
      </c>
    </row>
    <row r="556" spans="1:1" x14ac:dyDescent="0.25">
      <c r="A556" t="s">
        <v>666</v>
      </c>
    </row>
    <row r="557" spans="1:1" x14ac:dyDescent="0.25">
      <c r="A557" t="s">
        <v>667</v>
      </c>
    </row>
    <row r="558" spans="1:1" x14ac:dyDescent="0.25">
      <c r="A558" t="s">
        <v>668</v>
      </c>
    </row>
    <row r="559" spans="1:1" x14ac:dyDescent="0.25">
      <c r="A559" t="s">
        <v>669</v>
      </c>
    </row>
    <row r="560" spans="1:1" x14ac:dyDescent="0.25">
      <c r="A560" t="s">
        <v>670</v>
      </c>
    </row>
    <row r="561" spans="1:1" x14ac:dyDescent="0.25">
      <c r="A561" t="s">
        <v>671</v>
      </c>
    </row>
    <row r="562" spans="1:1" x14ac:dyDescent="0.25">
      <c r="A562" t="s">
        <v>672</v>
      </c>
    </row>
    <row r="563" spans="1:1" x14ac:dyDescent="0.25">
      <c r="A563" t="s">
        <v>673</v>
      </c>
    </row>
    <row r="564" spans="1:1" x14ac:dyDescent="0.25">
      <c r="A564" t="s">
        <v>674</v>
      </c>
    </row>
    <row r="565" spans="1:1" x14ac:dyDescent="0.25">
      <c r="A565" t="s">
        <v>675</v>
      </c>
    </row>
    <row r="566" spans="1:1" x14ac:dyDescent="0.25">
      <c r="A566" t="s">
        <v>676</v>
      </c>
    </row>
    <row r="567" spans="1:1" x14ac:dyDescent="0.25">
      <c r="A567" t="s">
        <v>677</v>
      </c>
    </row>
    <row r="568" spans="1:1" x14ac:dyDescent="0.25">
      <c r="A568" t="s">
        <v>678</v>
      </c>
    </row>
    <row r="569" spans="1:1" x14ac:dyDescent="0.25">
      <c r="A569" t="s">
        <v>679</v>
      </c>
    </row>
    <row r="570" spans="1:1" x14ac:dyDescent="0.25">
      <c r="A570" t="s">
        <v>680</v>
      </c>
    </row>
    <row r="571" spans="1:1" x14ac:dyDescent="0.25">
      <c r="A571" t="s">
        <v>681</v>
      </c>
    </row>
    <row r="572" spans="1:1" x14ac:dyDescent="0.25">
      <c r="A572" t="s">
        <v>682</v>
      </c>
    </row>
    <row r="573" spans="1:1" x14ac:dyDescent="0.25">
      <c r="A573" t="s">
        <v>683</v>
      </c>
    </row>
    <row r="574" spans="1:1" x14ac:dyDescent="0.25">
      <c r="A574" t="s">
        <v>684</v>
      </c>
    </row>
    <row r="575" spans="1:1" x14ac:dyDescent="0.25">
      <c r="A575" t="s">
        <v>685</v>
      </c>
    </row>
    <row r="576" spans="1:1" x14ac:dyDescent="0.25">
      <c r="A576" t="s">
        <v>686</v>
      </c>
    </row>
    <row r="577" spans="1:1" x14ac:dyDescent="0.25">
      <c r="A577" t="s">
        <v>687</v>
      </c>
    </row>
    <row r="578" spans="1:1" x14ac:dyDescent="0.25">
      <c r="A578" t="s">
        <v>688</v>
      </c>
    </row>
    <row r="579" spans="1:1" x14ac:dyDescent="0.25">
      <c r="A579" t="s">
        <v>689</v>
      </c>
    </row>
    <row r="580" spans="1:1" x14ac:dyDescent="0.25">
      <c r="A580" t="s">
        <v>690</v>
      </c>
    </row>
    <row r="581" spans="1:1" x14ac:dyDescent="0.25">
      <c r="A581" t="s">
        <v>691</v>
      </c>
    </row>
    <row r="582" spans="1:1" x14ac:dyDescent="0.25">
      <c r="A582" t="s">
        <v>692</v>
      </c>
    </row>
    <row r="583" spans="1:1" x14ac:dyDescent="0.25">
      <c r="A583" t="s">
        <v>693</v>
      </c>
    </row>
    <row r="584" spans="1:1" x14ac:dyDescent="0.25">
      <c r="A584" t="s">
        <v>694</v>
      </c>
    </row>
    <row r="585" spans="1:1" x14ac:dyDescent="0.25">
      <c r="A585" t="s">
        <v>695</v>
      </c>
    </row>
    <row r="586" spans="1:1" x14ac:dyDescent="0.25">
      <c r="A586" t="s">
        <v>696</v>
      </c>
    </row>
    <row r="587" spans="1:1" x14ac:dyDescent="0.25">
      <c r="A587" t="s">
        <v>697</v>
      </c>
    </row>
    <row r="588" spans="1:1" x14ac:dyDescent="0.25">
      <c r="A588" t="s">
        <v>698</v>
      </c>
    </row>
    <row r="589" spans="1:1" x14ac:dyDescent="0.25">
      <c r="A589" t="s">
        <v>699</v>
      </c>
    </row>
    <row r="590" spans="1:1" x14ac:dyDescent="0.25">
      <c r="A590" t="s">
        <v>700</v>
      </c>
    </row>
    <row r="591" spans="1:1" x14ac:dyDescent="0.25">
      <c r="A591" t="s">
        <v>701</v>
      </c>
    </row>
    <row r="592" spans="1:1" x14ac:dyDescent="0.25">
      <c r="A592" t="s">
        <v>702</v>
      </c>
    </row>
    <row r="593" spans="1:1" x14ac:dyDescent="0.25">
      <c r="A593" t="s">
        <v>703</v>
      </c>
    </row>
    <row r="594" spans="1:1" x14ac:dyDescent="0.25">
      <c r="A594" t="s">
        <v>704</v>
      </c>
    </row>
    <row r="595" spans="1:1" x14ac:dyDescent="0.25">
      <c r="A595" t="s">
        <v>705</v>
      </c>
    </row>
    <row r="596" spans="1:1" x14ac:dyDescent="0.25">
      <c r="A596" t="s">
        <v>706</v>
      </c>
    </row>
    <row r="597" spans="1:1" x14ac:dyDescent="0.25">
      <c r="A597" t="s">
        <v>707</v>
      </c>
    </row>
    <row r="598" spans="1:1" x14ac:dyDescent="0.25">
      <c r="A598" t="s">
        <v>708</v>
      </c>
    </row>
    <row r="599" spans="1:1" x14ac:dyDescent="0.25">
      <c r="A599" t="s">
        <v>709</v>
      </c>
    </row>
    <row r="600" spans="1:1" x14ac:dyDescent="0.25">
      <c r="A600" t="s">
        <v>710</v>
      </c>
    </row>
    <row r="601" spans="1:1" x14ac:dyDescent="0.25">
      <c r="A601" t="s">
        <v>711</v>
      </c>
    </row>
    <row r="602" spans="1:1" x14ac:dyDescent="0.25">
      <c r="A602" t="s">
        <v>712</v>
      </c>
    </row>
    <row r="603" spans="1:1" x14ac:dyDescent="0.25">
      <c r="A603" t="s">
        <v>713</v>
      </c>
    </row>
    <row r="604" spans="1:1" x14ac:dyDescent="0.25">
      <c r="A604" t="s">
        <v>714</v>
      </c>
    </row>
    <row r="605" spans="1:1" x14ac:dyDescent="0.25">
      <c r="A605" t="s">
        <v>715</v>
      </c>
    </row>
    <row r="606" spans="1:1" x14ac:dyDescent="0.25">
      <c r="A606" t="s">
        <v>716</v>
      </c>
    </row>
    <row r="607" spans="1:1" x14ac:dyDescent="0.25">
      <c r="A607" t="s">
        <v>717</v>
      </c>
    </row>
    <row r="608" spans="1:1" x14ac:dyDescent="0.25">
      <c r="A608" t="s">
        <v>718</v>
      </c>
    </row>
    <row r="609" spans="1:1" x14ac:dyDescent="0.25">
      <c r="A609" t="s">
        <v>719</v>
      </c>
    </row>
    <row r="610" spans="1:1" x14ac:dyDescent="0.25">
      <c r="A610" t="s">
        <v>720</v>
      </c>
    </row>
    <row r="611" spans="1:1" x14ac:dyDescent="0.25">
      <c r="A611" t="s">
        <v>721</v>
      </c>
    </row>
    <row r="612" spans="1:1" x14ac:dyDescent="0.25">
      <c r="A612" t="s">
        <v>722</v>
      </c>
    </row>
    <row r="613" spans="1:1" x14ac:dyDescent="0.25">
      <c r="A613" t="s">
        <v>723</v>
      </c>
    </row>
    <row r="614" spans="1:1" x14ac:dyDescent="0.25">
      <c r="A614" t="s">
        <v>724</v>
      </c>
    </row>
    <row r="615" spans="1:1" x14ac:dyDescent="0.25">
      <c r="A615" t="s">
        <v>725</v>
      </c>
    </row>
    <row r="616" spans="1:1" x14ac:dyDescent="0.25">
      <c r="A616" t="s">
        <v>726</v>
      </c>
    </row>
    <row r="617" spans="1:1" x14ac:dyDescent="0.25">
      <c r="A617" t="s">
        <v>727</v>
      </c>
    </row>
    <row r="618" spans="1:1" x14ac:dyDescent="0.25">
      <c r="A618" t="s">
        <v>728</v>
      </c>
    </row>
    <row r="619" spans="1:1" x14ac:dyDescent="0.25">
      <c r="A619" t="s">
        <v>729</v>
      </c>
    </row>
    <row r="620" spans="1:1" x14ac:dyDescent="0.25">
      <c r="A620" t="s">
        <v>730</v>
      </c>
    </row>
    <row r="621" spans="1:1" x14ac:dyDescent="0.25">
      <c r="A621" t="s">
        <v>731</v>
      </c>
    </row>
    <row r="622" spans="1:1" x14ac:dyDescent="0.25">
      <c r="A622" t="s">
        <v>732</v>
      </c>
    </row>
    <row r="623" spans="1:1" x14ac:dyDescent="0.25">
      <c r="A623" t="s">
        <v>733</v>
      </c>
    </row>
    <row r="624" spans="1:1" x14ac:dyDescent="0.25">
      <c r="A624" t="s">
        <v>734</v>
      </c>
    </row>
    <row r="625" spans="1:1" x14ac:dyDescent="0.25">
      <c r="A625" t="s">
        <v>735</v>
      </c>
    </row>
    <row r="626" spans="1:1" x14ac:dyDescent="0.25">
      <c r="A626" t="s">
        <v>736</v>
      </c>
    </row>
    <row r="627" spans="1:1" x14ac:dyDescent="0.25">
      <c r="A627" t="s">
        <v>737</v>
      </c>
    </row>
    <row r="628" spans="1:1" x14ac:dyDescent="0.25">
      <c r="A628" t="s">
        <v>738</v>
      </c>
    </row>
    <row r="629" spans="1:1" x14ac:dyDescent="0.25">
      <c r="A629" t="s">
        <v>739</v>
      </c>
    </row>
    <row r="630" spans="1:1" x14ac:dyDescent="0.25">
      <c r="A630" t="s">
        <v>740</v>
      </c>
    </row>
    <row r="631" spans="1:1" x14ac:dyDescent="0.25">
      <c r="A631" t="s">
        <v>741</v>
      </c>
    </row>
    <row r="632" spans="1:1" x14ac:dyDescent="0.25">
      <c r="A632" t="s">
        <v>742</v>
      </c>
    </row>
    <row r="633" spans="1:1" x14ac:dyDescent="0.25">
      <c r="A633" t="s">
        <v>743</v>
      </c>
    </row>
    <row r="634" spans="1:1" x14ac:dyDescent="0.25">
      <c r="A634" t="s">
        <v>744</v>
      </c>
    </row>
    <row r="635" spans="1:1" x14ac:dyDescent="0.25">
      <c r="A635" t="s">
        <v>745</v>
      </c>
    </row>
    <row r="636" spans="1:1" x14ac:dyDescent="0.25">
      <c r="A636" t="s">
        <v>746</v>
      </c>
    </row>
    <row r="637" spans="1:1" x14ac:dyDescent="0.25">
      <c r="A637" t="s">
        <v>747</v>
      </c>
    </row>
    <row r="638" spans="1:1" x14ac:dyDescent="0.25">
      <c r="A638" t="s">
        <v>748</v>
      </c>
    </row>
    <row r="639" spans="1:1" x14ac:dyDescent="0.25">
      <c r="A639" t="s">
        <v>749</v>
      </c>
    </row>
    <row r="640" spans="1:1" x14ac:dyDescent="0.25">
      <c r="A640" t="s">
        <v>750</v>
      </c>
    </row>
    <row r="641" spans="1:1" x14ac:dyDescent="0.25">
      <c r="A641" t="s">
        <v>751</v>
      </c>
    </row>
    <row r="642" spans="1:1" x14ac:dyDescent="0.25">
      <c r="A642" t="s">
        <v>752</v>
      </c>
    </row>
    <row r="643" spans="1:1" x14ac:dyDescent="0.25">
      <c r="A643" t="s">
        <v>753</v>
      </c>
    </row>
    <row r="644" spans="1:1" x14ac:dyDescent="0.25">
      <c r="A644" t="s">
        <v>754</v>
      </c>
    </row>
    <row r="645" spans="1:1" x14ac:dyDescent="0.25">
      <c r="A645" t="s">
        <v>755</v>
      </c>
    </row>
    <row r="646" spans="1:1" x14ac:dyDescent="0.25">
      <c r="A646" t="s">
        <v>756</v>
      </c>
    </row>
    <row r="647" spans="1:1" x14ac:dyDescent="0.25">
      <c r="A647" t="s">
        <v>757</v>
      </c>
    </row>
    <row r="648" spans="1:1" x14ac:dyDescent="0.25">
      <c r="A648" t="s">
        <v>758</v>
      </c>
    </row>
    <row r="649" spans="1:1" x14ac:dyDescent="0.25">
      <c r="A649" t="s">
        <v>759</v>
      </c>
    </row>
    <row r="650" spans="1:1" x14ac:dyDescent="0.25">
      <c r="A650" t="s">
        <v>760</v>
      </c>
    </row>
    <row r="651" spans="1:1" x14ac:dyDescent="0.25">
      <c r="A651" t="s">
        <v>761</v>
      </c>
    </row>
    <row r="652" spans="1:1" x14ac:dyDescent="0.25">
      <c r="A652" t="s">
        <v>762</v>
      </c>
    </row>
    <row r="653" spans="1:1" x14ac:dyDescent="0.25">
      <c r="A653" t="s">
        <v>763</v>
      </c>
    </row>
    <row r="654" spans="1:1" x14ac:dyDescent="0.25">
      <c r="A654" t="s">
        <v>764</v>
      </c>
    </row>
    <row r="655" spans="1:1" x14ac:dyDescent="0.25">
      <c r="A655" t="s">
        <v>765</v>
      </c>
    </row>
    <row r="656" spans="1:1" x14ac:dyDescent="0.25">
      <c r="A656" t="s">
        <v>766</v>
      </c>
    </row>
    <row r="657" spans="1:1" x14ac:dyDescent="0.25">
      <c r="A657" t="s">
        <v>767</v>
      </c>
    </row>
    <row r="658" spans="1:1" x14ac:dyDescent="0.25">
      <c r="A658" t="s">
        <v>768</v>
      </c>
    </row>
    <row r="659" spans="1:1" x14ac:dyDescent="0.25">
      <c r="A659" t="s">
        <v>769</v>
      </c>
    </row>
    <row r="660" spans="1:1" x14ac:dyDescent="0.25">
      <c r="A660" t="s">
        <v>770</v>
      </c>
    </row>
    <row r="661" spans="1:1" x14ac:dyDescent="0.25">
      <c r="A661" t="s">
        <v>771</v>
      </c>
    </row>
    <row r="662" spans="1:1" x14ac:dyDescent="0.25">
      <c r="A662" t="s">
        <v>772</v>
      </c>
    </row>
    <row r="663" spans="1:1" x14ac:dyDescent="0.25">
      <c r="A663" t="s">
        <v>773</v>
      </c>
    </row>
    <row r="664" spans="1:1" x14ac:dyDescent="0.25">
      <c r="A664" t="s">
        <v>774</v>
      </c>
    </row>
    <row r="665" spans="1:1" x14ac:dyDescent="0.25">
      <c r="A665" t="s">
        <v>775</v>
      </c>
    </row>
    <row r="666" spans="1:1" x14ac:dyDescent="0.25">
      <c r="A666" t="s">
        <v>776</v>
      </c>
    </row>
    <row r="667" spans="1:1" x14ac:dyDescent="0.25">
      <c r="A667" t="s">
        <v>777</v>
      </c>
    </row>
    <row r="668" spans="1:1" x14ac:dyDescent="0.25">
      <c r="A668" t="s">
        <v>778</v>
      </c>
    </row>
    <row r="669" spans="1:1" x14ac:dyDescent="0.25">
      <c r="A669" t="s">
        <v>779</v>
      </c>
    </row>
    <row r="670" spans="1:1" x14ac:dyDescent="0.25">
      <c r="A670" t="s">
        <v>780</v>
      </c>
    </row>
    <row r="671" spans="1:1" x14ac:dyDescent="0.25">
      <c r="A671" t="s">
        <v>781</v>
      </c>
    </row>
    <row r="672" spans="1:1" x14ac:dyDescent="0.25">
      <c r="A672" t="s">
        <v>782</v>
      </c>
    </row>
    <row r="673" spans="1:1" x14ac:dyDescent="0.25">
      <c r="A673" t="s">
        <v>783</v>
      </c>
    </row>
    <row r="674" spans="1:1" x14ac:dyDescent="0.25">
      <c r="A674" t="s">
        <v>784</v>
      </c>
    </row>
    <row r="675" spans="1:1" x14ac:dyDescent="0.25">
      <c r="A675" t="s">
        <v>785</v>
      </c>
    </row>
    <row r="676" spans="1:1" x14ac:dyDescent="0.25">
      <c r="A676" t="s">
        <v>786</v>
      </c>
    </row>
    <row r="677" spans="1:1" x14ac:dyDescent="0.25">
      <c r="A677" t="s">
        <v>787</v>
      </c>
    </row>
    <row r="678" spans="1:1" x14ac:dyDescent="0.25">
      <c r="A678" t="s">
        <v>788</v>
      </c>
    </row>
    <row r="679" spans="1:1" x14ac:dyDescent="0.25">
      <c r="A679" t="s">
        <v>789</v>
      </c>
    </row>
    <row r="680" spans="1:1" x14ac:dyDescent="0.25">
      <c r="A680" t="s">
        <v>790</v>
      </c>
    </row>
    <row r="681" spans="1:1" x14ac:dyDescent="0.25">
      <c r="A681" t="s">
        <v>791</v>
      </c>
    </row>
    <row r="682" spans="1:1" x14ac:dyDescent="0.25">
      <c r="A682" t="s">
        <v>792</v>
      </c>
    </row>
    <row r="683" spans="1:1" x14ac:dyDescent="0.25">
      <c r="A683" t="s">
        <v>793</v>
      </c>
    </row>
    <row r="684" spans="1:1" x14ac:dyDescent="0.25">
      <c r="A684" t="s">
        <v>794</v>
      </c>
    </row>
    <row r="685" spans="1:1" x14ac:dyDescent="0.25">
      <c r="A685" t="s">
        <v>795</v>
      </c>
    </row>
    <row r="686" spans="1:1" x14ac:dyDescent="0.25">
      <c r="A686" t="s">
        <v>796</v>
      </c>
    </row>
    <row r="687" spans="1:1" x14ac:dyDescent="0.25">
      <c r="A687" t="s">
        <v>797</v>
      </c>
    </row>
    <row r="688" spans="1:1" x14ac:dyDescent="0.25">
      <c r="A688" t="s">
        <v>798</v>
      </c>
    </row>
    <row r="689" spans="1:1" x14ac:dyDescent="0.25">
      <c r="A689" t="s">
        <v>799</v>
      </c>
    </row>
    <row r="690" spans="1:1" x14ac:dyDescent="0.25">
      <c r="A690" t="s">
        <v>800</v>
      </c>
    </row>
    <row r="691" spans="1:1" x14ac:dyDescent="0.25">
      <c r="A691" t="s">
        <v>801</v>
      </c>
    </row>
    <row r="692" spans="1:1" x14ac:dyDescent="0.25">
      <c r="A692" t="s">
        <v>802</v>
      </c>
    </row>
    <row r="693" spans="1:1" x14ac:dyDescent="0.25">
      <c r="A693" t="s">
        <v>803</v>
      </c>
    </row>
    <row r="694" spans="1:1" x14ac:dyDescent="0.25">
      <c r="A694" t="s">
        <v>804</v>
      </c>
    </row>
    <row r="695" spans="1:1" x14ac:dyDescent="0.25">
      <c r="A695" t="s">
        <v>805</v>
      </c>
    </row>
    <row r="696" spans="1:1" x14ac:dyDescent="0.25">
      <c r="A696" t="s">
        <v>806</v>
      </c>
    </row>
    <row r="697" spans="1:1" x14ac:dyDescent="0.25">
      <c r="A697" t="s">
        <v>807</v>
      </c>
    </row>
    <row r="698" spans="1:1" x14ac:dyDescent="0.25">
      <c r="A698" t="s">
        <v>808</v>
      </c>
    </row>
    <row r="699" spans="1:1" x14ac:dyDescent="0.25">
      <c r="A699" t="s">
        <v>809</v>
      </c>
    </row>
    <row r="700" spans="1:1" x14ac:dyDescent="0.25">
      <c r="A700" t="s">
        <v>810</v>
      </c>
    </row>
    <row r="701" spans="1:1" x14ac:dyDescent="0.25">
      <c r="A701" t="s">
        <v>811</v>
      </c>
    </row>
    <row r="702" spans="1:1" x14ac:dyDescent="0.25">
      <c r="A702" t="s">
        <v>812</v>
      </c>
    </row>
    <row r="703" spans="1:1" x14ac:dyDescent="0.25">
      <c r="A703" t="s">
        <v>813</v>
      </c>
    </row>
    <row r="704" spans="1:1" x14ac:dyDescent="0.25">
      <c r="A704" t="s">
        <v>814</v>
      </c>
    </row>
    <row r="705" spans="1:1" x14ac:dyDescent="0.25">
      <c r="A705" t="s">
        <v>815</v>
      </c>
    </row>
    <row r="706" spans="1:1" x14ac:dyDescent="0.25">
      <c r="A706" t="s">
        <v>816</v>
      </c>
    </row>
    <row r="707" spans="1:1" x14ac:dyDescent="0.25">
      <c r="A707" t="s">
        <v>817</v>
      </c>
    </row>
    <row r="708" spans="1:1" x14ac:dyDescent="0.25">
      <c r="A708" t="s">
        <v>818</v>
      </c>
    </row>
    <row r="709" spans="1:1" x14ac:dyDescent="0.25">
      <c r="A709" t="s">
        <v>819</v>
      </c>
    </row>
    <row r="710" spans="1:1" x14ac:dyDescent="0.25">
      <c r="A710" t="s">
        <v>820</v>
      </c>
    </row>
    <row r="711" spans="1:1" x14ac:dyDescent="0.25">
      <c r="A711" t="s">
        <v>821</v>
      </c>
    </row>
    <row r="712" spans="1:1" x14ac:dyDescent="0.25">
      <c r="A712" t="s">
        <v>822</v>
      </c>
    </row>
    <row r="713" spans="1:1" x14ac:dyDescent="0.25">
      <c r="A713" t="s">
        <v>823</v>
      </c>
    </row>
    <row r="714" spans="1:1" x14ac:dyDescent="0.25">
      <c r="A714" t="s">
        <v>824</v>
      </c>
    </row>
    <row r="715" spans="1:1" x14ac:dyDescent="0.25">
      <c r="A715" t="s">
        <v>825</v>
      </c>
    </row>
    <row r="716" spans="1:1" x14ac:dyDescent="0.25">
      <c r="A716" t="s">
        <v>826</v>
      </c>
    </row>
    <row r="717" spans="1:1" x14ac:dyDescent="0.25">
      <c r="A717" t="s">
        <v>827</v>
      </c>
    </row>
    <row r="718" spans="1:1" x14ac:dyDescent="0.25">
      <c r="A718" t="s">
        <v>828</v>
      </c>
    </row>
    <row r="719" spans="1:1" x14ac:dyDescent="0.25">
      <c r="A719" t="s">
        <v>829</v>
      </c>
    </row>
    <row r="720" spans="1:1" x14ac:dyDescent="0.25">
      <c r="A720" t="s">
        <v>830</v>
      </c>
    </row>
    <row r="721" spans="1:1" x14ac:dyDescent="0.25">
      <c r="A721" t="s">
        <v>831</v>
      </c>
    </row>
    <row r="722" spans="1:1" x14ac:dyDescent="0.25">
      <c r="A722" t="s">
        <v>832</v>
      </c>
    </row>
    <row r="723" spans="1:1" x14ac:dyDescent="0.25">
      <c r="A723" t="s">
        <v>833</v>
      </c>
    </row>
    <row r="724" spans="1:1" x14ac:dyDescent="0.25">
      <c r="A724" t="s">
        <v>834</v>
      </c>
    </row>
    <row r="725" spans="1:1" x14ac:dyDescent="0.25">
      <c r="A725" t="s">
        <v>835</v>
      </c>
    </row>
    <row r="726" spans="1:1" x14ac:dyDescent="0.25">
      <c r="A726" t="s">
        <v>836</v>
      </c>
    </row>
    <row r="727" spans="1:1" x14ac:dyDescent="0.25">
      <c r="A727" t="s">
        <v>837</v>
      </c>
    </row>
    <row r="728" spans="1:1" x14ac:dyDescent="0.25">
      <c r="A728" t="s">
        <v>838</v>
      </c>
    </row>
    <row r="729" spans="1:1" x14ac:dyDescent="0.25">
      <c r="A729" t="s">
        <v>839</v>
      </c>
    </row>
    <row r="730" spans="1:1" x14ac:dyDescent="0.25">
      <c r="A730" t="s">
        <v>840</v>
      </c>
    </row>
    <row r="731" spans="1:1" x14ac:dyDescent="0.25">
      <c r="A731" t="s">
        <v>841</v>
      </c>
    </row>
    <row r="732" spans="1:1" x14ac:dyDescent="0.25">
      <c r="A732" t="s">
        <v>842</v>
      </c>
    </row>
    <row r="733" spans="1:1" x14ac:dyDescent="0.25">
      <c r="A733" t="s">
        <v>843</v>
      </c>
    </row>
    <row r="734" spans="1:1" x14ac:dyDescent="0.25">
      <c r="A734" t="s">
        <v>844</v>
      </c>
    </row>
    <row r="735" spans="1:1" x14ac:dyDescent="0.25">
      <c r="A735" t="s">
        <v>845</v>
      </c>
    </row>
    <row r="736" spans="1:1" x14ac:dyDescent="0.25">
      <c r="A736" t="s">
        <v>846</v>
      </c>
    </row>
    <row r="737" spans="1:1" x14ac:dyDescent="0.25">
      <c r="A737" t="s">
        <v>847</v>
      </c>
    </row>
    <row r="738" spans="1:1" x14ac:dyDescent="0.25">
      <c r="A738" t="s">
        <v>848</v>
      </c>
    </row>
    <row r="739" spans="1:1" x14ac:dyDescent="0.25">
      <c r="A739" t="s">
        <v>849</v>
      </c>
    </row>
    <row r="740" spans="1:1" x14ac:dyDescent="0.25">
      <c r="A740" t="s">
        <v>850</v>
      </c>
    </row>
    <row r="741" spans="1:1" x14ac:dyDescent="0.25">
      <c r="A741" t="s">
        <v>851</v>
      </c>
    </row>
    <row r="742" spans="1:1" x14ac:dyDescent="0.25">
      <c r="A742" t="s">
        <v>852</v>
      </c>
    </row>
    <row r="743" spans="1:1" x14ac:dyDescent="0.25">
      <c r="A743" t="s">
        <v>853</v>
      </c>
    </row>
    <row r="744" spans="1:1" x14ac:dyDescent="0.25">
      <c r="A744" t="s">
        <v>854</v>
      </c>
    </row>
    <row r="745" spans="1:1" x14ac:dyDescent="0.25">
      <c r="A745" t="s">
        <v>855</v>
      </c>
    </row>
    <row r="746" spans="1:1" x14ac:dyDescent="0.25">
      <c r="A746" t="s">
        <v>856</v>
      </c>
    </row>
    <row r="747" spans="1:1" x14ac:dyDescent="0.25">
      <c r="A747" t="s">
        <v>857</v>
      </c>
    </row>
    <row r="748" spans="1:1" x14ac:dyDescent="0.25">
      <c r="A748" t="s">
        <v>858</v>
      </c>
    </row>
    <row r="749" spans="1:1" x14ac:dyDescent="0.25">
      <c r="A749" t="s">
        <v>859</v>
      </c>
    </row>
    <row r="750" spans="1:1" x14ac:dyDescent="0.25">
      <c r="A750" t="s">
        <v>860</v>
      </c>
    </row>
    <row r="751" spans="1:1" x14ac:dyDescent="0.25">
      <c r="A751" t="s">
        <v>861</v>
      </c>
    </row>
    <row r="752" spans="1:1" x14ac:dyDescent="0.25">
      <c r="A752" t="s">
        <v>862</v>
      </c>
    </row>
    <row r="753" spans="1:1" x14ac:dyDescent="0.25">
      <c r="A753" t="s">
        <v>863</v>
      </c>
    </row>
    <row r="754" spans="1:1" x14ac:dyDescent="0.25">
      <c r="A754" t="s">
        <v>864</v>
      </c>
    </row>
    <row r="755" spans="1:1" x14ac:dyDescent="0.25">
      <c r="A755" t="s">
        <v>865</v>
      </c>
    </row>
    <row r="756" spans="1:1" x14ac:dyDescent="0.25">
      <c r="A756" t="s">
        <v>866</v>
      </c>
    </row>
    <row r="757" spans="1:1" x14ac:dyDescent="0.25">
      <c r="A757" t="s">
        <v>867</v>
      </c>
    </row>
    <row r="758" spans="1:1" x14ac:dyDescent="0.25">
      <c r="A758" t="s">
        <v>868</v>
      </c>
    </row>
    <row r="759" spans="1:1" x14ac:dyDescent="0.25">
      <c r="A759" t="s">
        <v>869</v>
      </c>
    </row>
    <row r="760" spans="1:1" x14ac:dyDescent="0.25">
      <c r="A760" t="s">
        <v>870</v>
      </c>
    </row>
    <row r="761" spans="1:1" x14ac:dyDescent="0.25">
      <c r="A761" t="s">
        <v>871</v>
      </c>
    </row>
    <row r="762" spans="1:1" x14ac:dyDescent="0.25">
      <c r="A762" t="s">
        <v>872</v>
      </c>
    </row>
    <row r="763" spans="1:1" x14ac:dyDescent="0.25">
      <c r="A763" t="s">
        <v>873</v>
      </c>
    </row>
    <row r="764" spans="1:1" x14ac:dyDescent="0.25">
      <c r="A764" t="s">
        <v>874</v>
      </c>
    </row>
    <row r="765" spans="1:1" x14ac:dyDescent="0.25">
      <c r="A765" t="s">
        <v>875</v>
      </c>
    </row>
    <row r="766" spans="1:1" x14ac:dyDescent="0.25">
      <c r="A766" t="s">
        <v>876</v>
      </c>
    </row>
    <row r="767" spans="1:1" x14ac:dyDescent="0.25">
      <c r="A767" t="s">
        <v>877</v>
      </c>
    </row>
    <row r="768" spans="1:1" x14ac:dyDescent="0.25">
      <c r="A768" t="s">
        <v>878</v>
      </c>
    </row>
    <row r="769" spans="1:1" x14ac:dyDescent="0.25">
      <c r="A769" t="s">
        <v>879</v>
      </c>
    </row>
    <row r="770" spans="1:1" x14ac:dyDescent="0.25">
      <c r="A770" t="s">
        <v>880</v>
      </c>
    </row>
    <row r="771" spans="1:1" x14ac:dyDescent="0.25">
      <c r="A771" t="s">
        <v>881</v>
      </c>
    </row>
    <row r="772" spans="1:1" x14ac:dyDescent="0.25">
      <c r="A772" t="s">
        <v>882</v>
      </c>
    </row>
    <row r="773" spans="1:1" x14ac:dyDescent="0.25">
      <c r="A773" t="s">
        <v>883</v>
      </c>
    </row>
    <row r="774" spans="1:1" x14ac:dyDescent="0.25">
      <c r="A774" t="s">
        <v>884</v>
      </c>
    </row>
    <row r="775" spans="1:1" x14ac:dyDescent="0.25">
      <c r="A775" t="s">
        <v>885</v>
      </c>
    </row>
    <row r="776" spans="1:1" x14ac:dyDescent="0.25">
      <c r="A776" t="s">
        <v>886</v>
      </c>
    </row>
    <row r="777" spans="1:1" x14ac:dyDescent="0.25">
      <c r="A777" t="s">
        <v>887</v>
      </c>
    </row>
    <row r="778" spans="1:1" x14ac:dyDescent="0.25">
      <c r="A778" t="s">
        <v>888</v>
      </c>
    </row>
    <row r="779" spans="1:1" x14ac:dyDescent="0.25">
      <c r="A779" t="s">
        <v>889</v>
      </c>
    </row>
    <row r="780" spans="1:1" x14ac:dyDescent="0.25">
      <c r="A780" t="s">
        <v>890</v>
      </c>
    </row>
    <row r="781" spans="1:1" x14ac:dyDescent="0.25">
      <c r="A781" t="s">
        <v>891</v>
      </c>
    </row>
    <row r="782" spans="1:1" x14ac:dyDescent="0.25">
      <c r="A782" t="s">
        <v>892</v>
      </c>
    </row>
    <row r="783" spans="1:1" x14ac:dyDescent="0.25">
      <c r="A783" t="s">
        <v>893</v>
      </c>
    </row>
    <row r="784" spans="1:1" x14ac:dyDescent="0.25">
      <c r="A784" t="s">
        <v>894</v>
      </c>
    </row>
    <row r="785" spans="1:1" x14ac:dyDescent="0.25">
      <c r="A785" t="s">
        <v>895</v>
      </c>
    </row>
    <row r="786" spans="1:1" x14ac:dyDescent="0.25">
      <c r="A786" t="s">
        <v>896</v>
      </c>
    </row>
    <row r="787" spans="1:1" x14ac:dyDescent="0.25">
      <c r="A787" t="s">
        <v>897</v>
      </c>
    </row>
    <row r="788" spans="1:1" x14ac:dyDescent="0.25">
      <c r="A788" t="s">
        <v>898</v>
      </c>
    </row>
    <row r="789" spans="1:1" x14ac:dyDescent="0.25">
      <c r="A789" t="s">
        <v>899</v>
      </c>
    </row>
    <row r="790" spans="1:1" x14ac:dyDescent="0.25">
      <c r="A790" t="s">
        <v>900</v>
      </c>
    </row>
    <row r="791" spans="1:1" x14ac:dyDescent="0.25">
      <c r="A791" t="s">
        <v>901</v>
      </c>
    </row>
    <row r="792" spans="1:1" x14ac:dyDescent="0.25">
      <c r="A792" t="s">
        <v>902</v>
      </c>
    </row>
    <row r="793" spans="1:1" x14ac:dyDescent="0.25">
      <c r="A793" t="s">
        <v>903</v>
      </c>
    </row>
    <row r="794" spans="1:1" x14ac:dyDescent="0.25">
      <c r="A794" t="s">
        <v>904</v>
      </c>
    </row>
    <row r="795" spans="1:1" x14ac:dyDescent="0.25">
      <c r="A795" t="s">
        <v>905</v>
      </c>
    </row>
    <row r="796" spans="1:1" x14ac:dyDescent="0.25">
      <c r="A796" t="s">
        <v>906</v>
      </c>
    </row>
    <row r="797" spans="1:1" x14ac:dyDescent="0.25">
      <c r="A797" t="s">
        <v>907</v>
      </c>
    </row>
    <row r="798" spans="1:1" x14ac:dyDescent="0.25">
      <c r="A798" t="s">
        <v>908</v>
      </c>
    </row>
    <row r="799" spans="1:1" x14ac:dyDescent="0.25">
      <c r="A799" t="s">
        <v>909</v>
      </c>
    </row>
    <row r="800" spans="1:1" x14ac:dyDescent="0.25">
      <c r="A800" t="s">
        <v>910</v>
      </c>
    </row>
    <row r="801" spans="1:1" x14ac:dyDescent="0.25">
      <c r="A801" t="s">
        <v>911</v>
      </c>
    </row>
    <row r="802" spans="1:1" x14ac:dyDescent="0.25">
      <c r="A802" t="s">
        <v>912</v>
      </c>
    </row>
    <row r="803" spans="1:1" x14ac:dyDescent="0.25">
      <c r="A803" t="s">
        <v>913</v>
      </c>
    </row>
    <row r="804" spans="1:1" x14ac:dyDescent="0.25">
      <c r="A804" t="s">
        <v>914</v>
      </c>
    </row>
    <row r="805" spans="1:1" x14ac:dyDescent="0.25">
      <c r="A805" t="s">
        <v>915</v>
      </c>
    </row>
    <row r="806" spans="1:1" x14ac:dyDescent="0.25">
      <c r="A806" t="s">
        <v>916</v>
      </c>
    </row>
    <row r="807" spans="1:1" x14ac:dyDescent="0.25">
      <c r="A807" t="s">
        <v>917</v>
      </c>
    </row>
    <row r="808" spans="1:1" x14ac:dyDescent="0.25">
      <c r="A808" t="s">
        <v>918</v>
      </c>
    </row>
    <row r="809" spans="1:1" x14ac:dyDescent="0.25">
      <c r="A809" t="s">
        <v>919</v>
      </c>
    </row>
    <row r="810" spans="1:1" x14ac:dyDescent="0.25">
      <c r="A810" t="s">
        <v>920</v>
      </c>
    </row>
    <row r="811" spans="1:1" x14ac:dyDescent="0.25">
      <c r="A811" t="s">
        <v>921</v>
      </c>
    </row>
    <row r="812" spans="1:1" x14ac:dyDescent="0.25">
      <c r="A812" t="s">
        <v>922</v>
      </c>
    </row>
    <row r="813" spans="1:1" x14ac:dyDescent="0.25">
      <c r="A813" t="s">
        <v>923</v>
      </c>
    </row>
    <row r="814" spans="1:1" x14ac:dyDescent="0.25">
      <c r="A814" t="s">
        <v>924</v>
      </c>
    </row>
    <row r="815" spans="1:1" x14ac:dyDescent="0.25">
      <c r="A815" t="s">
        <v>925</v>
      </c>
    </row>
    <row r="816" spans="1:1" x14ac:dyDescent="0.25">
      <c r="A816" t="s">
        <v>926</v>
      </c>
    </row>
    <row r="817" spans="1:1" x14ac:dyDescent="0.25">
      <c r="A817" t="s">
        <v>927</v>
      </c>
    </row>
    <row r="818" spans="1:1" x14ac:dyDescent="0.25">
      <c r="A818" t="s">
        <v>928</v>
      </c>
    </row>
    <row r="819" spans="1:1" x14ac:dyDescent="0.25">
      <c r="A819" t="s">
        <v>929</v>
      </c>
    </row>
    <row r="820" spans="1:1" x14ac:dyDescent="0.25">
      <c r="A820" t="s">
        <v>930</v>
      </c>
    </row>
    <row r="821" spans="1:1" x14ac:dyDescent="0.25">
      <c r="A821" t="s">
        <v>931</v>
      </c>
    </row>
    <row r="822" spans="1:1" x14ac:dyDescent="0.25">
      <c r="A822" t="s">
        <v>932</v>
      </c>
    </row>
    <row r="823" spans="1:1" x14ac:dyDescent="0.25">
      <c r="A823" t="s">
        <v>933</v>
      </c>
    </row>
    <row r="824" spans="1:1" x14ac:dyDescent="0.25">
      <c r="A824" t="s">
        <v>934</v>
      </c>
    </row>
    <row r="825" spans="1:1" x14ac:dyDescent="0.25">
      <c r="A825" t="s">
        <v>935</v>
      </c>
    </row>
    <row r="826" spans="1:1" x14ac:dyDescent="0.25">
      <c r="A826" t="s">
        <v>936</v>
      </c>
    </row>
    <row r="827" spans="1:1" x14ac:dyDescent="0.25">
      <c r="A827" t="s">
        <v>937</v>
      </c>
    </row>
    <row r="828" spans="1:1" x14ac:dyDescent="0.25">
      <c r="A828" t="s">
        <v>938</v>
      </c>
    </row>
    <row r="829" spans="1:1" x14ac:dyDescent="0.25">
      <c r="A829" t="s">
        <v>939</v>
      </c>
    </row>
    <row r="830" spans="1:1" x14ac:dyDescent="0.25">
      <c r="A830" t="s">
        <v>940</v>
      </c>
    </row>
    <row r="831" spans="1:1" x14ac:dyDescent="0.25">
      <c r="A831" t="s">
        <v>941</v>
      </c>
    </row>
    <row r="832" spans="1:1" x14ac:dyDescent="0.25">
      <c r="A832" t="s">
        <v>942</v>
      </c>
    </row>
    <row r="833" spans="1:1" x14ac:dyDescent="0.25">
      <c r="A833" t="s">
        <v>943</v>
      </c>
    </row>
    <row r="834" spans="1:1" x14ac:dyDescent="0.25">
      <c r="A834" t="s">
        <v>944</v>
      </c>
    </row>
    <row r="835" spans="1:1" x14ac:dyDescent="0.25">
      <c r="A835" t="s">
        <v>945</v>
      </c>
    </row>
    <row r="836" spans="1:1" x14ac:dyDescent="0.25">
      <c r="A836" t="s">
        <v>946</v>
      </c>
    </row>
    <row r="837" spans="1:1" x14ac:dyDescent="0.25">
      <c r="A837" t="s">
        <v>947</v>
      </c>
    </row>
    <row r="838" spans="1:1" x14ac:dyDescent="0.25">
      <c r="A838" t="s">
        <v>948</v>
      </c>
    </row>
    <row r="839" spans="1:1" x14ac:dyDescent="0.25">
      <c r="A839" t="s">
        <v>949</v>
      </c>
    </row>
    <row r="840" spans="1:1" x14ac:dyDescent="0.25">
      <c r="A840" t="s">
        <v>950</v>
      </c>
    </row>
    <row r="841" spans="1:1" x14ac:dyDescent="0.25">
      <c r="A841" t="s">
        <v>951</v>
      </c>
    </row>
    <row r="842" spans="1:1" x14ac:dyDescent="0.25">
      <c r="A842" t="s">
        <v>952</v>
      </c>
    </row>
    <row r="843" spans="1:1" x14ac:dyDescent="0.25">
      <c r="A843" t="s">
        <v>953</v>
      </c>
    </row>
    <row r="844" spans="1:1" x14ac:dyDescent="0.25">
      <c r="A844" t="s">
        <v>954</v>
      </c>
    </row>
    <row r="845" spans="1:1" x14ac:dyDescent="0.25">
      <c r="A845" t="s">
        <v>955</v>
      </c>
    </row>
    <row r="846" spans="1:1" x14ac:dyDescent="0.25">
      <c r="A846" t="s">
        <v>956</v>
      </c>
    </row>
    <row r="847" spans="1:1" x14ac:dyDescent="0.25">
      <c r="A847" t="s">
        <v>957</v>
      </c>
    </row>
    <row r="848" spans="1:1" x14ac:dyDescent="0.25">
      <c r="A848" t="s">
        <v>958</v>
      </c>
    </row>
    <row r="849" spans="1:1" x14ac:dyDescent="0.25">
      <c r="A849" t="s">
        <v>959</v>
      </c>
    </row>
    <row r="850" spans="1:1" x14ac:dyDescent="0.25">
      <c r="A850" t="s">
        <v>960</v>
      </c>
    </row>
    <row r="851" spans="1:1" x14ac:dyDescent="0.25">
      <c r="A851" t="s">
        <v>961</v>
      </c>
    </row>
    <row r="852" spans="1:1" x14ac:dyDescent="0.25">
      <c r="A852" t="s">
        <v>962</v>
      </c>
    </row>
    <row r="853" spans="1:1" x14ac:dyDescent="0.25">
      <c r="A853" t="s">
        <v>963</v>
      </c>
    </row>
    <row r="854" spans="1:1" x14ac:dyDescent="0.25">
      <c r="A854" t="s">
        <v>964</v>
      </c>
    </row>
    <row r="855" spans="1:1" x14ac:dyDescent="0.25">
      <c r="A855" t="s">
        <v>965</v>
      </c>
    </row>
    <row r="856" spans="1:1" x14ac:dyDescent="0.25">
      <c r="A856" t="s">
        <v>966</v>
      </c>
    </row>
    <row r="857" spans="1:1" x14ac:dyDescent="0.25">
      <c r="A857" t="s">
        <v>967</v>
      </c>
    </row>
    <row r="858" spans="1:1" x14ac:dyDescent="0.25">
      <c r="A858" t="s">
        <v>968</v>
      </c>
    </row>
    <row r="859" spans="1:1" x14ac:dyDescent="0.25">
      <c r="A859" t="s">
        <v>969</v>
      </c>
    </row>
    <row r="860" spans="1:1" x14ac:dyDescent="0.25">
      <c r="A860" t="s">
        <v>970</v>
      </c>
    </row>
    <row r="861" spans="1:1" x14ac:dyDescent="0.25">
      <c r="A861" t="s">
        <v>971</v>
      </c>
    </row>
    <row r="862" spans="1:1" x14ac:dyDescent="0.25">
      <c r="A862" t="s">
        <v>972</v>
      </c>
    </row>
    <row r="863" spans="1:1" x14ac:dyDescent="0.25">
      <c r="A863" t="s">
        <v>973</v>
      </c>
    </row>
    <row r="864" spans="1:1" x14ac:dyDescent="0.25">
      <c r="A864" t="s">
        <v>974</v>
      </c>
    </row>
    <row r="865" spans="1:1" x14ac:dyDescent="0.25">
      <c r="A865" t="s">
        <v>975</v>
      </c>
    </row>
    <row r="866" spans="1:1" x14ac:dyDescent="0.25">
      <c r="A866" t="s">
        <v>976</v>
      </c>
    </row>
    <row r="867" spans="1:1" x14ac:dyDescent="0.25">
      <c r="A867" t="s">
        <v>977</v>
      </c>
    </row>
    <row r="868" spans="1:1" x14ac:dyDescent="0.25">
      <c r="A868" t="s">
        <v>978</v>
      </c>
    </row>
    <row r="869" spans="1:1" x14ac:dyDescent="0.25">
      <c r="A869" t="s">
        <v>979</v>
      </c>
    </row>
    <row r="870" spans="1:1" x14ac:dyDescent="0.25">
      <c r="A870" t="s">
        <v>980</v>
      </c>
    </row>
    <row r="871" spans="1:1" x14ac:dyDescent="0.25">
      <c r="A871" t="s">
        <v>981</v>
      </c>
    </row>
    <row r="872" spans="1:1" x14ac:dyDescent="0.25">
      <c r="A872" t="s">
        <v>982</v>
      </c>
    </row>
    <row r="873" spans="1:1" x14ac:dyDescent="0.25">
      <c r="A873" t="s">
        <v>983</v>
      </c>
    </row>
    <row r="874" spans="1:1" x14ac:dyDescent="0.25">
      <c r="A874" t="s">
        <v>984</v>
      </c>
    </row>
    <row r="875" spans="1:1" x14ac:dyDescent="0.25">
      <c r="A875" t="s">
        <v>985</v>
      </c>
    </row>
    <row r="876" spans="1:1" x14ac:dyDescent="0.25">
      <c r="A876" t="s">
        <v>986</v>
      </c>
    </row>
    <row r="877" spans="1:1" x14ac:dyDescent="0.25">
      <c r="A877" t="s">
        <v>987</v>
      </c>
    </row>
    <row r="878" spans="1:1" x14ac:dyDescent="0.25">
      <c r="A878" t="s">
        <v>988</v>
      </c>
    </row>
    <row r="879" spans="1:1" x14ac:dyDescent="0.25">
      <c r="A879" t="s">
        <v>989</v>
      </c>
    </row>
    <row r="880" spans="1:1" x14ac:dyDescent="0.25">
      <c r="A880" t="s">
        <v>990</v>
      </c>
    </row>
    <row r="881" spans="1:1" x14ac:dyDescent="0.25">
      <c r="A881" t="s">
        <v>991</v>
      </c>
    </row>
    <row r="882" spans="1:1" x14ac:dyDescent="0.25">
      <c r="A882" t="s">
        <v>992</v>
      </c>
    </row>
    <row r="883" spans="1:1" x14ac:dyDescent="0.25">
      <c r="A883" t="s">
        <v>993</v>
      </c>
    </row>
    <row r="884" spans="1:1" x14ac:dyDescent="0.25">
      <c r="A884" t="s">
        <v>994</v>
      </c>
    </row>
    <row r="885" spans="1:1" x14ac:dyDescent="0.25">
      <c r="A885" t="s">
        <v>995</v>
      </c>
    </row>
    <row r="886" spans="1:1" x14ac:dyDescent="0.25">
      <c r="A886" t="s">
        <v>996</v>
      </c>
    </row>
    <row r="887" spans="1:1" x14ac:dyDescent="0.25">
      <c r="A887" t="s">
        <v>997</v>
      </c>
    </row>
    <row r="888" spans="1:1" x14ac:dyDescent="0.25">
      <c r="A888" t="s">
        <v>998</v>
      </c>
    </row>
    <row r="889" spans="1:1" x14ac:dyDescent="0.25">
      <c r="A889" t="s">
        <v>999</v>
      </c>
    </row>
    <row r="890" spans="1:1" x14ac:dyDescent="0.25">
      <c r="A890" t="s">
        <v>1000</v>
      </c>
    </row>
    <row r="891" spans="1:1" x14ac:dyDescent="0.25">
      <c r="A891" t="s">
        <v>1001</v>
      </c>
    </row>
    <row r="892" spans="1:1" x14ac:dyDescent="0.25">
      <c r="A892" t="s">
        <v>1002</v>
      </c>
    </row>
    <row r="893" spans="1:1" x14ac:dyDescent="0.25">
      <c r="A893" t="s">
        <v>1003</v>
      </c>
    </row>
    <row r="894" spans="1:1" x14ac:dyDescent="0.25">
      <c r="A894" t="s">
        <v>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47</vt:i4>
      </vt:variant>
    </vt:vector>
  </HeadingPairs>
  <TitlesOfParts>
    <vt:vector size="49" baseType="lpstr">
      <vt:lpstr>program details</vt:lpstr>
      <vt:lpstr>{PL}PickLst</vt:lpstr>
      <vt:lpstr>curHLYear</vt:lpstr>
      <vt:lpstr>curScenario</vt:lpstr>
      <vt:lpstr>db_name</vt:lpstr>
      <vt:lpstr>psApp</vt:lpstr>
      <vt:lpstr>psCBMSProg</vt:lpstr>
      <vt:lpstr>psFunc</vt:lpstr>
      <vt:lpstr>psItem</vt:lpstr>
      <vt:lpstr>psMethod</vt:lpstr>
      <vt:lpstr>psMethodIndex</vt:lpstr>
      <vt:lpstr>psOC</vt:lpstr>
      <vt:lpstr>psPar</vt:lpstr>
      <vt:lpstr>psProgCode</vt:lpstr>
      <vt:lpstr>psProgDesc</vt:lpstr>
      <vt:lpstr>psProgType</vt:lpstr>
      <vt:lpstr>psSPP</vt:lpstr>
      <vt:lpstr>psSrcEL</vt:lpstr>
      <vt:lpstr>psSrcPar</vt:lpstr>
      <vt:lpstr>psSrcSuffix</vt:lpstr>
      <vt:lpstr>psTarEL</vt:lpstr>
      <vt:lpstr>psUser</vt:lpstr>
      <vt:lpstr>sTypeOption</vt:lpstr>
      <vt:lpstr>TM1AdminProgDetCAP</vt:lpstr>
      <vt:lpstr>TM1AdminProgDetWB</vt:lpstr>
      <vt:lpstr>TM1AdminProgDetWS</vt:lpstr>
      <vt:lpstr>TM1AdminRDSProgCAP</vt:lpstr>
      <vt:lpstr>TM1AdminRDSProgWB</vt:lpstr>
      <vt:lpstr>TM1AdminRDSProgWS</vt:lpstr>
      <vt:lpstr>TM1AdminUploadProgCAP</vt:lpstr>
      <vt:lpstr>TM1AdminUploadProgWB</vt:lpstr>
      <vt:lpstr>TM1AdminUploadProgWS</vt:lpstr>
      <vt:lpstr>tm1ConfirmMsg</vt:lpstr>
      <vt:lpstr>TM1HomeAdminCAP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TM1HomeWB</vt:lpstr>
      <vt:lpstr>TM1HomeWS</vt:lpstr>
      <vt:lpstr>TM1Msg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Xin HE</cp:lastModifiedBy>
  <dcterms:created xsi:type="dcterms:W3CDTF">2019-04-16T00:46:04Z</dcterms:created>
  <dcterms:modified xsi:type="dcterms:W3CDTF">2025-08-06T07:28:40Z</dcterms:modified>
</cp:coreProperties>
</file>