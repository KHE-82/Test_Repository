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4.bin" ContentType="application/vnd.ms-office.activeX"/>
  <Override PartName="/xl/activeX/activeX6.xml" ContentType="application/vnd.ms-office.activeX+xml"/>
  <Override PartName="/xl/activeX/activeX5.bin" ContentType="application/vnd.ms-office.activeX"/>
  <Override PartName="/xl/activeX/activeX7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AAF3A82B-DD7E-4C31-BAEB-C227058C5B05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measure list" sheetId="1" r:id="rId1"/>
    <sheet name="{PL}PickLst" sheetId="2" state="hidden" r:id="rId2"/>
  </sheets>
  <definedNames>
    <definedName name="db_name">'measure list'!$C$12</definedName>
    <definedName name="psApp">'measure list'!$C$21</definedName>
    <definedName name="psFilter">'measure list'!$N$125</definedName>
    <definedName name="psHLYear">'measure list'!$N$120</definedName>
    <definedName name="psProgDimName">'measure list'!$C$39</definedName>
    <definedName name="psScenario">'measure list'!$N$121</definedName>
    <definedName name="psTextFilter">'measure list'!$N$126</definedName>
    <definedName name="psUser">'measure list'!$C$17</definedName>
    <definedName name="sys_measfilter_lookup">'measure list'!$B$51:$C$62</definedName>
    <definedName name="TM1BulkProcessCAP">'measure list'!$D$28</definedName>
    <definedName name="TM1BulkProcessWB">'measure list'!$F$28</definedName>
    <definedName name="TM1BulkProcessWS">'measure list'!$H$28</definedName>
    <definedName name="TM1HomeAECAP">'measure list'!$D$24</definedName>
    <definedName name="TM1HomeAEDataEntryCAP">'measure list'!$D$25</definedName>
    <definedName name="TM1HomeAEDataEntryWB">'measure list'!$F$25</definedName>
    <definedName name="TM1HomeAEDataEntryWS">'measure list'!$H$25</definedName>
    <definedName name="TM1HomeAEMeasuresCAP">'measure list'!$D$26</definedName>
    <definedName name="TM1HomeAEMeasuresWB">'measure list'!$F$26</definedName>
    <definedName name="TM1HomeAEMeasuresWS">'measure list'!$H$26</definedName>
    <definedName name="TM1HomeAEWB">'measure list'!$F$24</definedName>
    <definedName name="TM1HomeAEWS">'measure list'!$H$24</definedName>
    <definedName name="TM1HomeCAP">'measure list'!$D$23</definedName>
    <definedName name="TM1HomeRepCAP">'measure list'!$D$27</definedName>
    <definedName name="TM1HomeRepWB">'measure list'!$F$27</definedName>
    <definedName name="TM1HomeRepWS">'measure list'!$H$27</definedName>
    <definedName name="TM1HomeWB">'measure list'!$F$23</definedName>
    <definedName name="TM1HomeWS">'measure list'!$H$23</definedName>
    <definedName name="TM1MeasBulkCAP">'measure list'!$D$32</definedName>
    <definedName name="TM1MeasBulkWB">'measure list'!$F$32</definedName>
    <definedName name="TM1MeasBulkWS">'measure list'!$H$32</definedName>
    <definedName name="TM1MeasListCAP">'measure list'!$D$31</definedName>
    <definedName name="TM1MeasListWB">'measure list'!$F$31</definedName>
    <definedName name="TM1MeasListWS">'measure list'!$H$31</definedName>
    <definedName name="TM1NewMeas01HeaderCAP">'measure list'!$D$29</definedName>
    <definedName name="TM1NewMeas01HeaderWB">'measure list'!$F$29</definedName>
    <definedName name="TM1NewMeas01HeaderWS">'measure list'!$H$29</definedName>
    <definedName name="TM1REBUILDOPTION">0</definedName>
    <definedName name="TM1RPTDATARNG1" localSheetId="0">'measure list'!$130:$130</definedName>
    <definedName name="TM1RPTFMTIDCOL" localSheetId="0">'measure list'!$A$1:$A$8</definedName>
    <definedName name="TM1RPTFMTRNG" localSheetId="0">'measure list'!$B$1:$AO$8</definedName>
    <definedName name="TM1ViewMeas01HeaderCAP">'measure list'!$D$30</definedName>
    <definedName name="TM1ViewMeas01HeaderWB">'measure list'!$F$30</definedName>
    <definedName name="TM1ViewMeas01HeaderWS">'measure list'!$H$30</definedName>
  </definedNames>
  <calcPr calcId="181029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 a="1"/>
  <c r="C35" i="1"/>
  <c r="C36" i="1" a="1"/>
  <c r="C36" i="1"/>
  <c r="N120" i="1"/>
  <c r="C37" i="1" a="1"/>
  <c r="C37" i="1"/>
  <c r="N121" i="1"/>
  <c r="C87" i="1" a="1"/>
  <c r="C87" i="1"/>
  <c r="C88" i="1" a="1"/>
  <c r="C89" i="1" a="1"/>
  <c r="C90" i="1" a="1"/>
  <c r="C91" i="1" a="1"/>
  <c r="C92" i="1" a="1"/>
  <c r="C93" i="1" a="1"/>
  <c r="C94" i="1" a="1"/>
  <c r="C39" i="1" a="1"/>
  <c r="C39" i="1"/>
  <c r="C95" i="1" a="1"/>
  <c r="C96" i="1" a="1"/>
  <c r="C97" i="1" a="1"/>
  <c r="C88" i="1"/>
  <c r="C89" i="1"/>
  <c r="C90" i="1"/>
  <c r="C91" i="1"/>
  <c r="C92" i="1"/>
  <c r="C93" i="1"/>
  <c r="C94" i="1"/>
  <c r="C95" i="1"/>
  <c r="C96" i="1"/>
  <c r="C97" i="1"/>
  <c r="C86" i="1" a="1"/>
  <c r="C86" i="1"/>
  <c r="C43" i="1" a="1"/>
  <c r="C43" i="1"/>
  <c r="C45" i="1" a="1"/>
  <c r="AB67" i="1"/>
  <c r="AO67" i="1" a="1"/>
  <c r="C45" i="1"/>
  <c r="AO67" i="1"/>
  <c r="AN67" i="1" a="1"/>
  <c r="AN67" i="1"/>
  <c r="AM67" i="1" a="1"/>
  <c r="AM67" i="1"/>
  <c r="AL67" i="1" a="1"/>
  <c r="AL67" i="1"/>
  <c r="AK67" i="1" a="1"/>
  <c r="AK67" i="1"/>
  <c r="AJ67" i="1" a="1"/>
  <c r="AJ67" i="1"/>
  <c r="AI67" i="1" a="1"/>
  <c r="AI67" i="1"/>
  <c r="AH67" i="1" a="1"/>
  <c r="AH67" i="1"/>
  <c r="AG67" i="1" a="1"/>
  <c r="AG67" i="1"/>
  <c r="AF67" i="1" a="1"/>
  <c r="AF67" i="1"/>
  <c r="AE67" i="1" a="1"/>
  <c r="AE67" i="1"/>
  <c r="AD67" i="1" a="1"/>
  <c r="AD67" i="1"/>
  <c r="C66" i="1" a="1"/>
  <c r="C66" i="1"/>
  <c r="C65" i="1"/>
  <c r="R120" i="1" a="1"/>
  <c r="R120" i="1"/>
  <c r="C69" i="1"/>
  <c r="C68" i="1"/>
  <c r="B130" i="1" a="1"/>
  <c r="B130" i="1"/>
  <c r="N130" i="1" a="1"/>
  <c r="N130" i="1"/>
  <c r="C76" i="1" a="1"/>
  <c r="C76" i="1"/>
  <c r="C13" i="1" a="1"/>
  <c r="C13" i="1"/>
  <c r="C14" i="1" a="1"/>
  <c r="C14" i="1"/>
  <c r="C15" i="1" a="1"/>
  <c r="C15" i="1"/>
  <c r="C17" i="1"/>
  <c r="N125" i="1" a="1"/>
  <c r="N125" i="1"/>
  <c r="C67" i="1"/>
  <c r="C72" i="1"/>
  <c r="J130" i="1"/>
  <c r="AO130" i="1" a="1"/>
  <c r="AO130" i="1"/>
  <c r="AN130" i="1" a="1"/>
  <c r="AN130" i="1"/>
  <c r="AM130" i="1" a="1"/>
  <c r="AM130" i="1"/>
  <c r="AL130" i="1" a="1"/>
  <c r="AL130" i="1"/>
  <c r="AK130" i="1" a="1"/>
  <c r="AK130" i="1"/>
  <c r="AJ130" i="1" a="1"/>
  <c r="AJ130" i="1"/>
  <c r="AI130" i="1" a="1"/>
  <c r="AI130" i="1"/>
  <c r="AH130" i="1" a="1"/>
  <c r="AH130" i="1"/>
  <c r="AG130" i="1" a="1"/>
  <c r="AG130" i="1"/>
  <c r="AF130" i="1" a="1"/>
  <c r="AF130" i="1"/>
  <c r="AE130" i="1" a="1"/>
  <c r="AE130" i="1"/>
  <c r="AD130" i="1" a="1"/>
  <c r="AD130" i="1"/>
  <c r="AB130" i="1" a="1"/>
  <c r="AB130" i="1"/>
  <c r="AA130" i="1" a="1"/>
  <c r="AA130" i="1"/>
  <c r="Z130" i="1" a="1"/>
  <c r="Z130" i="1"/>
  <c r="Y130" i="1" a="1"/>
  <c r="Y130" i="1"/>
  <c r="X130" i="1" a="1"/>
  <c r="X130" i="1"/>
  <c r="W130" i="1" a="1"/>
  <c r="W130" i="1"/>
  <c r="V130" i="1" a="1"/>
  <c r="V130" i="1"/>
  <c r="U130" i="1" a="1"/>
  <c r="U130" i="1"/>
  <c r="T130" i="1" a="1"/>
  <c r="T130" i="1"/>
  <c r="S130" i="1" a="1"/>
  <c r="S130" i="1"/>
  <c r="R130" i="1" a="1"/>
  <c r="R130" i="1"/>
  <c r="Q130" i="1" a="1"/>
  <c r="Q130" i="1"/>
  <c r="P130" i="1" a="1"/>
  <c r="P130" i="1"/>
  <c r="O130" i="1" a="1"/>
  <c r="O130" i="1"/>
  <c r="M130" i="1" a="1"/>
  <c r="M130" i="1"/>
  <c r="K130" i="1" a="1"/>
  <c r="K130" i="1"/>
  <c r="C130" i="1" a="1"/>
  <c r="C130" i="1"/>
  <c r="A130" i="1" a="1"/>
  <c r="A130" i="1"/>
  <c r="C100" i="1" a="1"/>
  <c r="C100" i="1"/>
  <c r="C83" i="1" a="1"/>
  <c r="C83" i="1"/>
  <c r="C82" i="1" a="1"/>
  <c r="C82" i="1"/>
  <c r="C81" i="1" a="1"/>
  <c r="C81" i="1"/>
  <c r="C80" i="1" a="1"/>
  <c r="C80" i="1"/>
  <c r="C79" i="1" a="1"/>
  <c r="C79" i="1"/>
  <c r="C78" i="1" a="1"/>
  <c r="C78" i="1"/>
  <c r="C77" i="1" a="1"/>
  <c r="C77" i="1"/>
  <c r="C48" i="1" a="1"/>
  <c r="C48" i="1"/>
  <c r="C40" i="1" a="1"/>
  <c r="C40" i="1"/>
  <c r="C47" i="1" a="1"/>
  <c r="C47" i="1"/>
  <c r="C46" i="1" a="1"/>
  <c r="C46" i="1"/>
  <c r="C44" i="1" a="1"/>
  <c r="C44" i="1"/>
  <c r="C42" i="1" a="1"/>
  <c r="C42" i="1"/>
  <c r="C41" i="1" a="1"/>
  <c r="C41" i="1"/>
  <c r="C38" i="1" a="1"/>
  <c r="C38" i="1"/>
  <c r="C20" i="1" a="1"/>
  <c r="C20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H28" i="1" a="1"/>
  <c r="H28" i="1"/>
  <c r="G28" i="1" a="1"/>
  <c r="G28" i="1"/>
  <c r="F28" i="1" a="1"/>
  <c r="F28" i="1"/>
  <c r="E28" i="1" a="1"/>
  <c r="E28" i="1"/>
  <c r="D28" i="1" a="1"/>
  <c r="D28" i="1"/>
  <c r="C28" i="1" a="1"/>
  <c r="C28" i="1"/>
  <c r="H27" i="1" a="1"/>
  <c r="H27" i="1"/>
  <c r="G27" i="1" a="1"/>
  <c r="G27" i="1"/>
  <c r="F27" i="1" a="1"/>
  <c r="F27" i="1"/>
  <c r="E27" i="1" a="1"/>
  <c r="E27" i="1"/>
  <c r="D27" i="1" a="1"/>
  <c r="D27" i="1"/>
  <c r="C27" i="1" a="1"/>
  <c r="C27" i="1"/>
  <c r="H26" i="1" a="1"/>
  <c r="H26" i="1"/>
  <c r="G26" i="1" a="1"/>
  <c r="G26" i="1"/>
  <c r="F26" i="1" a="1"/>
  <c r="F26" i="1"/>
  <c r="E26" i="1" a="1"/>
  <c r="E26" i="1"/>
  <c r="D26" i="1" a="1"/>
  <c r="D26" i="1"/>
  <c r="C26" i="1" a="1"/>
  <c r="C26" i="1"/>
  <c r="H25" i="1" a="1"/>
  <c r="H25" i="1"/>
  <c r="G25" i="1" a="1"/>
  <c r="G25" i="1"/>
  <c r="F25" i="1" a="1"/>
  <c r="F25" i="1"/>
  <c r="E25" i="1" a="1"/>
  <c r="E25" i="1"/>
  <c r="D25" i="1" a="1"/>
  <c r="D25" i="1"/>
  <c r="C25" i="1" a="1"/>
  <c r="C25" i="1"/>
  <c r="H24" i="1" a="1"/>
  <c r="H24" i="1"/>
  <c r="G24" i="1" a="1"/>
  <c r="G24" i="1"/>
  <c r="F24" i="1" a="1"/>
  <c r="F24" i="1"/>
  <c r="E24" i="1" a="1"/>
  <c r="E24" i="1"/>
  <c r="D24" i="1" a="1"/>
  <c r="D24" i="1"/>
  <c r="C24" i="1" a="1"/>
  <c r="C24" i="1"/>
  <c r="H23" i="1" a="1"/>
  <c r="H23" i="1"/>
  <c r="G23" i="1" a="1"/>
  <c r="G23" i="1"/>
  <c r="F23" i="1" a="1"/>
  <c r="F23" i="1"/>
  <c r="E23" i="1" a="1"/>
  <c r="E23" i="1"/>
  <c r="D23" i="1" a="1"/>
  <c r="D23" i="1"/>
  <c r="C23" i="1" a="1"/>
  <c r="C23" i="1"/>
  <c r="C16" i="1" a="1"/>
  <c r="C16" i="1"/>
  <c r="C71" i="1"/>
  <c r="D6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C70" i="1"/>
  <c r="N122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<sst xmlns="http://schemas.openxmlformats.org/spreadsheetml/2006/main" count="173" uniqueCount="138">
  <si>
    <t>headline year</t>
  </si>
  <si>
    <t>CBMS Measure Code</t>
  </si>
  <si>
    <t>government decision</t>
  </si>
  <si>
    <t>measure title</t>
  </si>
  <si>
    <t>measure description</t>
  </si>
  <si>
    <t>funding life</t>
  </si>
  <si>
    <t>measure type</t>
  </si>
  <si>
    <t>costing ID</t>
  </si>
  <si>
    <t>created by</t>
  </si>
  <si>
    <t>authorised by</t>
  </si>
  <si>
    <t>D</t>
  </si>
  <si>
    <t>N</t>
  </si>
  <si>
    <t>[Begin Format Range]</t>
  </si>
  <si>
    <t>[End Format Range]</t>
  </si>
  <si>
    <t>System Parameters</t>
  </si>
  <si>
    <t>Database Name</t>
  </si>
  <si>
    <t>Client Attributes</t>
  </si>
  <si>
    <t>TM1 User</t>
  </si>
  <si>
    <t>}TM1_DefaultDisplayValue</t>
  </si>
  <si>
    <t>GEUS User Name</t>
  </si>
  <si>
    <t>Current User</t>
  </si>
  <si>
    <t>sys_Application Cube</t>
  </si>
  <si>
    <t>View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</si>
  <si>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</si>
  <si>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</si>
  <si>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</si>
  <si>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</si>
  <si>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</si>
  <si>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</si>
  <si>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</si>
  <si>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</si>
  <si>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</si>
  <si>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</si>
  <si>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</si>
  <si>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Reports</t>
  </si>
  <si>
    <t>Adjustment - Bulk Process</t>
  </si>
  <si>
    <t>Measures - New Measure 01 - Header Details</t>
  </si>
  <si>
    <t>Measures - View Measure 01 - Header Details</t>
  </si>
  <si>
    <t>Measures - Measure List</t>
  </si>
  <si>
    <t>Measures - Bulk Process</t>
  </si>
  <si>
    <t xml:space="preserve">System Variable </t>
  </si>
  <si>
    <t>Cube View</t>
  </si>
  <si>
    <t>headline scenario</t>
  </si>
  <si>
    <t>current budget round</t>
  </si>
  <si>
    <t>sys_CBMSR GoLive Headline year</t>
  </si>
  <si>
    <t>INDEX CBMSR</t>
  </si>
  <si>
    <t>Sel Index HLYear</t>
  </si>
  <si>
    <t>Government Measures Details</t>
  </si>
  <si>
    <t>Cube View (AF)</t>
  </si>
  <si>
    <t>Cube View (Slice)</t>
  </si>
  <si>
    <t>MDX TO Use</t>
  </si>
  <si>
    <t>MDX All</t>
  </si>
  <si>
    <t>MDX Filter</t>
  </si>
  <si>
    <t>FILTER QUOTE</t>
  </si>
  <si>
    <t>"</t>
  </si>
  <si>
    <t xml:space="preserve"> FILTERS</t>
  </si>
  <si>
    <t xml:space="preserve">Filter : </t>
  </si>
  <si>
    <t xml:space="preserve">Enter Text Filter : </t>
  </si>
  <si>
    <t>Filter List</t>
  </si>
  <si>
    <t>TM1 element name</t>
  </si>
  <si>
    <t>sys_terminating year</t>
  </si>
  <si>
    <t>Government Decision</t>
  </si>
  <si>
    <t>Funding Life</t>
  </si>
  <si>
    <t>Measure Type</t>
  </si>
  <si>
    <t>Terminating Year</t>
  </si>
  <si>
    <t>Selected Filter</t>
  </si>
  <si>
    <t>sys_Client Preference (used for filters)</t>
  </si>
  <si>
    <t>geus hlyear</t>
  </si>
  <si>
    <t>geus scenario</t>
  </si>
  <si>
    <t>geus adj</t>
  </si>
  <si>
    <t>measlist_hlyear</t>
  </si>
  <si>
    <t>measlist_scenario</t>
  </si>
  <si>
    <t>measlist_filter</t>
  </si>
  <si>
    <t>measlist_textfilter</t>
  </si>
  <si>
    <t>Measure Title</t>
  </si>
  <si>
    <t>Costing ID</t>
  </si>
  <si>
    <t>Created By</t>
  </si>
  <si>
    <t>Approved By</t>
  </si>
  <si>
    <t>Measure Description</t>
  </si>
  <si>
    <t>Measure Code</t>
  </si>
  <si>
    <t>created date</t>
  </si>
  <si>
    <t>authorised date</t>
  </si>
  <si>
    <t>sys_display terminating year</t>
  </si>
  <si>
    <t>not for publication</t>
  </si>
  <si>
    <t>Status</t>
  </si>
  <si>
    <t>Not For Publication (Y/N)</t>
  </si>
  <si>
    <t>Created Date</t>
  </si>
  <si>
    <t>Approved Date</t>
  </si>
  <si>
    <t>REPORT PARAMETERS</t>
  </si>
  <si>
    <t xml:space="preserve">Headline Year : </t>
  </si>
  <si>
    <t xml:space="preserve">Scenario : </t>
  </si>
  <si>
    <t>Measure List</t>
  </si>
  <si>
    <t>Homepage - Annual Estimates - Measures</t>
  </si>
  <si>
    <t xml:space="preserve">DISPLAY </t>
  </si>
  <si>
    <t xml:space="preserve">CBMS Budget Round : </t>
  </si>
  <si>
    <t>sys_Meas List Operating Account</t>
  </si>
  <si>
    <t>sys_Meas List Capital Account</t>
  </si>
  <si>
    <t>sys_Meas List Movement Account</t>
  </si>
  <si>
    <t>sys_Meas List Fiscal Balance Account</t>
  </si>
  <si>
    <t>sys_Meas List Resourcing Account</t>
  </si>
  <si>
    <t>sys_Meas List Adjustment Status</t>
  </si>
  <si>
    <t>Period Changes</t>
  </si>
  <si>
    <t>AE Adjustment Details</t>
  </si>
  <si>
    <t>Outcome</t>
  </si>
  <si>
    <t>Related Entity</t>
  </si>
  <si>
    <t>Function</t>
  </si>
  <si>
    <t>Reason</t>
  </si>
  <si>
    <t>SPP</t>
  </si>
  <si>
    <t>Appropriation Type</t>
  </si>
  <si>
    <t>Appropriation Item</t>
  </si>
  <si>
    <t>program</t>
  </si>
  <si>
    <t>ID</t>
  </si>
  <si>
    <t>Jurisdiction</t>
  </si>
  <si>
    <t>Program Dimension Name</t>
  </si>
  <si>
    <t>VIEW Statement</t>
  </si>
  <si>
    <t xml:space="preserve">active </t>
  </si>
  <si>
    <t>Measure Code Attributes</t>
  </si>
  <si>
    <t>sys_active status</t>
  </si>
  <si>
    <t>Active Status</t>
  </si>
  <si>
    <t>sys_measure type</t>
  </si>
  <si>
    <t>sys_measure title</t>
  </si>
  <si>
    <t>sys_measure description</t>
  </si>
  <si>
    <t>sys_funding life</t>
  </si>
  <si>
    <t>sys_CBMS Measure Code</t>
  </si>
  <si>
    <t>sys_government decision</t>
  </si>
  <si>
    <t>sys_status</t>
  </si>
  <si>
    <t>Resourcing (Apppropriation) ($'000s)</t>
  </si>
  <si>
    <t>Display Current Measures  :</t>
  </si>
  <si>
    <t>MDX - CURRENT MEASURES ONLY</t>
  </si>
  <si>
    <t>MDX FILTER CURRENT</t>
  </si>
  <si>
    <t>sys_publication book</t>
  </si>
  <si>
    <t>Publication Book</t>
  </si>
  <si>
    <t>GEUS Measure ID</t>
  </si>
  <si>
    <t>Measure Published Title</t>
  </si>
  <si>
    <t>measure published title</t>
  </si>
  <si>
    <t>x_Measure Description</t>
  </si>
  <si>
    <t>Note : Filters are case sensitive. Please use Capitals if required.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</si>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</sst>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[Red]* \(#,##0\)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35354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4" fillId="3" borderId="0" xfId="0" applyFont="1" applyFill="1"/>
    <xf numFmtId="0" fontId="2" fillId="0" borderId="3" xfId="0" applyFont="1" applyBorder="1"/>
    <xf numFmtId="0" fontId="0" fillId="0" borderId="3" xfId="0" applyBorder="1"/>
    <xf numFmtId="0" fontId="1" fillId="0" borderId="3" xfId="1" applyBorder="1"/>
    <xf numFmtId="0" fontId="0" fillId="0" borderId="3" xfId="0" applyBorder="1" applyAlignment="1">
      <alignment horizontal="center"/>
    </xf>
    <xf numFmtId="0" fontId="1" fillId="0" borderId="0" xfId="1"/>
    <xf numFmtId="0" fontId="2" fillId="5" borderId="4" xfId="0" applyFont="1" applyFill="1" applyBorder="1"/>
    <xf numFmtId="0" fontId="2" fillId="5" borderId="5" xfId="0" applyFont="1" applyFill="1" applyBorder="1"/>
    <xf numFmtId="0" fontId="2" fillId="0" borderId="0" xfId="0" applyFont="1" applyAlignment="1">
      <alignment horizontal="right"/>
    </xf>
    <xf numFmtId="0" fontId="0" fillId="0" borderId="3" xfId="0" applyBorder="1" applyAlignment="1" applyProtection="1">
      <alignment horizontal="left" indent="1"/>
      <protection locked="0"/>
    </xf>
    <xf numFmtId="0" fontId="2" fillId="4" borderId="3" xfId="1" applyFont="1" applyFill="1" applyBorder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6" fillId="7" borderId="0" xfId="0" applyFont="1" applyFill="1" applyAlignment="1">
      <alignment horizontal="center" vertical="center" wrapText="1"/>
    </xf>
    <xf numFmtId="0" fontId="0" fillId="5" borderId="3" xfId="0" applyFill="1" applyBorder="1" applyAlignment="1">
      <alignment horizontal="left" indent="1"/>
    </xf>
    <xf numFmtId="0" fontId="0" fillId="0" borderId="3" xfId="0" applyBorder="1" applyAlignment="1" applyProtection="1">
      <alignment horizontal="left" indent="2"/>
      <protection locked="0"/>
    </xf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top"/>
    </xf>
    <xf numFmtId="0" fontId="0" fillId="0" borderId="5" xfId="0" applyBorder="1"/>
    <xf numFmtId="0" fontId="0" fillId="8" borderId="3" xfId="0" applyFill="1" applyBorder="1"/>
    <xf numFmtId="49" fontId="0" fillId="0" borderId="3" xfId="0" applyNumberFormat="1" applyBorder="1" applyAlignment="1">
      <alignment vertical="top"/>
    </xf>
    <xf numFmtId="0" fontId="9" fillId="0" borderId="0" xfId="1" applyFont="1" applyAlignment="1">
      <alignment horizontal="right"/>
    </xf>
    <xf numFmtId="0" fontId="10" fillId="5" borderId="3" xfId="0" applyFont="1" applyFill="1" applyBorder="1" applyAlignment="1">
      <alignment horizontal="center" vertical="top"/>
    </xf>
    <xf numFmtId="0" fontId="5" fillId="6" borderId="0" xfId="0" applyFont="1" applyFill="1" applyAlignment="1">
      <alignment horizontal="center"/>
    </xf>
    <xf numFmtId="0" fontId="11" fillId="7" borderId="0" xfId="0" applyFont="1" applyFill="1" applyAlignment="1">
      <alignment horizontal="right" vertical="center"/>
    </xf>
    <xf numFmtId="0" fontId="4" fillId="0" borderId="3" xfId="0" applyFont="1" applyBorder="1" applyAlignment="1">
      <alignment horizontal="left" vertical="top" wrapText="1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wrapText="1"/>
    </xf>
    <xf numFmtId="0" fontId="2" fillId="4" borderId="2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164" fontId="4" fillId="0" borderId="3" xfId="0" applyNumberFormat="1" applyFont="1" applyBorder="1" applyAlignment="1">
      <alignment vertical="top"/>
    </xf>
    <xf numFmtId="0" fontId="12" fillId="0" borderId="3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6" fillId="7" borderId="0" xfId="0" applyFont="1" applyFill="1" applyAlignment="1">
      <alignment horizontal="left" vertical="center"/>
    </xf>
  </cellXfs>
  <cellStyles count="2">
    <cellStyle name="Normal" xfId="0" builtinId="0"/>
    <cellStyle name="Normal 3" xfId="1" xr:uid="{00000000-0005-0000-0000-000001000000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318"/>
  <ax:ocxPr ax:name="_StockProps" ax:value="0"/>
  <ax:ocxPr ax:name="ServerName" ax:value="=db_name"/>
  <ax:ocxPr ax:name="ProcessName" ax:value="AE_Measure Create New 01 - Clear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New Measur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NewMeas01HeaderWB"/>
  <ax:ocxPr ax:name="TargetWorksheetName" ax:value="=TM1NewMeas01Header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47625</xdr:colOff>
          <xdr:row>115</xdr:row>
          <xdr:rowOff>57150</xdr:rowOff>
        </xdr:from>
        <xdr:to>
          <xdr:col>9</xdr:col>
          <xdr:colOff>771525</xdr:colOff>
          <xdr:row>115</xdr:row>
          <xdr:rowOff>304800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819150</xdr:colOff>
          <xdr:row>115</xdr:row>
          <xdr:rowOff>57150</xdr:rowOff>
        </xdr:from>
        <xdr:to>
          <xdr:col>10</xdr:col>
          <xdr:colOff>923925</xdr:colOff>
          <xdr:row>115</xdr:row>
          <xdr:rowOff>304800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2886075</xdr:colOff>
          <xdr:row>115</xdr:row>
          <xdr:rowOff>57150</xdr:rowOff>
        </xdr:from>
        <xdr:to>
          <xdr:col>13</xdr:col>
          <xdr:colOff>485775</xdr:colOff>
          <xdr:row>115</xdr:row>
          <xdr:rowOff>304800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38100</xdr:colOff>
          <xdr:row>115</xdr:row>
          <xdr:rowOff>57150</xdr:rowOff>
        </xdr:from>
        <xdr:to>
          <xdr:col>12</xdr:col>
          <xdr:colOff>962025</xdr:colOff>
          <xdr:row>115</xdr:row>
          <xdr:rowOff>304800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723900</xdr:colOff>
          <xdr:row>114</xdr:row>
          <xdr:rowOff>47625</xdr:rowOff>
        </xdr:from>
        <xdr:to>
          <xdr:col>16</xdr:col>
          <xdr:colOff>1038225</xdr:colOff>
          <xdr:row>115</xdr:row>
          <xdr:rowOff>304800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1962150</xdr:colOff>
          <xdr:row>115</xdr:row>
          <xdr:rowOff>57150</xdr:rowOff>
        </xdr:from>
        <xdr:to>
          <xdr:col>12</xdr:col>
          <xdr:colOff>2857500</xdr:colOff>
          <xdr:row>115</xdr:row>
          <xdr:rowOff>304800</xdr:rowOff>
        </xdr:to>
        <xdr:sp macro="" textlink="">
          <xdr:nvSpPr>
            <xdr:cNvPr id="1031" name="TIButton6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1000125</xdr:colOff>
          <xdr:row>115</xdr:row>
          <xdr:rowOff>57150</xdr:rowOff>
        </xdr:from>
        <xdr:to>
          <xdr:col>12</xdr:col>
          <xdr:colOff>1933575</xdr:colOff>
          <xdr:row>115</xdr:row>
          <xdr:rowOff>304800</xdr:rowOff>
        </xdr:to>
        <xdr:sp macro="" textlink="">
          <xdr:nvSpPr>
            <xdr:cNvPr id="1032" name="TIButton7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8</xdr:col>
      <xdr:colOff>28575</xdr:colOff>
      <xdr:row>113</xdr:row>
      <xdr:rowOff>19050</xdr:rowOff>
    </xdr:from>
    <xdr:to>
      <xdr:col>10</xdr:col>
      <xdr:colOff>800100</xdr:colOff>
      <xdr:row>114</xdr:row>
      <xdr:rowOff>19050</xdr:rowOff>
    </xdr:to>
    <xdr:pic>
      <xdr:nvPicPr>
        <xdr:cNvPr id="9" name="Picture 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AP130"/>
  <sheetViews>
    <sheetView showGridLines="0" tabSelected="1" showOutlineSymbols="0" topLeftCell="I114" workbookViewId="0">
      <pane xSplit="4" ySplit="16" topLeftCell="M130" activePane="bottomRight" state="frozen"/>
      <selection activeCell="I114" sqref="I114"/>
      <selection pane="topRight" activeCell="M114" sqref="M114"/>
      <selection pane="bottomLeft" activeCell="I130" sqref="I130"/>
      <selection pane="bottomRight" activeCell="N114" sqref="N114"/>
    </sheetView>
  </sheetViews>
  <sheetFormatPr defaultRowHeight="15" outlineLevelRow="1" outlineLevelCol="1" x14ac:dyDescent="0.25"/>
  <cols>
    <col min="1" max="1" width="20.28515625" hidden="1" customWidth="1" outlineLevel="1"/>
    <col min="2" max="2" width="24.7109375" hidden="1" customWidth="1" outlineLevel="1"/>
    <col min="3" max="3" width="19.7109375" hidden="1" customWidth="1" outlineLevel="1"/>
    <col min="4" max="4" width="12.140625" hidden="1" customWidth="1" outlineLevel="1"/>
    <col min="5" max="5" width="12.5703125" hidden="1" customWidth="1" outlineLevel="1"/>
    <col min="6" max="6" width="17.28515625" hidden="1" customWidth="1" outlineLevel="1"/>
    <col min="7" max="7" width="12.85546875" hidden="1" customWidth="1" outlineLevel="1"/>
    <col min="8" max="8" width="11.28515625" hidden="1" customWidth="1" outlineLevel="1"/>
    <col min="9" max="9" width="0.85546875" customWidth="1" collapsed="1"/>
    <col min="10" max="11" width="14.7109375" customWidth="1"/>
    <col min="12" max="12" width="0.85546875" customWidth="1"/>
    <col min="13" max="13" width="50.7109375" customWidth="1"/>
    <col min="14" max="14" width="55.7109375" customWidth="1"/>
    <col min="15" max="15" width="50.7109375" customWidth="1"/>
    <col min="16" max="17" width="15.7109375" customWidth="1"/>
    <col min="18" max="18" width="16.85546875" customWidth="1"/>
    <col min="19" max="20" width="12.7109375" customWidth="1"/>
    <col min="21" max="23" width="20.7109375" customWidth="1"/>
    <col min="24" max="24" width="12.7109375" customWidth="1"/>
    <col min="25" max="28" width="15.7109375" customWidth="1"/>
    <col min="29" max="29" width="0.85546875" customWidth="1"/>
    <col min="30" max="41" width="15.7109375" customWidth="1"/>
  </cols>
  <sheetData>
    <row r="1" spans="1:41" ht="15" hidden="1" customHeight="1" outlineLevel="1" x14ac:dyDescent="0.25">
      <c r="A1" t="s">
        <v>12</v>
      </c>
    </row>
    <row r="2" spans="1:41" ht="15" hidden="1" customHeight="1" outlineLevel="1" x14ac:dyDescent="0.25">
      <c r="A2">
        <f>0</f>
        <v>0</v>
      </c>
      <c r="B2" s="2"/>
      <c r="C2" s="4"/>
      <c r="D2" s="4"/>
      <c r="E2" s="4"/>
      <c r="F2" s="4"/>
      <c r="G2" s="4"/>
      <c r="H2" s="4"/>
      <c r="I2" s="4"/>
      <c r="J2" s="4"/>
      <c r="K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</row>
    <row r="3" spans="1:41" ht="15" hidden="1" customHeight="1" outlineLevel="1" x14ac:dyDescent="0.25">
      <c r="A3">
        <f>1</f>
        <v>1</v>
      </c>
      <c r="B3" s="3"/>
      <c r="C3" s="5"/>
      <c r="D3" s="5"/>
      <c r="E3" s="5"/>
      <c r="F3" s="5"/>
      <c r="G3" s="5"/>
      <c r="H3" s="5"/>
      <c r="I3" s="5"/>
      <c r="J3" s="5"/>
      <c r="K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ht="15" hidden="1" customHeight="1" outlineLevel="1" x14ac:dyDescent="0.25">
      <c r="A4">
        <f>2</f>
        <v>2</v>
      </c>
      <c r="B4" s="3"/>
      <c r="C4" s="5"/>
      <c r="D4" s="5"/>
      <c r="E4" s="5"/>
      <c r="F4" s="5"/>
      <c r="G4" s="5"/>
      <c r="H4" s="5"/>
      <c r="I4" s="5"/>
      <c r="J4" s="5"/>
      <c r="K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ht="15" hidden="1" customHeight="1" outlineLevel="1" x14ac:dyDescent="0.25">
      <c r="A5">
        <f>3</f>
        <v>3</v>
      </c>
      <c r="B5" s="3"/>
      <c r="C5" s="5"/>
      <c r="D5" s="5"/>
      <c r="E5" s="5"/>
      <c r="F5" s="5"/>
      <c r="G5" s="5"/>
      <c r="H5" s="5"/>
      <c r="I5" s="5"/>
      <c r="J5" s="5"/>
      <c r="K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ht="15" hidden="1" customHeight="1" outlineLevel="1" x14ac:dyDescent="0.25">
      <c r="A6" t="s">
        <v>10</v>
      </c>
      <c r="B6" s="3"/>
      <c r="C6" s="5"/>
      <c r="D6" s="5"/>
      <c r="E6" s="5"/>
      <c r="F6" s="5"/>
      <c r="G6" s="5"/>
      <c r="H6" s="5"/>
      <c r="I6" s="5"/>
      <c r="J6" s="5"/>
      <c r="K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6" customFormat="1" ht="15" hidden="1" customHeight="1" outlineLevel="1" x14ac:dyDescent="0.25">
      <c r="A7" s="26" t="s">
        <v>11</v>
      </c>
      <c r="B7" s="27"/>
      <c r="C7" s="28"/>
      <c r="D7" s="28"/>
      <c r="E7" s="29"/>
      <c r="F7" s="29"/>
      <c r="G7" s="29"/>
      <c r="H7" s="29"/>
      <c r="I7" s="29"/>
      <c r="J7" s="36"/>
      <c r="K7" s="36"/>
      <c r="L7"/>
      <c r="M7" s="30"/>
      <c r="N7" s="30"/>
      <c r="O7" s="30"/>
      <c r="P7" s="31"/>
      <c r="Q7" s="31"/>
      <c r="R7" s="31"/>
      <c r="S7" s="46"/>
      <c r="T7" s="45"/>
      <c r="U7" s="39"/>
      <c r="V7" s="39"/>
      <c r="W7" s="39"/>
      <c r="X7" s="31"/>
      <c r="Y7" s="31"/>
      <c r="Z7" s="31"/>
      <c r="AA7" s="31"/>
      <c r="AB7" s="31"/>
      <c r="AC7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</row>
    <row r="8" spans="1:41" ht="15" hidden="1" customHeight="1" outlineLevel="1" x14ac:dyDescent="0.25">
      <c r="A8" t="s">
        <v>13</v>
      </c>
    </row>
    <row r="9" spans="1:41" ht="15" hidden="1" customHeight="1" outlineLevel="1" x14ac:dyDescent="0.25"/>
    <row r="10" spans="1:41" ht="15" hidden="1" customHeight="1" outlineLevel="1" x14ac:dyDescent="0.25"/>
    <row r="11" spans="1:41" ht="15" hidden="1" customHeight="1" outlineLevel="1" x14ac:dyDescent="0.25">
      <c r="B11" s="47" t="s">
        <v>14</v>
      </c>
      <c r="C11" s="48"/>
    </row>
    <row r="12" spans="1:41" ht="15" hidden="1" customHeight="1" outlineLevel="1" x14ac:dyDescent="0.25">
      <c r="B12" s="6" t="s">
        <v>15</v>
      </c>
      <c r="C12" s="7" t="s">
        <v>137</v>
      </c>
    </row>
    <row r="13" spans="1:41" ht="15" hidden="1" customHeight="1" outlineLevel="1" x14ac:dyDescent="0.25">
      <c r="B13" s="8" t="s">
        <v>16</v>
      </c>
      <c r="C13" s="7" t="e" cm="1">
        <f t="array" aca="1" ref="C13" ca="1">_xll.VIEW(db_name&amp;":}ElementAttributes_}Clients","!","!")</f>
        <v>#NAME?</v>
      </c>
    </row>
    <row r="14" spans="1:41" ht="15" hidden="1" customHeight="1" outlineLevel="1" x14ac:dyDescent="0.25">
      <c r="B14" s="6" t="s">
        <v>17</v>
      </c>
      <c r="C14" s="9" t="e" cm="1">
        <f t="array" aca="1" ref="C14" ca="1">_xll.TM1USER(db_name)</f>
        <v>#NAME?</v>
      </c>
    </row>
    <row r="15" spans="1:41" ht="15" hidden="1" customHeight="1" outlineLevel="1" x14ac:dyDescent="0.25">
      <c r="B15" s="6" t="s">
        <v>18</v>
      </c>
      <c r="C15" s="9" t="e" cm="1">
        <f t="array" aca="1" ref="C15" ca="1">_xll.DBR($C$13,$C$14,$B15)</f>
        <v>#NAME?</v>
      </c>
    </row>
    <row r="16" spans="1:41" ht="15" hidden="1" customHeight="1" outlineLevel="1" x14ac:dyDescent="0.25">
      <c r="B16" s="6" t="s">
        <v>19</v>
      </c>
      <c r="C16" s="9" t="e" cm="1">
        <f t="array" aca="1" ref="C16" ca="1">_xll.DBR($C$13,$C$14,$B16)</f>
        <v>#NAME?</v>
      </c>
    </row>
    <row r="17" spans="2:8" ht="15" hidden="1" customHeight="1" outlineLevel="1" x14ac:dyDescent="0.25">
      <c r="B17" s="6" t="s">
        <v>20</v>
      </c>
      <c r="C17" s="9" t="e">
        <f ca="1">IF(LEFT($C$15,6)="CAM_AD",$C$16,$C$15)</f>
        <v>#NAME?</v>
      </c>
    </row>
    <row r="18" spans="2:8" ht="15" hidden="1" customHeight="1" outlineLevel="1" x14ac:dyDescent="0.25"/>
    <row r="19" spans="2:8" ht="15" hidden="1" customHeight="1" outlineLevel="1" x14ac:dyDescent="0.25">
      <c r="B19" s="47" t="s">
        <v>21</v>
      </c>
      <c r="C19" s="48"/>
      <c r="D19" s="10"/>
      <c r="E19" s="10"/>
      <c r="F19" s="10"/>
      <c r="G19" s="10"/>
      <c r="H19" s="10"/>
    </row>
    <row r="20" spans="2:8" ht="15" hidden="1" customHeight="1" outlineLevel="1" x14ac:dyDescent="0.25">
      <c r="B20" s="7" t="s">
        <v>22</v>
      </c>
      <c r="C20" s="7" t="e" cm="1">
        <f t="array" aca="1" ref="C20" ca="1">_xll.VIEW(db_name&amp;":sys_Application","!","!")</f>
        <v>#NAME?</v>
      </c>
      <c r="D20" s="10"/>
      <c r="E20" s="10"/>
      <c r="F20" s="10"/>
      <c r="G20" s="10"/>
      <c r="H20" s="10"/>
    </row>
    <row r="21" spans="2:8" ht="15" hidden="1" customHeight="1" outlineLevel="1" x14ac:dyDescent="0.25">
      <c r="B21" s="7" t="s">
        <v>23</v>
      </c>
      <c r="C21" t="s">
        <v>38</v>
      </c>
      <c r="D21" s="10"/>
      <c r="E21" s="10"/>
      <c r="F21" s="10"/>
      <c r="G21" s="10"/>
      <c r="H21" s="10"/>
    </row>
    <row r="22" spans="2:8" ht="15" hidden="1" customHeight="1" outlineLevel="1" x14ac:dyDescent="0.25">
      <c r="B22" s="11" t="s">
        <v>24</v>
      </c>
      <c r="C22" s="12" t="s">
        <v>25</v>
      </c>
      <c r="D22" s="12" t="s">
        <v>26</v>
      </c>
      <c r="E22" s="12" t="s">
        <v>27</v>
      </c>
      <c r="F22" s="12" t="s">
        <v>28</v>
      </c>
      <c r="G22" s="12" t="s">
        <v>29</v>
      </c>
      <c r="H22" s="12" t="s">
        <v>30</v>
      </c>
    </row>
    <row r="23" spans="2:8" ht="15" hidden="1" customHeight="1" outlineLevel="1" x14ac:dyDescent="0.25">
      <c r="B23" s="7" t="s">
        <v>31</v>
      </c>
      <c r="C23" s="7" t="e" cm="1">
        <f t="array" aca="1" ref="C23" ca="1">_xll.DBR($C$20,$B23,C$22)</f>
        <v>#NAME?</v>
      </c>
      <c r="D23" s="7" t="e" cm="1">
        <f t="array" aca="1" ref="D23" ca="1">_xll.DBR($C$20,$B23,D$22)</f>
        <v>#NAME?</v>
      </c>
      <c r="E23" s="7" t="e" cm="1">
        <f t="array" aca="1" ref="E23" ca="1">_xll.DBR($C$20,$B23,E$22)</f>
        <v>#NAME?</v>
      </c>
      <c r="F23" s="7" t="e" cm="1">
        <f t="array" aca="1" ref="F23" ca="1">_xll.DBR($C$20,$B23,F$22)</f>
        <v>#NAME?</v>
      </c>
      <c r="G23" s="7" t="e" cm="1">
        <f t="array" aca="1" ref="G23" ca="1">_xll.DBR($C$20,$B23,G$22)</f>
        <v>#NAME?</v>
      </c>
      <c r="H23" s="7" t="e" cm="1">
        <f t="array" aca="1" ref="H23" ca="1">_xll.DBR($C$20,$B23,H$22)</f>
        <v>#NAME?</v>
      </c>
    </row>
    <row r="24" spans="2:8" ht="15" hidden="1" customHeight="1" outlineLevel="1" x14ac:dyDescent="0.25">
      <c r="B24" s="7" t="s">
        <v>32</v>
      </c>
      <c r="C24" s="7" t="e" cm="1">
        <f t="array" aca="1" ref="C24" ca="1">_xll.DBR($C$20,$B24,C$22)</f>
        <v>#NAME?</v>
      </c>
      <c r="D24" s="7" t="e" cm="1">
        <f t="array" aca="1" ref="D24" ca="1">_xll.DBR($C$20,$B24,D$22)</f>
        <v>#NAME?</v>
      </c>
      <c r="E24" s="7" t="e" cm="1">
        <f t="array" aca="1" ref="E24" ca="1">_xll.DBR($C$20,$B24,E$22)</f>
        <v>#NAME?</v>
      </c>
      <c r="F24" s="7" t="e" cm="1">
        <f t="array" aca="1" ref="F24" ca="1">_xll.DBR($C$20,$B24,F$22)</f>
        <v>#NAME?</v>
      </c>
      <c r="G24" s="7" t="e" cm="1">
        <f t="array" aca="1" ref="G24" ca="1">_xll.DBR($C$20,$B24,G$22)</f>
        <v>#NAME?</v>
      </c>
      <c r="H24" s="7" t="e" cm="1">
        <f t="array" aca="1" ref="H24" ca="1">_xll.DBR($C$20,$B24,H$22)</f>
        <v>#NAME?</v>
      </c>
    </row>
    <row r="25" spans="2:8" ht="15" hidden="1" customHeight="1" outlineLevel="1" x14ac:dyDescent="0.25">
      <c r="B25" s="7" t="s">
        <v>33</v>
      </c>
      <c r="C25" s="7" t="e" cm="1">
        <f t="array" aca="1" ref="C25" ca="1">_xll.DBR($C$20,$B25,C$22)</f>
        <v>#NAME?</v>
      </c>
      <c r="D25" s="7" t="e" cm="1">
        <f t="array" aca="1" ref="D25" ca="1">_xll.DBR($C$20,$B25,D$22)</f>
        <v>#NAME?</v>
      </c>
      <c r="E25" s="7" t="e" cm="1">
        <f t="array" aca="1" ref="E25" ca="1">_xll.DBR($C$20,$B25,E$22)</f>
        <v>#NAME?</v>
      </c>
      <c r="F25" s="7" t="e" cm="1">
        <f t="array" aca="1" ref="F25" ca="1">_xll.DBR($C$20,$B25,F$22)</f>
        <v>#NAME?</v>
      </c>
      <c r="G25" s="7" t="e" cm="1">
        <f t="array" aca="1" ref="G25" ca="1">_xll.DBR($C$20,$B25,G$22)</f>
        <v>#NAME?</v>
      </c>
      <c r="H25" s="7" t="e" cm="1">
        <f t="array" aca="1" ref="H25" ca="1">_xll.DBR($C$20,$B25,H$22)</f>
        <v>#NAME?</v>
      </c>
    </row>
    <row r="26" spans="2:8" ht="15" hidden="1" customHeight="1" outlineLevel="1" x14ac:dyDescent="0.25">
      <c r="B26" t="s">
        <v>92</v>
      </c>
      <c r="C26" s="7" t="e" cm="1">
        <f t="array" aca="1" ref="C26" ca="1">_xll.DBR($C$20,$B26,C$22)</f>
        <v>#NAME?</v>
      </c>
      <c r="D26" s="7" t="e" cm="1">
        <f t="array" aca="1" ref="D26" ca="1">_xll.DBR($C$20,$B26,D$22)</f>
        <v>#NAME?</v>
      </c>
      <c r="E26" s="7" t="e" cm="1">
        <f t="array" aca="1" ref="E26" ca="1">_xll.DBR($C$20,$B26,E$22)</f>
        <v>#NAME?</v>
      </c>
      <c r="F26" s="7" t="e" cm="1">
        <f t="array" aca="1" ref="F26" ca="1">_xll.DBR($C$20,$B26,F$22)</f>
        <v>#NAME?</v>
      </c>
      <c r="G26" s="7" t="e" cm="1">
        <f t="array" aca="1" ref="G26" ca="1">_xll.DBR($C$20,$B26,G$22)</f>
        <v>#NAME?</v>
      </c>
      <c r="H26" s="7" t="e" cm="1">
        <f t="array" aca="1" ref="H26" ca="1">_xll.DBR($C$20,$B26,H$22)</f>
        <v>#NAME?</v>
      </c>
    </row>
    <row r="27" spans="2:8" ht="15" hidden="1" customHeight="1" outlineLevel="1" x14ac:dyDescent="0.25">
      <c r="B27" s="7" t="s">
        <v>34</v>
      </c>
      <c r="C27" s="7" t="e" cm="1">
        <f t="array" aca="1" ref="C27" ca="1">_xll.DBR($C$20,$B27,C$22)</f>
        <v>#NAME?</v>
      </c>
      <c r="D27" s="7" t="e" cm="1">
        <f t="array" aca="1" ref="D27" ca="1">_xll.DBR($C$20,$B27,D$22)</f>
        <v>#NAME?</v>
      </c>
      <c r="E27" s="7" t="e" cm="1">
        <f t="array" aca="1" ref="E27" ca="1">_xll.DBR($C$20,$B27,E$22)</f>
        <v>#NAME?</v>
      </c>
      <c r="F27" s="7" t="e" cm="1">
        <f t="array" aca="1" ref="F27" ca="1">_xll.DBR($C$20,$B27,F$22)</f>
        <v>#NAME?</v>
      </c>
      <c r="G27" s="7" t="e" cm="1">
        <f t="array" aca="1" ref="G27" ca="1">_xll.DBR($C$20,$B27,G$22)</f>
        <v>#NAME?</v>
      </c>
      <c r="H27" s="7" t="e" cm="1">
        <f t="array" aca="1" ref="H27" ca="1">_xll.DBR($C$20,$B27,H$22)</f>
        <v>#NAME?</v>
      </c>
    </row>
    <row r="28" spans="2:8" ht="15" hidden="1" customHeight="1" outlineLevel="1" x14ac:dyDescent="0.25">
      <c r="B28" s="7" t="s">
        <v>35</v>
      </c>
      <c r="C28" s="7" t="e" cm="1">
        <f t="array" aca="1" ref="C28" ca="1">_xll.DBR($C$20,$B28,C$22)</f>
        <v>#NAME?</v>
      </c>
      <c r="D28" s="7" t="e" cm="1">
        <f t="array" aca="1" ref="D28" ca="1">_xll.DBR($C$20,$B28,D$22)</f>
        <v>#NAME?</v>
      </c>
      <c r="E28" s="7" t="e" cm="1">
        <f t="array" aca="1" ref="E28" ca="1">_xll.DBR($C$20,$B28,E$22)</f>
        <v>#NAME?</v>
      </c>
      <c r="F28" s="7" t="e" cm="1">
        <f t="array" aca="1" ref="F28" ca="1">_xll.DBR($C$20,$B28,F$22)</f>
        <v>#NAME?</v>
      </c>
      <c r="G28" s="7" t="e" cm="1">
        <f t="array" aca="1" ref="G28" ca="1">_xll.DBR($C$20,$B28,G$22)</f>
        <v>#NAME?</v>
      </c>
      <c r="H28" s="7" t="e" cm="1">
        <f t="array" aca="1" ref="H28" ca="1">_xll.DBR($C$20,$B28,H$22)</f>
        <v>#NAME?</v>
      </c>
    </row>
    <row r="29" spans="2:8" ht="15" hidden="1" customHeight="1" outlineLevel="1" x14ac:dyDescent="0.25">
      <c r="B29" s="7" t="s">
        <v>36</v>
      </c>
      <c r="C29" s="7" t="e" cm="1">
        <f t="array" aca="1" ref="C29" ca="1">_xll.DBR($C$20,$B29,C$22)</f>
        <v>#NAME?</v>
      </c>
      <c r="D29" s="7" t="e" cm="1">
        <f t="array" aca="1" ref="D29" ca="1">_xll.DBR($C$20,$B29,D$22)</f>
        <v>#NAME?</v>
      </c>
      <c r="E29" s="7" t="e" cm="1">
        <f t="array" aca="1" ref="E29" ca="1">_xll.DBR($C$20,$B29,E$22)</f>
        <v>#NAME?</v>
      </c>
      <c r="F29" s="7" t="e" cm="1">
        <f t="array" aca="1" ref="F29" ca="1">_xll.DBR($C$20,$B29,F$22)</f>
        <v>#NAME?</v>
      </c>
      <c r="G29" s="7" t="e" cm="1">
        <f t="array" aca="1" ref="G29" ca="1">_xll.DBR($C$20,$B29,G$22)</f>
        <v>#NAME?</v>
      </c>
      <c r="H29" s="7" t="e" cm="1">
        <f t="array" aca="1" ref="H29" ca="1">_xll.DBR($C$20,$B29,H$22)</f>
        <v>#NAME?</v>
      </c>
    </row>
    <row r="30" spans="2:8" ht="15" hidden="1" customHeight="1" outlineLevel="1" x14ac:dyDescent="0.25">
      <c r="B30" s="7" t="s">
        <v>37</v>
      </c>
      <c r="C30" s="7" t="e" cm="1">
        <f t="array" aca="1" ref="C30" ca="1">_xll.DBR($C$20,$B30,C$22)</f>
        <v>#NAME?</v>
      </c>
      <c r="D30" s="7" t="e" cm="1">
        <f t="array" aca="1" ref="D30" ca="1">_xll.DBR($C$20,$B30,D$22)</f>
        <v>#NAME?</v>
      </c>
      <c r="E30" s="7" t="e" cm="1">
        <f t="array" aca="1" ref="E30" ca="1">_xll.DBR($C$20,$B30,E$22)</f>
        <v>#NAME?</v>
      </c>
      <c r="F30" s="7" t="e" cm="1">
        <f t="array" aca="1" ref="F30" ca="1">_xll.DBR($C$20,$B30,F$22)</f>
        <v>#NAME?</v>
      </c>
      <c r="G30" s="7" t="e" cm="1">
        <f t="array" aca="1" ref="G30" ca="1">_xll.DBR($C$20,$B30,G$22)</f>
        <v>#NAME?</v>
      </c>
      <c r="H30" s="7" t="e" cm="1">
        <f t="array" aca="1" ref="H30" ca="1">_xll.DBR($C$20,$B30,H$22)</f>
        <v>#NAME?</v>
      </c>
    </row>
    <row r="31" spans="2:8" ht="15" hidden="1" customHeight="1" outlineLevel="1" x14ac:dyDescent="0.25">
      <c r="B31" s="7" t="s">
        <v>38</v>
      </c>
      <c r="C31" s="7" t="e" cm="1">
        <f t="array" aca="1" ref="C31" ca="1">_xll.DBR($C$20,$B31,C$22)</f>
        <v>#NAME?</v>
      </c>
      <c r="D31" s="7" t="e" cm="1">
        <f t="array" aca="1" ref="D31" ca="1">_xll.DBR($C$20,$B31,D$22)</f>
        <v>#NAME?</v>
      </c>
      <c r="E31" s="7" t="e" cm="1">
        <f t="array" aca="1" ref="E31" ca="1">_xll.DBR($C$20,$B31,E$22)</f>
        <v>#NAME?</v>
      </c>
      <c r="F31" s="7" t="e" cm="1">
        <f t="array" aca="1" ref="F31" ca="1">_xll.DBR($C$20,$B31,F$22)</f>
        <v>#NAME?</v>
      </c>
      <c r="G31" s="7" t="e" cm="1">
        <f t="array" aca="1" ref="G31" ca="1">_xll.DBR($C$20,$B31,G$22)</f>
        <v>#NAME?</v>
      </c>
      <c r="H31" s="7" t="e" cm="1">
        <f t="array" aca="1" ref="H31" ca="1">_xll.DBR($C$20,$B31,H$22)</f>
        <v>#NAME?</v>
      </c>
    </row>
    <row r="32" spans="2:8" ht="15" hidden="1" customHeight="1" outlineLevel="1" x14ac:dyDescent="0.25">
      <c r="B32" s="7" t="s">
        <v>39</v>
      </c>
      <c r="C32" s="7" t="e" cm="1">
        <f t="array" aca="1" ref="C32" ca="1">_xll.DBR($C$20,$B32,C$22)</f>
        <v>#NAME?</v>
      </c>
      <c r="D32" s="7" t="e" cm="1">
        <f t="array" aca="1" ref="D32" ca="1">_xll.DBR($C$20,$B32,D$22)</f>
        <v>#NAME?</v>
      </c>
      <c r="E32" s="7" t="e" cm="1">
        <f t="array" aca="1" ref="E32" ca="1">_xll.DBR($C$20,$B32,E$22)</f>
        <v>#NAME?</v>
      </c>
      <c r="F32" s="7" t="e" cm="1">
        <f t="array" aca="1" ref="F32" ca="1">_xll.DBR($C$20,$B32,F$22)</f>
        <v>#NAME?</v>
      </c>
      <c r="G32" s="7" t="e" cm="1">
        <f t="array" aca="1" ref="G32" ca="1">_xll.DBR($C$20,$B32,G$22)</f>
        <v>#NAME?</v>
      </c>
      <c r="H32" s="7" t="e" cm="1">
        <f t="array" aca="1" ref="H32" ca="1">_xll.DBR($C$20,$B32,H$22)</f>
        <v>#NAME?</v>
      </c>
    </row>
    <row r="33" spans="2:3" ht="15" hidden="1" customHeight="1" outlineLevel="1" x14ac:dyDescent="0.25"/>
    <row r="34" spans="2:3" ht="15" hidden="1" customHeight="1" outlineLevel="1" x14ac:dyDescent="0.25">
      <c r="B34" s="47" t="s">
        <v>40</v>
      </c>
      <c r="C34" s="48"/>
    </row>
    <row r="35" spans="2:3" ht="15" hidden="1" customHeight="1" outlineLevel="1" x14ac:dyDescent="0.25">
      <c r="B35" s="6" t="s">
        <v>41</v>
      </c>
      <c r="C35" s="7" t="e" cm="1">
        <f t="array" aca="1" ref="C35" ca="1">_xll.VIEW(db_name&amp;":}ElementAttributes_variables","!","!")</f>
        <v>#NAME?</v>
      </c>
    </row>
    <row r="36" spans="2:3" ht="15" hidden="1" customHeight="1" outlineLevel="1" x14ac:dyDescent="0.25">
      <c r="B36" s="7" t="s">
        <v>0</v>
      </c>
      <c r="C36" s="7" t="e" cm="1">
        <f t="array" aca="1" ref="C36" ca="1">_xll.DBR($C$35,$B36,"value")</f>
        <v>#NAME?</v>
      </c>
    </row>
    <row r="37" spans="2:3" ht="15" hidden="1" customHeight="1" outlineLevel="1" x14ac:dyDescent="0.25">
      <c r="B37" s="7" t="s">
        <v>42</v>
      </c>
      <c r="C37" s="7" t="e" cm="1">
        <f t="array" aca="1" ref="C37" ca="1">_xll.DBR($C$35,$B37,"value")</f>
        <v>#NAME?</v>
      </c>
    </row>
    <row r="38" spans="2:3" ht="15" hidden="1" customHeight="1" outlineLevel="1" x14ac:dyDescent="0.25">
      <c r="B38" s="7" t="s">
        <v>43</v>
      </c>
      <c r="C38" s="7" t="e" cm="1">
        <f t="array" aca="1" ref="C38" ca="1">_xll.DBR($C$35,$B38,"value")</f>
        <v>#NAME?</v>
      </c>
    </row>
    <row r="39" spans="2:3" ht="15" hidden="1" customHeight="1" outlineLevel="1" x14ac:dyDescent="0.25">
      <c r="B39" s="7" t="s">
        <v>113</v>
      </c>
      <c r="C39" s="7" t="e" cm="1">
        <f t="array" aca="1" ref="C39" ca="1">_xll.DBR($C$35,$B39,"value")</f>
        <v>#NAME?</v>
      </c>
    </row>
    <row r="40" spans="2:3" ht="15" hidden="1" customHeight="1" outlineLevel="1" x14ac:dyDescent="0.25">
      <c r="B40" s="8" t="s">
        <v>44</v>
      </c>
      <c r="C40" s="7" t="e" cm="1">
        <f t="array" aca="1" ref="C40" ca="1">_xll.DBR($C$35,$B40,"value")</f>
        <v>#NAME?</v>
      </c>
    </row>
    <row r="41" spans="2:3" ht="15" hidden="1" customHeight="1" outlineLevel="1" x14ac:dyDescent="0.25">
      <c r="B41" s="41" t="s">
        <v>95</v>
      </c>
      <c r="C41" s="7" t="e" cm="1">
        <f t="array" aca="1" ref="C41" ca="1">_xll.DBR($C$35,$B41,"value")</f>
        <v>#NAME?</v>
      </c>
    </row>
    <row r="42" spans="2:3" ht="15" hidden="1" customHeight="1" outlineLevel="1" x14ac:dyDescent="0.25">
      <c r="B42" s="41" t="s">
        <v>96</v>
      </c>
      <c r="C42" s="7" t="e" cm="1">
        <f t="array" aca="1" ref="C42" ca="1">_xll.DBR($C$35,$B42,"value")</f>
        <v>#NAME?</v>
      </c>
    </row>
    <row r="43" spans="2:3" ht="15" hidden="1" customHeight="1" outlineLevel="1" x14ac:dyDescent="0.25">
      <c r="B43" s="41" t="s">
        <v>97</v>
      </c>
      <c r="C43" s="7" t="e" cm="1">
        <f t="array" aca="1" ref="C43" ca="1">_xll.DBR($C$35,$B43,"value")</f>
        <v>#NAME?</v>
      </c>
    </row>
    <row r="44" spans="2:3" ht="15" hidden="1" customHeight="1" outlineLevel="1" x14ac:dyDescent="0.25">
      <c r="B44" s="41" t="s">
        <v>98</v>
      </c>
      <c r="C44" s="7" t="e" cm="1">
        <f t="array" aca="1" ref="C44" ca="1">_xll.DBR($C$35,$B44,"value")</f>
        <v>#NAME?</v>
      </c>
    </row>
    <row r="45" spans="2:3" ht="15" hidden="1" customHeight="1" outlineLevel="1" x14ac:dyDescent="0.25">
      <c r="B45" s="41" t="s">
        <v>99</v>
      </c>
      <c r="C45" s="7" t="e" cm="1">
        <f t="array" aca="1" ref="C45" ca="1">_xll.DBR($C$35,$B45,"value")</f>
        <v>#NAME?</v>
      </c>
    </row>
    <row r="46" spans="2:3" ht="15" hidden="1" customHeight="1" outlineLevel="1" x14ac:dyDescent="0.25">
      <c r="B46" s="41" t="s">
        <v>100</v>
      </c>
      <c r="C46" s="7" t="e" cm="1">
        <f t="array" aca="1" ref="C46" ca="1">_xll.DBR($C$35,$B46,"value")</f>
        <v>#NAME?</v>
      </c>
    </row>
    <row r="47" spans="2:3" ht="15" hidden="1" customHeight="1" outlineLevel="1" x14ac:dyDescent="0.25">
      <c r="B47" s="8" t="s">
        <v>45</v>
      </c>
      <c r="C47" s="8" t="e" cm="1">
        <f t="array" aca="1" ref="C47" ca="1">_xll.DIMIX(db_name&amp;":headline year",$C$40)</f>
        <v>#NAME?</v>
      </c>
    </row>
    <row r="48" spans="2:3" ht="15" hidden="1" customHeight="1" outlineLevel="1" x14ac:dyDescent="0.25">
      <c r="B48" s="8" t="s">
        <v>46</v>
      </c>
      <c r="C48" s="8" t="e" cm="1">
        <f t="array" aca="1" ref="C48" ca="1">_xll.DIMIX(db_name&amp;":headline year",psHLYear)</f>
        <v>#NAME?</v>
      </c>
    </row>
    <row r="49" spans="2:3" ht="15" hidden="1" customHeight="1" outlineLevel="1" x14ac:dyDescent="0.25"/>
    <row r="50" spans="2:3" ht="15" hidden="1" customHeight="1" outlineLevel="1" x14ac:dyDescent="0.25">
      <c r="B50" s="15" t="s">
        <v>58</v>
      </c>
      <c r="C50" s="15" t="s">
        <v>59</v>
      </c>
    </row>
    <row r="51" spans="2:3" ht="15" hidden="1" customHeight="1" outlineLevel="1" x14ac:dyDescent="0.25">
      <c r="B51" s="7" t="s">
        <v>1</v>
      </c>
      <c r="C51" s="7" t="s">
        <v>1</v>
      </c>
    </row>
    <row r="52" spans="2:3" ht="15" hidden="1" customHeight="1" outlineLevel="1" x14ac:dyDescent="0.25">
      <c r="B52" s="7" t="s">
        <v>61</v>
      </c>
      <c r="C52" s="7" t="s">
        <v>2</v>
      </c>
    </row>
    <row r="53" spans="2:3" ht="15" hidden="1" customHeight="1" outlineLevel="1" x14ac:dyDescent="0.25">
      <c r="B53" s="7" t="s">
        <v>74</v>
      </c>
      <c r="C53" s="7" t="s">
        <v>3</v>
      </c>
    </row>
    <row r="54" spans="2:3" ht="15" hidden="1" customHeight="1" outlineLevel="1" x14ac:dyDescent="0.25">
      <c r="B54" s="7" t="s">
        <v>78</v>
      </c>
      <c r="C54" s="7" t="s">
        <v>134</v>
      </c>
    </row>
    <row r="55" spans="2:3" ht="17.25" hidden="1" customHeight="1" outlineLevel="1" x14ac:dyDescent="0.25">
      <c r="B55" s="7" t="s">
        <v>135</v>
      </c>
      <c r="C55" s="7" t="s">
        <v>4</v>
      </c>
    </row>
    <row r="56" spans="2:3" ht="15" hidden="1" customHeight="1" outlineLevel="1" x14ac:dyDescent="0.25">
      <c r="B56" s="7" t="s">
        <v>62</v>
      </c>
      <c r="C56" s="7" t="s">
        <v>5</v>
      </c>
    </row>
    <row r="57" spans="2:3" ht="15" hidden="1" customHeight="1" outlineLevel="1" x14ac:dyDescent="0.25">
      <c r="B57" s="7" t="s">
        <v>63</v>
      </c>
      <c r="C57" s="7" t="s">
        <v>6</v>
      </c>
    </row>
    <row r="58" spans="2:3" ht="15" hidden="1" customHeight="1" outlineLevel="1" x14ac:dyDescent="0.25">
      <c r="B58" s="7" t="s">
        <v>64</v>
      </c>
      <c r="C58" s="7" t="s">
        <v>60</v>
      </c>
    </row>
    <row r="59" spans="2:3" ht="15" hidden="1" customHeight="1" outlineLevel="1" x14ac:dyDescent="0.25">
      <c r="B59" s="7" t="s">
        <v>75</v>
      </c>
      <c r="C59" s="7" t="s">
        <v>7</v>
      </c>
    </row>
    <row r="60" spans="2:3" ht="15" hidden="1" customHeight="1" outlineLevel="1" x14ac:dyDescent="0.25">
      <c r="B60" t="s">
        <v>131</v>
      </c>
      <c r="C60" s="7" t="s">
        <v>130</v>
      </c>
    </row>
    <row r="61" spans="2:3" ht="15" hidden="1" customHeight="1" outlineLevel="1" x14ac:dyDescent="0.25">
      <c r="B61" s="7" t="s">
        <v>76</v>
      </c>
      <c r="C61" s="7" t="s">
        <v>8</v>
      </c>
    </row>
    <row r="62" spans="2:3" ht="15" hidden="1" customHeight="1" outlineLevel="1" x14ac:dyDescent="0.25">
      <c r="B62" s="7" t="s">
        <v>77</v>
      </c>
      <c r="C62" s="7" t="s">
        <v>9</v>
      </c>
    </row>
    <row r="63" spans="2:3" ht="15" hidden="1" customHeight="1" outlineLevel="1" x14ac:dyDescent="0.25"/>
    <row r="64" spans="2:3" ht="15" hidden="1" customHeight="1" outlineLevel="1" x14ac:dyDescent="0.25">
      <c r="B64" s="47" t="s">
        <v>47</v>
      </c>
      <c r="C64" s="48"/>
    </row>
    <row r="65" spans="2:41" ht="15" hidden="1" customHeight="1" outlineLevel="1" x14ac:dyDescent="0.25">
      <c r="B65" s="7" t="s">
        <v>48</v>
      </c>
      <c r="C65" s="7" t="e">
        <f ca="1">_xll.TM1RPTVIEW(db_name&amp;":government measures details:1",1,_xll.TM1RPTTITLE(db_name&amp;":headline year",$N$120),_xll.TM1RPTTITLE(db_name&amp;":scenario",$N$121),TM1RPTFMTRNG,TM1RPTFMTIDCOL)</f>
        <v>#NAME?</v>
      </c>
    </row>
    <row r="66" spans="2:41" ht="15" hidden="1" customHeight="1" outlineLevel="1" x14ac:dyDescent="0.25">
      <c r="B66" s="32" t="s">
        <v>49</v>
      </c>
      <c r="C66" s="32" t="e" cm="1">
        <f t="array" aca="1" ref="C66" ca="1">_xll.VIEW(db_name&amp;":government measures details",$N$120,$N$121,"!","!")</f>
        <v>#NAME?</v>
      </c>
      <c r="AB66" s="6" t="s">
        <v>101</v>
      </c>
      <c r="AC66" s="6"/>
      <c r="AD66" s="7">
        <v>-1</v>
      </c>
      <c r="AE66" s="7">
        <v>0</v>
      </c>
      <c r="AF66" s="7">
        <v>1</v>
      </c>
      <c r="AG66" s="7">
        <v>2</v>
      </c>
      <c r="AH66" s="7">
        <v>3</v>
      </c>
      <c r="AI66" s="7">
        <v>4</v>
      </c>
      <c r="AJ66" s="7">
        <v>5</v>
      </c>
      <c r="AK66" s="7">
        <v>6</v>
      </c>
      <c r="AL66" s="7">
        <v>7</v>
      </c>
      <c r="AM66" s="7">
        <v>8</v>
      </c>
      <c r="AN66" s="7">
        <v>9</v>
      </c>
      <c r="AO66" s="7">
        <v>10</v>
      </c>
    </row>
    <row r="67" spans="2:41" ht="15" hidden="1" customHeight="1" outlineLevel="1" x14ac:dyDescent="0.25">
      <c r="B67" s="7" t="s">
        <v>65</v>
      </c>
      <c r="C67" s="7" t="e">
        <f ca="1">VLOOKUP(psFilter,sys_measfilter_lookup,2,FALSE)</f>
        <v>#NAME?</v>
      </c>
      <c r="D67" s="7"/>
      <c r="E67" s="7"/>
      <c r="AB67" s="7" t="e">
        <f ca="1">MID(psHLYear,3,9)</f>
        <v>#NAME?</v>
      </c>
      <c r="AD67" t="e" cm="1">
        <f t="array" aca="1" ref="AD67" ca="1">_xll.DIMNM(db_name&amp;":period",_xll.DIMIX(db_name&amp;":period",$AB$67)+AD$66)</f>
        <v>#NAME?</v>
      </c>
      <c r="AE67" t="e" cm="1">
        <f t="array" aca="1" ref="AE67" ca="1">_xll.DIMNM(db_name&amp;":period",_xll.DIMIX(db_name&amp;":period",$AB$67)+AE$66)</f>
        <v>#NAME?</v>
      </c>
      <c r="AF67" t="e" cm="1">
        <f t="array" aca="1" ref="AF67" ca="1">_xll.DIMNM(db_name&amp;":period",_xll.DIMIX(db_name&amp;":period",$AB$67)+AF$66)</f>
        <v>#NAME?</v>
      </c>
      <c r="AG67" t="e" cm="1">
        <f t="array" aca="1" ref="AG67" ca="1">_xll.DIMNM(db_name&amp;":period",_xll.DIMIX(db_name&amp;":period",$AB$67)+AG$66)</f>
        <v>#NAME?</v>
      </c>
      <c r="AH67" t="e" cm="1">
        <f t="array" aca="1" ref="AH67" ca="1">_xll.DIMNM(db_name&amp;":period",_xll.DIMIX(db_name&amp;":period",$AB$67)+AH$66)</f>
        <v>#NAME?</v>
      </c>
      <c r="AI67" t="e" cm="1">
        <f t="array" aca="1" ref="AI67" ca="1">_xll.DIMNM(db_name&amp;":period",_xll.DIMIX(db_name&amp;":period",$AB$67)+AI$66)</f>
        <v>#NAME?</v>
      </c>
      <c r="AJ67" t="e" cm="1">
        <f t="array" aca="1" ref="AJ67" ca="1">_xll.DIMNM(db_name&amp;":period",_xll.DIMIX(db_name&amp;":period",$AB$67)+AJ$66)</f>
        <v>#NAME?</v>
      </c>
      <c r="AK67" t="e" cm="1">
        <f t="array" aca="1" ref="AK67" ca="1">_xll.DIMNM(db_name&amp;":period",_xll.DIMIX(db_name&amp;":period",$AB$67)+AK$66)</f>
        <v>#NAME?</v>
      </c>
      <c r="AL67" t="e" cm="1">
        <f t="array" aca="1" ref="AL67" ca="1">_xll.DIMNM(db_name&amp;":period",_xll.DIMIX(db_name&amp;":period",$AB$67)+AL$66)</f>
        <v>#NAME?</v>
      </c>
      <c r="AM67" t="e" cm="1">
        <f t="array" aca="1" ref="AM67" ca="1">_xll.DIMNM(db_name&amp;":period",_xll.DIMIX(db_name&amp;":period",$AB$67)+AM$66)</f>
        <v>#NAME?</v>
      </c>
      <c r="AN67" t="e" cm="1">
        <f t="array" aca="1" ref="AN67" ca="1">_xll.DIMNM(db_name&amp;":period",_xll.DIMIX(db_name&amp;":period",$AB$67)+AN$66)</f>
        <v>#NAME?</v>
      </c>
      <c r="AO67" t="e" cm="1">
        <f t="array" aca="1" ref="AO67" ca="1">_xll.DIMNM(db_name&amp;":period",_xll.DIMIX(db_name&amp;":period",$AB$67)+AO$66)</f>
        <v>#NAME?</v>
      </c>
    </row>
    <row r="68" spans="2:41" ht="15" hidden="1" customHeight="1" outlineLevel="1" x14ac:dyDescent="0.25">
      <c r="B68" s="33" t="s">
        <v>50</v>
      </c>
      <c r="C68" s="33" t="e">
        <f ca="1">IF(AND(psTextFilter="",$R$120="Yes"),$C$69,IF(AND($R$120="Yes",psTextFilter&lt;&gt;""),$C$71,IF(AND($R$120="No",psTextFilter=""),$C$70,$C$72)))</f>
        <v>#NAME?</v>
      </c>
      <c r="D68" s="33"/>
      <c r="E68" s="33"/>
    </row>
    <row r="69" spans="2:41" ht="15" hidden="1" customHeight="1" outlineLevel="1" x14ac:dyDescent="0.25">
      <c r="B69" s="33" t="s">
        <v>128</v>
      </c>
      <c r="C69" s="7" t="str">
        <f>"{TM1SORT( {FILTER( {TM1FILTERBYLEVEL( {TM1SUBSETALL( [measure code] )}, 0)}, [measure code].[current] = """ &amp; "Y" &amp; """)}, DESC)}"</f>
        <v>{TM1SORT( {FILTER( {TM1FILTERBYLEVEL( {TM1SUBSETALL( [measure code] )}, 0)}, [measure code].[current] = "Y")}, DESC)}</v>
      </c>
      <c r="D69" s="33" t="e">
        <f ca="1">"{TM1SORT( {FILTER( {FILTER( {TM1FILTERBYLEVEL( {TM1SUBSETALL( [measure code] )}, 0)}, [measure code].[Active] &lt;&gt; """ &amp; "N" &amp; """)}, [measure code].[Budget Round Created] = """ &amp; psHLYear &amp; """)}, DESC)}"</f>
        <v>#NAME?</v>
      </c>
      <c r="E69" s="33"/>
    </row>
    <row r="70" spans="2:41" ht="15" hidden="1" customHeight="1" outlineLevel="1" x14ac:dyDescent="0.25">
      <c r="B70" s="7" t="s">
        <v>51</v>
      </c>
      <c r="C70" s="7" t="str">
        <f>"{TM1SORT( {FILTER( {TM1FILTERBYLEVEL( {TM1SUBSETALL( [measure code] )}, 0)}, [measure code].[Active] &lt;&gt; """ &amp; "N" &amp; """)}, DESC)}"</f>
        <v>{TM1SORT( {FILTER( {TM1FILTERBYLEVEL( {TM1SUBSETALL( [measure code] )}, 0)}, [measure code].[Active] &lt;&gt; "N")}, DESC)}</v>
      </c>
      <c r="D70" s="7"/>
      <c r="E70" s="7"/>
    </row>
    <row r="71" spans="2:41" ht="15" hidden="1" customHeight="1" outlineLevel="1" x14ac:dyDescent="0.25">
      <c r="B71" s="7" t="s">
        <v>129</v>
      </c>
      <c r="C71" s="7" t="e">
        <f ca="1">"{{TM1SORT({FILTER({FILTER( {TM1FILTERBYLEVEL( {TM1SUBSETALL( [measure code] )}, 0)}, [measure code].[current] = """ &amp; "Y" &amp; """)}, INSTR( [government measures details].([Headline Year].[" &amp; psHLYear &amp;"],[scenario].[" &amp; psScenario &amp;"],[measure details].[" &amp;$C$67&amp;"]), "  &amp; $C$73 &amp;  psTextFilter &amp; $C$73 &amp;  " ) &gt;=1)}, DESC)},[measure code].[M00000]}"</f>
        <v>#NAME?</v>
      </c>
      <c r="D71" s="7"/>
      <c r="E71" s="7"/>
    </row>
    <row r="72" spans="2:41" ht="15" hidden="1" customHeight="1" outlineLevel="1" x14ac:dyDescent="0.25">
      <c r="B72" s="7" t="s">
        <v>52</v>
      </c>
      <c r="C72" s="7" t="e">
        <f ca="1">"{{TM1SORT({FILTER({[measure code].[Total Measures].Children}, INSTR( [government measures details].([Headline Year].[" &amp; psHLYear &amp;"],[scenario].[" &amp; psScenario &amp;"],[measure details].[" &amp;$C$67&amp;"]), "  &amp; $C$73 &amp;  psTextFilter &amp; $C$73 &amp;  " ) &gt;=1)}, DESC)},[measure code].[M00000]}"</f>
        <v>#NAME?</v>
      </c>
      <c r="D72" s="7"/>
      <c r="E72" s="7"/>
    </row>
    <row r="73" spans="2:41" ht="15" hidden="1" customHeight="1" outlineLevel="1" x14ac:dyDescent="0.25">
      <c r="B73" s="7" t="s">
        <v>53</v>
      </c>
      <c r="C73" s="8" t="s">
        <v>54</v>
      </c>
      <c r="D73" s="8"/>
      <c r="E73" s="8"/>
    </row>
    <row r="74" spans="2:41" ht="15" hidden="1" customHeight="1" outlineLevel="1" x14ac:dyDescent="0.25"/>
    <row r="75" spans="2:41" ht="15" hidden="1" customHeight="1" outlineLevel="1" x14ac:dyDescent="0.25">
      <c r="B75" s="47" t="s">
        <v>66</v>
      </c>
      <c r="C75" s="48"/>
    </row>
    <row r="76" spans="2:41" ht="15" hidden="1" customHeight="1" outlineLevel="1" x14ac:dyDescent="0.25">
      <c r="B76" s="6" t="s">
        <v>41</v>
      </c>
      <c r="C76" s="7" t="e" cm="1">
        <f t="array" aca="1" ref="C76" ca="1">_xll.VIEW(db_name&amp;":sys_client preference","!","!")</f>
        <v>#NAME?</v>
      </c>
    </row>
    <row r="77" spans="2:41" ht="15" hidden="1" customHeight="1" outlineLevel="1" x14ac:dyDescent="0.25">
      <c r="B77" s="8" t="s">
        <v>70</v>
      </c>
      <c r="C77" s="7" t="e" cm="1">
        <f t="array" aca="1" ref="C77" ca="1">_xll.DBR($C$76,psUser,$B77,"value")</f>
        <v>#NAME?</v>
      </c>
    </row>
    <row r="78" spans="2:41" ht="15" hidden="1" customHeight="1" outlineLevel="1" x14ac:dyDescent="0.25">
      <c r="B78" s="8" t="s">
        <v>71</v>
      </c>
      <c r="C78" s="7" t="e" cm="1">
        <f t="array" aca="1" ref="C78" ca="1">_xll.DBR($C$76,psUser,$B78,"value")</f>
        <v>#NAME?</v>
      </c>
    </row>
    <row r="79" spans="2:41" ht="15" hidden="1" customHeight="1" outlineLevel="1" x14ac:dyDescent="0.25">
      <c r="B79" s="8" t="s">
        <v>72</v>
      </c>
      <c r="C79" s="7" t="e" cm="1">
        <f t="array" aca="1" ref="C79" ca="1">_xll.DBR($C$76,psUser,$B79,"value")</f>
        <v>#NAME?</v>
      </c>
    </row>
    <row r="80" spans="2:41" ht="15" hidden="1" customHeight="1" outlineLevel="1" x14ac:dyDescent="0.25">
      <c r="B80" s="8" t="s">
        <v>73</v>
      </c>
      <c r="C80" s="7" t="e" cm="1">
        <f t="array" aca="1" ref="C80" ca="1">_xll.DBR($C$76,psUser,$B80,"value")</f>
        <v>#NAME?</v>
      </c>
    </row>
    <row r="81" spans="2:3" ht="15" hidden="1" customHeight="1" outlineLevel="1" x14ac:dyDescent="0.25">
      <c r="B81" s="8" t="s">
        <v>67</v>
      </c>
      <c r="C81" s="7" t="e" cm="1">
        <f t="array" aca="1" ref="C81" ca="1">_xll.DBR($C$76,psUser,$B81,"value")</f>
        <v>#NAME?</v>
      </c>
    </row>
    <row r="82" spans="2:3" ht="15" hidden="1" customHeight="1" outlineLevel="1" x14ac:dyDescent="0.25">
      <c r="B82" s="8" t="s">
        <v>68</v>
      </c>
      <c r="C82" s="7" t="e" cm="1">
        <f t="array" aca="1" ref="C82" ca="1">_xll.DBR($C$76,psUser,$B82,"value")</f>
        <v>#NAME?</v>
      </c>
    </row>
    <row r="83" spans="2:3" ht="15" hidden="1" customHeight="1" outlineLevel="1" x14ac:dyDescent="0.25">
      <c r="B83" s="8" t="s">
        <v>69</v>
      </c>
      <c r="C83" s="7" t="e" cm="1">
        <f t="array" aca="1" ref="C83" ca="1">_xll.DBR($C$76,psUser,$B83,"value")</f>
        <v>#NAME?</v>
      </c>
    </row>
    <row r="84" spans="2:3" ht="15" hidden="1" customHeight="1" outlineLevel="1" x14ac:dyDescent="0.25"/>
    <row r="85" spans="2:3" ht="15" hidden="1" customHeight="1" outlineLevel="1" x14ac:dyDescent="0.25">
      <c r="B85" s="47" t="s">
        <v>102</v>
      </c>
      <c r="C85" s="48"/>
    </row>
    <row r="86" spans="2:3" ht="15" hidden="1" customHeight="1" outlineLevel="1" x14ac:dyDescent="0.25">
      <c r="B86" s="43" t="s">
        <v>114</v>
      </c>
      <c r="C86" s="42" t="e" cm="1">
        <f t="array" aca="1" ref="C86" ca="1">_xll.VIEW(db_name&amp;":AE adjustments",psHLYear,psScenario,$C$87,$C$88,$C$89,$C$90,$C$91,$C$92,"!",$C$93,"!",$C$94,$C$95,"!",$C$96,$C$97,"!")</f>
        <v>#NAME?</v>
      </c>
    </row>
    <row r="87" spans="2:3" ht="15" hidden="1" customHeight="1" outlineLevel="1" x14ac:dyDescent="0.25">
      <c r="B87" s="6" t="s">
        <v>84</v>
      </c>
      <c r="C87" s="7" t="e" cm="1">
        <f t="array" aca="1" ref="C87" ca="1">_xll.SUBNM(db_name&amp;":status","","Total approved")</f>
        <v>#NAME?</v>
      </c>
    </row>
    <row r="88" spans="2:3" ht="15" hidden="1" customHeight="1" outlineLevel="1" x14ac:dyDescent="0.25">
      <c r="B88" s="6" t="s">
        <v>103</v>
      </c>
      <c r="C88" s="7" t="e" cm="1">
        <f t="array" aca="1" ref="C88" ca="1">_xll.SUBNM(db_name&amp;":outcome","","Total outcomes")</f>
        <v>#NAME?</v>
      </c>
    </row>
    <row r="89" spans="2:3" ht="15" hidden="1" customHeight="1" outlineLevel="1" x14ac:dyDescent="0.25">
      <c r="B89" s="6" t="s">
        <v>104</v>
      </c>
      <c r="C89" s="7" t="e" cm="1">
        <f t="array" aca="1" ref="C89" ca="1">_xll.SUBNM(db_name&amp;":related entity","","Total related entity")</f>
        <v>#NAME?</v>
      </c>
    </row>
    <row r="90" spans="2:3" ht="15" hidden="1" customHeight="1" outlineLevel="1" x14ac:dyDescent="0.25">
      <c r="B90" s="6" t="s">
        <v>105</v>
      </c>
      <c r="C90" s="7" t="e" cm="1">
        <f t="array" aca="1" ref="C90" ca="1">_xll.SUBNM(db_name&amp;":function","","Total functions")</f>
        <v>#NAME?</v>
      </c>
    </row>
    <row r="91" spans="2:3" ht="15" hidden="1" customHeight="1" outlineLevel="1" x14ac:dyDescent="0.25">
      <c r="B91" s="6" t="s">
        <v>106</v>
      </c>
      <c r="C91" s="7" t="e" cm="1">
        <f t="array" aca="1" ref="C91" ca="1">_xll.SUBNM(db_name&amp;":reason","","Total reason")</f>
        <v>#NAME?</v>
      </c>
    </row>
    <row r="92" spans="2:3" ht="15" hidden="1" customHeight="1" outlineLevel="1" x14ac:dyDescent="0.25">
      <c r="B92" s="6" t="s">
        <v>107</v>
      </c>
      <c r="C92" s="7" t="e" cm="1">
        <f t="array" aca="1" ref="C92" ca="1">_xll.SUBNM(db_name&amp;":spp","","Total SPP")</f>
        <v>#NAME?</v>
      </c>
    </row>
    <row r="93" spans="2:3" ht="15" hidden="1" customHeight="1" outlineLevel="1" x14ac:dyDescent="0.25">
      <c r="B93" s="6" t="s">
        <v>108</v>
      </c>
      <c r="C93" s="7" t="e" cm="1">
        <f t="array" aca="1" ref="C93" ca="1">_xll.SUBNM(db_name&amp;":appropriation type","","Total approp types")</f>
        <v>#NAME?</v>
      </c>
    </row>
    <row r="94" spans="2:3" ht="15" hidden="1" customHeight="1" outlineLevel="1" x14ac:dyDescent="0.25">
      <c r="B94" s="6" t="s">
        <v>109</v>
      </c>
      <c r="C94" s="7" t="e" cm="1">
        <f t="array" aca="1" ref="C94" ca="1">_xll.SUBNM(db_name&amp;":appropriation item","","Total approp item")</f>
        <v>#NAME?</v>
      </c>
    </row>
    <row r="95" spans="2:3" ht="15" hidden="1" customHeight="1" outlineLevel="1" x14ac:dyDescent="0.25">
      <c r="B95" s="6" t="s">
        <v>110</v>
      </c>
      <c r="C95" s="7" t="e" cm="1">
        <f t="array" aca="1" ref="C95" ca="1">_xll.SUBNM(db_name&amp;":"&amp;psProgDimName,"","Total programmes","code and description")</f>
        <v>#NAME?</v>
      </c>
    </row>
    <row r="96" spans="2:3" ht="15" hidden="1" customHeight="1" outlineLevel="1" x14ac:dyDescent="0.25">
      <c r="B96" s="6" t="s">
        <v>111</v>
      </c>
      <c r="C96" s="7" t="e" cm="1">
        <f t="array" aca="1" ref="C96" ca="1">_xll.SUBNM(db_name&amp;":id","","Total Ids")</f>
        <v>#NAME?</v>
      </c>
    </row>
    <row r="97" spans="2:32" ht="15" hidden="1" customHeight="1" outlineLevel="1" x14ac:dyDescent="0.25">
      <c r="B97" s="6" t="s">
        <v>112</v>
      </c>
      <c r="C97" s="7" t="e" cm="1">
        <f t="array" aca="1" ref="C97" ca="1">_xll.SUBNM(db_name&amp;":jurisdiction","","Total jurisdictions")</f>
        <v>#NAME?</v>
      </c>
    </row>
    <row r="98" spans="2:32" ht="15" hidden="1" customHeight="1" outlineLevel="1" x14ac:dyDescent="0.25"/>
    <row r="99" spans="2:32" ht="15" hidden="1" customHeight="1" outlineLevel="1" x14ac:dyDescent="0.25">
      <c r="B99" s="47" t="s">
        <v>116</v>
      </c>
      <c r="C99" s="48"/>
    </row>
    <row r="100" spans="2:32" ht="15" hidden="1" customHeight="1" outlineLevel="1" x14ac:dyDescent="0.25">
      <c r="B100" s="1" t="s">
        <v>22</v>
      </c>
      <c r="C100" t="e" cm="1">
        <f t="array" aca="1" ref="C100" ca="1">_xll.VIEW(db_name&amp;":}ElementAttributes_measure code","!","!")</f>
        <v>#NAME?</v>
      </c>
    </row>
    <row r="101" spans="2:32" ht="15" hidden="1" customHeight="1" outlineLevel="1" x14ac:dyDescent="0.25"/>
    <row r="102" spans="2:32" ht="15" hidden="1" customHeight="1" outlineLevel="1" x14ac:dyDescent="0.25"/>
    <row r="103" spans="2:32" ht="15" hidden="1" customHeight="1" outlineLevel="1" x14ac:dyDescent="0.25"/>
    <row r="104" spans="2:32" ht="15" hidden="1" customHeight="1" outlineLevel="1" x14ac:dyDescent="0.25"/>
    <row r="105" spans="2:32" ht="15" hidden="1" customHeight="1" outlineLevel="1" x14ac:dyDescent="0.25"/>
    <row r="106" spans="2:32" ht="15" hidden="1" customHeight="1" outlineLevel="1" x14ac:dyDescent="0.25"/>
    <row r="107" spans="2:32" ht="15" hidden="1" customHeight="1" outlineLevel="1" x14ac:dyDescent="0.25"/>
    <row r="108" spans="2:32" s="17" customFormat="1" ht="15" hidden="1" customHeight="1" outlineLevel="1" x14ac:dyDescent="0.25">
      <c r="C108" s="19" t="s">
        <v>3</v>
      </c>
      <c r="J108" s="19" t="s">
        <v>79</v>
      </c>
      <c r="K108" s="19" t="s">
        <v>123</v>
      </c>
      <c r="L108" s="19"/>
      <c r="M108" s="19" t="s">
        <v>120</v>
      </c>
      <c r="N108" s="19" t="s">
        <v>134</v>
      </c>
      <c r="O108" s="19" t="s">
        <v>121</v>
      </c>
      <c r="P108" s="19" t="s">
        <v>119</v>
      </c>
      <c r="Q108" s="19" t="s">
        <v>122</v>
      </c>
      <c r="R108" s="19" t="s">
        <v>82</v>
      </c>
      <c r="S108" s="19" t="s">
        <v>125</v>
      </c>
      <c r="T108" s="19" t="s">
        <v>117</v>
      </c>
      <c r="U108" s="19" t="s">
        <v>7</v>
      </c>
      <c r="V108" s="19" t="s">
        <v>124</v>
      </c>
      <c r="W108" s="19" t="s">
        <v>130</v>
      </c>
      <c r="X108" s="19" t="s">
        <v>83</v>
      </c>
      <c r="Y108" s="19" t="s">
        <v>8</v>
      </c>
      <c r="Z108" s="19" t="s">
        <v>80</v>
      </c>
      <c r="AA108" s="19" t="s">
        <v>9</v>
      </c>
      <c r="AB108" s="19" t="s">
        <v>81</v>
      </c>
      <c r="AC108" s="18"/>
      <c r="AD108" s="18"/>
      <c r="AE108" s="18"/>
      <c r="AF108" s="18"/>
    </row>
    <row r="109" spans="2:32" ht="15" hidden="1" customHeight="1" outlineLevel="1" x14ac:dyDescent="0.25"/>
    <row r="110" spans="2:32" ht="15" hidden="1" customHeight="1" outlineLevel="1" x14ac:dyDescent="0.25"/>
    <row r="111" spans="2:32" ht="15" hidden="1" customHeight="1" outlineLevel="1" x14ac:dyDescent="0.25"/>
    <row r="112" spans="2:32" ht="15" hidden="1" customHeight="1" outlineLevel="1" x14ac:dyDescent="0.25"/>
    <row r="113" spans="1:41" ht="15" hidden="1" customHeight="1" outlineLevel="1" x14ac:dyDescent="0.25"/>
    <row r="114" spans="1:41" ht="36" customHeight="1" collapsed="1" x14ac:dyDescent="0.25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 t="s">
        <v>91</v>
      </c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</row>
    <row r="115" spans="1:41" ht="4.5" customHeight="1" x14ac:dyDescent="0.25"/>
    <row r="116" spans="1:41" ht="26.1" customHeight="1" x14ac:dyDescent="0.25"/>
    <row r="117" spans="1:41" ht="1.5" customHeight="1" x14ac:dyDescent="0.25"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</row>
    <row r="118" spans="1:41" ht="4.5" customHeight="1" x14ac:dyDescent="0.25"/>
    <row r="119" spans="1:41" s="17" customFormat="1" x14ac:dyDescent="0.25">
      <c r="C119" s="18"/>
      <c r="J119" s="18"/>
      <c r="L119"/>
      <c r="N119" s="37" t="s">
        <v>88</v>
      </c>
      <c r="P119" s="18"/>
      <c r="R119" s="37" t="s">
        <v>93</v>
      </c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</row>
    <row r="120" spans="1:41" x14ac:dyDescent="0.25">
      <c r="C120" s="16"/>
      <c r="J120" s="16"/>
      <c r="M120" s="13" t="s">
        <v>89</v>
      </c>
      <c r="N120" s="14" t="e">
        <f ca="1">_xll.SUBNM(db_name&amp;":headline year","",$C$36)</f>
        <v>#NAME?</v>
      </c>
      <c r="P120" s="16"/>
      <c r="Q120" s="13" t="s">
        <v>127</v>
      </c>
      <c r="R120" s="40" t="e" cm="1">
        <f t="array" aca="1" ref="R120" ca="1">_xll.SUBNM(db_name&amp;":sys_YesNo","","Yes")</f>
        <v>#NAME?</v>
      </c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</row>
    <row r="121" spans="1:41" x14ac:dyDescent="0.25">
      <c r="C121" s="16"/>
      <c r="J121" s="16"/>
      <c r="M121" s="13" t="s">
        <v>90</v>
      </c>
      <c r="N121" s="14" t="e">
        <f ca="1">_xll.SUBNM(db_name&amp;":scenario","",$C$37)</f>
        <v>#NAME?</v>
      </c>
      <c r="P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</row>
    <row r="122" spans="1:41" x14ac:dyDescent="0.25">
      <c r="C122" s="16"/>
      <c r="J122" s="16"/>
      <c r="L122" s="13"/>
      <c r="M122" s="13" t="s">
        <v>94</v>
      </c>
      <c r="N122" s="24" t="e">
        <f ca="1">IF(psScenario="current",$C$38,psScenario)</f>
        <v>#NAME?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</row>
    <row r="123" spans="1:41" ht="4.5" customHeight="1" x14ac:dyDescent="0.25">
      <c r="C123" s="16"/>
      <c r="J123" s="16"/>
      <c r="K123" s="1"/>
      <c r="L123" s="1"/>
      <c r="N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</row>
    <row r="124" spans="1:41" x14ac:dyDescent="0.25">
      <c r="C124" s="16"/>
      <c r="J124" s="16"/>
      <c r="L124" s="1"/>
      <c r="N124" s="37" t="s">
        <v>55</v>
      </c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 spans="1:41" x14ac:dyDescent="0.25">
      <c r="C125" s="16"/>
      <c r="J125" s="16"/>
      <c r="L125" s="1"/>
      <c r="M125" s="13" t="s">
        <v>56</v>
      </c>
      <c r="N125" s="14" t="e" cm="1">
        <f t="array" aca="1" ref="N125" ca="1">_xll.DBR($C$76,psUser,$B$79,"value")</f>
        <v>#NAME?</v>
      </c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 spans="1:41" x14ac:dyDescent="0.25">
      <c r="C126" s="16"/>
      <c r="J126" s="16"/>
      <c r="L126" s="1"/>
      <c r="M126" s="13" t="s">
        <v>57</v>
      </c>
      <c r="N126" s="25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</row>
    <row r="127" spans="1:41" x14ac:dyDescent="0.25">
      <c r="C127" s="16"/>
      <c r="J127" s="16"/>
      <c r="K127" s="16"/>
      <c r="L127" s="16"/>
      <c r="M127" s="10"/>
      <c r="N127" s="35" t="s">
        <v>136</v>
      </c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49" t="s">
        <v>126</v>
      </c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</row>
    <row r="128" spans="1:41" ht="5.0999999999999996" customHeight="1" x14ac:dyDescent="0.25">
      <c r="C128" s="16"/>
      <c r="J128" s="16"/>
      <c r="K128" s="16"/>
      <c r="L128" s="16"/>
      <c r="M128" s="10"/>
      <c r="N128" s="10"/>
      <c r="O128" s="35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spans="1:42" s="20" customFormat="1" ht="30" customHeight="1" x14ac:dyDescent="0.25">
      <c r="B129" s="21" t="s">
        <v>79</v>
      </c>
      <c r="C129" s="22" t="s">
        <v>74</v>
      </c>
      <c r="F129" s="41" t="s">
        <v>115</v>
      </c>
      <c r="J129" s="23" t="s">
        <v>132</v>
      </c>
      <c r="K129" s="23" t="s">
        <v>1</v>
      </c>
      <c r="L129" s="16"/>
      <c r="M129" s="23" t="s">
        <v>74</v>
      </c>
      <c r="N129" s="23" t="s">
        <v>133</v>
      </c>
      <c r="O129" s="23" t="s">
        <v>78</v>
      </c>
      <c r="P129" s="23" t="s">
        <v>63</v>
      </c>
      <c r="Q129" s="23" t="s">
        <v>62</v>
      </c>
      <c r="R129" s="23" t="s">
        <v>64</v>
      </c>
      <c r="S129" s="23" t="s">
        <v>84</v>
      </c>
      <c r="T129" s="23" t="s">
        <v>118</v>
      </c>
      <c r="U129" s="23" t="s">
        <v>75</v>
      </c>
      <c r="V129" s="23" t="s">
        <v>61</v>
      </c>
      <c r="W129" s="23" t="s">
        <v>131</v>
      </c>
      <c r="X129" s="23" t="s">
        <v>85</v>
      </c>
      <c r="Y129" s="23" t="s">
        <v>76</v>
      </c>
      <c r="Z129" s="23" t="s">
        <v>86</v>
      </c>
      <c r="AA129" s="23" t="s">
        <v>77</v>
      </c>
      <c r="AB129" s="23" t="s">
        <v>87</v>
      </c>
      <c r="AC129" s="16"/>
      <c r="AD129" s="23" t="e">
        <f ca="1">AD$67</f>
        <v>#NAME?</v>
      </c>
      <c r="AE129" s="23" t="e">
        <f t="shared" ref="AE129:AO129" ca="1" si="0">AE$67</f>
        <v>#NAME?</v>
      </c>
      <c r="AF129" s="23" t="e">
        <f t="shared" ca="1" si="0"/>
        <v>#NAME?</v>
      </c>
      <c r="AG129" s="23" t="e">
        <f t="shared" ca="1" si="0"/>
        <v>#NAME?</v>
      </c>
      <c r="AH129" s="23" t="e">
        <f t="shared" ca="1" si="0"/>
        <v>#NAME?</v>
      </c>
      <c r="AI129" s="23" t="e">
        <f t="shared" ca="1" si="0"/>
        <v>#NAME?</v>
      </c>
      <c r="AJ129" s="23" t="e">
        <f t="shared" ca="1" si="0"/>
        <v>#NAME?</v>
      </c>
      <c r="AK129" s="23" t="e">
        <f t="shared" ca="1" si="0"/>
        <v>#NAME?</v>
      </c>
      <c r="AL129" s="23" t="e">
        <f t="shared" ca="1" si="0"/>
        <v>#NAME?</v>
      </c>
      <c r="AM129" s="23" t="e">
        <f t="shared" ca="1" si="0"/>
        <v>#NAME?</v>
      </c>
      <c r="AN129" s="23" t="e">
        <f t="shared" ca="1" si="0"/>
        <v>#NAME?</v>
      </c>
      <c r="AO129" s="23" t="e">
        <f t="shared" ca="1" si="0"/>
        <v>#NAME?</v>
      </c>
      <c r="AP129"/>
    </row>
    <row r="130" spans="1:42" ht="24.95" customHeight="1" x14ac:dyDescent="0.25">
      <c r="A130" s="26" t="e" cm="1">
        <f t="array" aca="1" ref="A130" ca="1">IF(_xll.TM1RPTELISCONSOLIDATED($B$130,$B130),IF(_xll.TM1RPTELLEV($B$130,$B130)&lt;=3,_xll.TM1RPTELLEV($B$130,$B130),"D"),"N")</f>
        <v>#NAME?</v>
      </c>
      <c r="B130" s="34" t="e" cm="1">
        <f t="array" aca="1" ref="B130" ca="1">_xll.TM1RPTROW($C$65,db_name&amp;":measure code","",,,,$C$68)</f>
        <v>#NAME?</v>
      </c>
      <c r="C130" s="28" t="e" cm="1">
        <f t="array" aca="1" ref="C130" ca="1">_xll.DBRW($C$65,$N$120,$N$121,$B130,C$108)</f>
        <v>#NAME?</v>
      </c>
      <c r="D130" s="28"/>
      <c r="E130" s="29"/>
      <c r="F130" s="29"/>
      <c r="G130" s="29"/>
      <c r="H130" s="29"/>
      <c r="I130" s="29"/>
      <c r="J130" s="36" t="e">
        <f ca="1">$B130</f>
        <v>#NAME?</v>
      </c>
      <c r="K130" s="36" t="e" cm="1">
        <f t="array" aca="1" ref="K130" ca="1">_xll.DBR($C$66,$N$120,$N$121,$B130,K$108)</f>
        <v>#NAME?</v>
      </c>
      <c r="M130" s="30" t="e" cm="1">
        <f t="array" aca="1" ref="M130" ca="1">_xll.DBR($C$66,$N$120,$N$121,$B130,M$108)</f>
        <v>#NAME?</v>
      </c>
      <c r="N130" s="30" t="e" cm="1">
        <f t="array" aca="1" ref="N130" ca="1">_xll.DBR($C$66,$N$120,$N$121,$B130,N$108)</f>
        <v>#NAME?</v>
      </c>
      <c r="O130" s="30" t="e" cm="1">
        <f t="array" aca="1" ref="O130" ca="1">_xll.DBR($C$66,$N$120,$N$121,$B130,O$108)</f>
        <v>#NAME?</v>
      </c>
      <c r="P130" s="31" t="e" cm="1">
        <f t="array" aca="1" ref="P130" ca="1">_xll.DBR($C$66,$N$120,$N$121,$B130,P$108)</f>
        <v>#NAME?</v>
      </c>
      <c r="Q130" s="31" t="e" cm="1">
        <f t="array" aca="1" ref="Q130" ca="1">_xll.DBR($C$66,$N$120,$N$121,$B130,Q$108)</f>
        <v>#NAME?</v>
      </c>
      <c r="R130" s="31" t="e" cm="1">
        <f t="array" aca="1" ref="R130" ca="1">_xll.DBR($C$66,$N$120,$N$121,$B130,R$108)</f>
        <v>#NAME?</v>
      </c>
      <c r="S130" s="46" t="e" cm="1">
        <f t="array" aca="1" ref="S130" ca="1">_xll.DBR($C$66,$N$120,$N$121,$B130,S$108)</f>
        <v>#NAME?</v>
      </c>
      <c r="T130" s="45" t="e" cm="1">
        <f t="array" aca="1" ref="T130" ca="1">_xll.DBR($C$66,$N$120,$N$121,$B130,T$108)</f>
        <v>#NAME?</v>
      </c>
      <c r="U130" s="39" t="e" cm="1">
        <f t="array" aca="1" ref="U130" ca="1">_xll.DBR($C$66,$N$120,$N$121,$B130,U$108)</f>
        <v>#NAME?</v>
      </c>
      <c r="V130" s="39" t="e" cm="1">
        <f t="array" aca="1" ref="V130" ca="1">_xll.DBR($C$66,$N$120,$N$121,$B130,V$108)</f>
        <v>#NAME?</v>
      </c>
      <c r="W130" s="39" t="e" cm="1">
        <f t="array" aca="1" ref="W130" ca="1">_xll.DBR($C$66,$N$120,$N$121,$B130,W$108)</f>
        <v>#NAME?</v>
      </c>
      <c r="X130" s="31" t="e" cm="1">
        <f t="array" aca="1" ref="X130" ca="1">_xll.DBR($C$66,$N$120,$N$121,$B130,X$108)</f>
        <v>#NAME?</v>
      </c>
      <c r="Y130" s="31" t="e" cm="1">
        <f t="array" aca="1" ref="Y130" ca="1">_xll.DBR($C$66,$N$120,$N$121,$B130,Y$108)</f>
        <v>#NAME?</v>
      </c>
      <c r="Z130" s="31" t="e" cm="1">
        <f t="array" aca="1" ref="Z130" ca="1">_xll.DBR($C$66,$N$120,$N$121,$B130,Z$108)</f>
        <v>#NAME?</v>
      </c>
      <c r="AA130" s="31" t="e" cm="1">
        <f t="array" aca="1" ref="AA130" ca="1">_xll.DBR($C$66,$N$120,$N$121,$B130,AA$108)</f>
        <v>#NAME?</v>
      </c>
      <c r="AB130" s="31" t="e" cm="1">
        <f t="array" aca="1" ref="AB130" ca="1">_xll.DBR($C$66,$N$120,$N$121,$B130,AB$108)</f>
        <v>#NAME?</v>
      </c>
      <c r="AD130" s="44" t="e" cm="1">
        <f t="array" aca="1" ref="AD130" ca="1">_xll.DBR($C$86,psHLYear,psScenario,$C$87,$C$88,$C$89,$C$90,$C$91,$C$92,$J130,$C$93,$C$43,$C$94,$C$95,$C$45,$C$96,$C$97,AD$67)</f>
        <v>#NAME?</v>
      </c>
      <c r="AE130" s="44" t="e" cm="1">
        <f t="array" aca="1" ref="AE130" ca="1">_xll.DBR($C$86,psHLYear,psScenario,$C$87,$C$88,$C$89,$C$90,$C$91,$C$92,$J130,$C$93,$C$43,$C$94,$C$95,$C$45,$C$96,$C$97,AE$67)</f>
        <v>#NAME?</v>
      </c>
      <c r="AF130" s="44" t="e" cm="1">
        <f t="array" aca="1" ref="AF130" ca="1">_xll.DBR($C$86,psHLYear,psScenario,$C$87,$C$88,$C$89,$C$90,$C$91,$C$92,$J130,$C$93,$C$43,$C$94,$C$95,$C$45,$C$96,$C$97,AF$67)</f>
        <v>#NAME?</v>
      </c>
      <c r="AG130" s="44" t="e" cm="1">
        <f t="array" aca="1" ref="AG130" ca="1">_xll.DBR($C$86,psHLYear,psScenario,$C$87,$C$88,$C$89,$C$90,$C$91,$C$92,$J130,$C$93,$C$43,$C$94,$C$95,$C$45,$C$96,$C$97,AG$67)</f>
        <v>#NAME?</v>
      </c>
      <c r="AH130" s="44" t="e" cm="1">
        <f t="array" aca="1" ref="AH130" ca="1">_xll.DBR($C$86,psHLYear,psScenario,$C$87,$C$88,$C$89,$C$90,$C$91,$C$92,$J130,$C$93,$C$43,$C$94,$C$95,$C$45,$C$96,$C$97,AH$67)</f>
        <v>#NAME?</v>
      </c>
      <c r="AI130" s="44" t="e" cm="1">
        <f t="array" aca="1" ref="AI130" ca="1">_xll.DBR($C$86,psHLYear,psScenario,$C$87,$C$88,$C$89,$C$90,$C$91,$C$92,$J130,$C$93,$C$43,$C$94,$C$95,$C$45,$C$96,$C$97,AI$67)</f>
        <v>#NAME?</v>
      </c>
      <c r="AJ130" s="44" t="e" cm="1">
        <f t="array" aca="1" ref="AJ130" ca="1">_xll.DBR($C$86,psHLYear,psScenario,$C$87,$C$88,$C$89,$C$90,$C$91,$C$92,$J130,$C$93,$C$43,$C$94,$C$95,$C$45,$C$96,$C$97,AJ$67)</f>
        <v>#NAME?</v>
      </c>
      <c r="AK130" s="44" t="e" cm="1">
        <f t="array" aca="1" ref="AK130" ca="1">_xll.DBR($C$86,psHLYear,psScenario,$C$87,$C$88,$C$89,$C$90,$C$91,$C$92,$J130,$C$93,$C$43,$C$94,$C$95,$C$45,$C$96,$C$97,AK$67)</f>
        <v>#NAME?</v>
      </c>
      <c r="AL130" s="44" t="e" cm="1">
        <f t="array" aca="1" ref="AL130" ca="1">_xll.DBR($C$86,psHLYear,psScenario,$C$87,$C$88,$C$89,$C$90,$C$91,$C$92,$J130,$C$93,$C$43,$C$94,$C$95,$C$45,$C$96,$C$97,AL$67)</f>
        <v>#NAME?</v>
      </c>
      <c r="AM130" s="44" t="e" cm="1">
        <f t="array" aca="1" ref="AM130" ca="1">_xll.DBR($C$86,psHLYear,psScenario,$C$87,$C$88,$C$89,$C$90,$C$91,$C$92,$J130,$C$93,$C$43,$C$94,$C$95,$C$45,$C$96,$C$97,AM$67)</f>
        <v>#NAME?</v>
      </c>
      <c r="AN130" s="44" t="e" cm="1">
        <f t="array" aca="1" ref="AN130" ca="1">_xll.DBR($C$86,psHLYear,psScenario,$C$87,$C$88,$C$89,$C$90,$C$91,$C$92,$J130,$C$93,$C$43,$C$94,$C$95,$C$45,$C$96,$C$97,AN$67)</f>
        <v>#NAME?</v>
      </c>
      <c r="AO130" s="44" t="e" cm="1">
        <f t="array" aca="1" ref="AO130" ca="1">_xll.DBR($C$86,psHLYear,psScenario,$C$87,$C$88,$C$89,$C$90,$C$91,$C$92,$J130,$C$93,$C$43,$C$94,$C$95,$C$45,$C$96,$C$97,AO$67)</f>
        <v>#NAME?</v>
      </c>
    </row>
  </sheetData>
  <sheetProtection sheet="1" objects="1" scenarios="1"/>
  <mergeCells count="8">
    <mergeCell ref="B85:C85"/>
    <mergeCell ref="B99:C99"/>
    <mergeCell ref="AD127:AO127"/>
    <mergeCell ref="B11:C11"/>
    <mergeCell ref="B19:C19"/>
    <mergeCell ref="B34:C34"/>
    <mergeCell ref="B64:C64"/>
    <mergeCell ref="B75:C75"/>
  </mergeCells>
  <conditionalFormatting sqref="T7">
    <cfRule type="containsText" dxfId="1" priority="46" operator="containsText" text="INACTIVE">
      <formula>NOT(ISERROR(SEARCH("INACTIVE",T7)))</formula>
    </cfRule>
  </conditionalFormatting>
  <conditionalFormatting sqref="T130">
    <cfRule type="containsText" dxfId="0" priority="1" operator="containsText" text="INACTIVE">
      <formula>NOT(ISERROR(SEARCH("INACTIVE",T130)))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controls>
    <mc:AlternateContent xmlns:mc="http://schemas.openxmlformats.org/markup-compatibility/2006">
      <mc:Choice Requires="x14">
        <control shapeId="1032" r:id="rId4" name="TIButton7">
          <controlPr defaultSize="0" print="0" autoLine="0" r:id="rId5">
            <anchor moveWithCells="1" sizeWithCells="1">
              <from>
                <xdr:col>12</xdr:col>
                <xdr:colOff>1000125</xdr:colOff>
                <xdr:row>115</xdr:row>
                <xdr:rowOff>57150</xdr:rowOff>
              </from>
              <to>
                <xdr:col>12</xdr:col>
                <xdr:colOff>1933575</xdr:colOff>
                <xdr:row>115</xdr:row>
                <xdr:rowOff>304800</xdr:rowOff>
              </to>
            </anchor>
          </controlPr>
        </control>
      </mc:Choice>
      <mc:Fallback>
        <control shapeId="1032" r:id="rId4" name="TIButton7"/>
      </mc:Fallback>
    </mc:AlternateContent>
    <mc:AlternateContent xmlns:mc="http://schemas.openxmlformats.org/markup-compatibility/2006">
      <mc:Choice Requires="x14">
        <control shapeId="1031" r:id="rId6" name="TIButton6">
          <controlPr defaultSize="0" print="0" autoLine="0" r:id="rId7">
            <anchor moveWithCells="1" sizeWithCells="1">
              <from>
                <xdr:col>12</xdr:col>
                <xdr:colOff>1962150</xdr:colOff>
                <xdr:row>115</xdr:row>
                <xdr:rowOff>57150</xdr:rowOff>
              </from>
              <to>
                <xdr:col>12</xdr:col>
                <xdr:colOff>2857500</xdr:colOff>
                <xdr:row>115</xdr:row>
                <xdr:rowOff>304800</xdr:rowOff>
              </to>
            </anchor>
          </controlPr>
        </control>
      </mc:Choice>
      <mc:Fallback>
        <control shapeId="1031" r:id="rId6" name="TIButton6"/>
      </mc:Fallback>
    </mc:AlternateContent>
    <mc:AlternateContent xmlns:mc="http://schemas.openxmlformats.org/markup-compatibility/2006">
      <mc:Choice Requires="x14">
        <control shapeId="1030" r:id="rId8" name="TIButton5">
          <controlPr defaultSize="0" print="0" autoLine="0" r:id="rId9">
            <anchor moveWithCells="1" sizeWithCells="1">
              <from>
                <xdr:col>16</xdr:col>
                <xdr:colOff>723900</xdr:colOff>
                <xdr:row>114</xdr:row>
                <xdr:rowOff>47625</xdr:rowOff>
              </from>
              <to>
                <xdr:col>16</xdr:col>
                <xdr:colOff>1038225</xdr:colOff>
                <xdr:row>115</xdr:row>
                <xdr:rowOff>304800</xdr:rowOff>
              </to>
            </anchor>
          </controlPr>
        </control>
      </mc:Choice>
      <mc:Fallback>
        <control shapeId="1030" r:id="rId8" name="TIButton5"/>
      </mc:Fallback>
    </mc:AlternateContent>
    <mc:AlternateContent xmlns:mc="http://schemas.openxmlformats.org/markup-compatibility/2006">
      <mc:Choice Requires="x14">
        <control shapeId="1029" r:id="rId10" name="TIButton4">
          <controlPr defaultSize="0" print="0" autoLine="0" r:id="rId11">
            <anchor moveWithCells="1" sizeWithCells="1">
              <from>
                <xdr:col>12</xdr:col>
                <xdr:colOff>38100</xdr:colOff>
                <xdr:row>115</xdr:row>
                <xdr:rowOff>57150</xdr:rowOff>
              </from>
              <to>
                <xdr:col>12</xdr:col>
                <xdr:colOff>962025</xdr:colOff>
                <xdr:row>115</xdr:row>
                <xdr:rowOff>304800</xdr:rowOff>
              </to>
            </anchor>
          </controlPr>
        </control>
      </mc:Choice>
      <mc:Fallback>
        <control shapeId="1029" r:id="rId10" name="TIButton4"/>
      </mc:Fallback>
    </mc:AlternateContent>
    <mc:AlternateContent xmlns:mc="http://schemas.openxmlformats.org/markup-compatibility/2006">
      <mc:Choice Requires="x14">
        <control shapeId="1028" r:id="rId12" name="TIButton3">
          <controlPr defaultSize="0" print="0" autoLine="0" autoPict="0" r:id="rId13">
            <anchor moveWithCells="1" sizeWithCells="1">
              <from>
                <xdr:col>12</xdr:col>
                <xdr:colOff>2886075</xdr:colOff>
                <xdr:row>115</xdr:row>
                <xdr:rowOff>57150</xdr:rowOff>
              </from>
              <to>
                <xdr:col>13</xdr:col>
                <xdr:colOff>485775</xdr:colOff>
                <xdr:row>115</xdr:row>
                <xdr:rowOff>304800</xdr:rowOff>
              </to>
            </anchor>
          </controlPr>
        </control>
      </mc:Choice>
      <mc:Fallback>
        <control shapeId="1028" r:id="rId12" name="TIButton3"/>
      </mc:Fallback>
    </mc:AlternateContent>
    <mc:AlternateContent xmlns:mc="http://schemas.openxmlformats.org/markup-compatibility/2006">
      <mc:Choice Requires="x14">
        <control shapeId="1027" r:id="rId14" name="TIButton2">
          <controlPr defaultSize="0" print="0" autoLine="0" r:id="rId15">
            <anchor moveWithCells="1" sizeWithCells="1">
              <from>
                <xdr:col>9</xdr:col>
                <xdr:colOff>819150</xdr:colOff>
                <xdr:row>115</xdr:row>
                <xdr:rowOff>57150</xdr:rowOff>
              </from>
              <to>
                <xdr:col>10</xdr:col>
                <xdr:colOff>923925</xdr:colOff>
                <xdr:row>115</xdr:row>
                <xdr:rowOff>304800</xdr:rowOff>
              </to>
            </anchor>
          </controlPr>
        </control>
      </mc:Choice>
      <mc:Fallback>
        <control shapeId="1027" r:id="rId14" name="TIButton2"/>
      </mc:Fallback>
    </mc:AlternateContent>
    <mc:AlternateContent xmlns:mc="http://schemas.openxmlformats.org/markup-compatibility/2006">
      <mc:Choice Requires="x14">
        <control shapeId="1026" r:id="rId16" name="TIButton1">
          <controlPr defaultSize="0" print="0" autoLine="0" autoPict="0" r:id="rId17">
            <anchor moveWithCells="1" sizeWithCells="1">
              <from>
                <xdr:col>9</xdr:col>
                <xdr:colOff>47625</xdr:colOff>
                <xdr:row>115</xdr:row>
                <xdr:rowOff>57150</xdr:rowOff>
              </from>
              <to>
                <xdr:col>9</xdr:col>
                <xdr:colOff>771525</xdr:colOff>
                <xdr:row>115</xdr:row>
                <xdr:rowOff>304800</xdr:rowOff>
              </to>
            </anchor>
          </controlPr>
        </control>
      </mc:Choice>
      <mc:Fallback>
        <control shapeId="1026" r:id="rId16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11"/>
  <sheetViews>
    <sheetView workbookViewId="0"/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74</v>
      </c>
    </row>
    <row r="3" spans="1:1" x14ac:dyDescent="0.25">
      <c r="A3" t="s">
        <v>78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75</v>
      </c>
    </row>
    <row r="8" spans="1:1" x14ac:dyDescent="0.25">
      <c r="A8" t="s">
        <v>64</v>
      </c>
    </row>
    <row r="9" spans="1:1" x14ac:dyDescent="0.25">
      <c r="A9" t="s">
        <v>131</v>
      </c>
    </row>
    <row r="10" spans="1:1" x14ac:dyDescent="0.25">
      <c r="A10" t="s">
        <v>76</v>
      </c>
    </row>
    <row r="11" spans="1:1" x14ac:dyDescent="0.25">
      <c r="A1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42</vt:i4>
      </vt:variant>
    </vt:vector>
  </HeadingPairs>
  <TitlesOfParts>
    <vt:vector size="44" baseType="lpstr">
      <vt:lpstr>measure list</vt:lpstr>
      <vt:lpstr>{PL}PickLst</vt:lpstr>
      <vt:lpstr>db_name</vt:lpstr>
      <vt:lpstr>psApp</vt:lpstr>
      <vt:lpstr>psFilter</vt:lpstr>
      <vt:lpstr>psHLYear</vt:lpstr>
      <vt:lpstr>psProgDimName</vt:lpstr>
      <vt:lpstr>psScenario</vt:lpstr>
      <vt:lpstr>psTextFilter</vt:lpstr>
      <vt:lpstr>psUser</vt:lpstr>
      <vt:lpstr>sys_measfilter_lookup</vt:lpstr>
      <vt:lpstr>TM1BulkProcessCAP</vt:lpstr>
      <vt:lpstr>TM1BulkProcessWB</vt:lpstr>
      <vt:lpstr>TM1BulkProcessWS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TM1MeasBulkCAP</vt:lpstr>
      <vt:lpstr>TM1MeasBulkWB</vt:lpstr>
      <vt:lpstr>TM1MeasBulkWS</vt:lpstr>
      <vt:lpstr>TM1MeasListCAP</vt:lpstr>
      <vt:lpstr>TM1MeasListWB</vt:lpstr>
      <vt:lpstr>TM1MeasListWS</vt:lpstr>
      <vt:lpstr>TM1NewMeas01HeaderCAP</vt:lpstr>
      <vt:lpstr>TM1NewMeas01HeaderWB</vt:lpstr>
      <vt:lpstr>TM1NewMeas01HeaderWS</vt:lpstr>
      <vt:lpstr>'measure list'!TM1RPTDATARNG1</vt:lpstr>
      <vt:lpstr>'measure list'!TM1RPTFMTIDCOL</vt:lpstr>
      <vt:lpstr>'measure list'!TM1RPTFMTRNG</vt:lpstr>
      <vt:lpstr>TM1ViewMeas01HeaderCAP</vt:lpstr>
      <vt:lpstr>TM1ViewMeas01HeaderWB</vt:lpstr>
      <vt:lpstr>TM1ViewMeas01HeaderWS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2019-07-07T10:51:35Z</dcterms:created>
  <dcterms:modified xsi:type="dcterms:W3CDTF">2025-08-05T04:33:46Z</dcterms:modified>
</cp:coreProperties>
</file>