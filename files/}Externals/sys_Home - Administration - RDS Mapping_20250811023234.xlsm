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E5D76E06-3048-474F-AE46-314781954F1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home">Menu!$G$28</definedName>
    <definedName name="Menu">Menu!$G$29</definedName>
    <definedName name="psUser">Menu!$C$7</definedName>
    <definedName name="TM1AdminRDSMapAppropItemCAP">Menu!$D$40</definedName>
    <definedName name="TM1AdminRDSMapAppropItemWB">Menu!$F$40</definedName>
    <definedName name="TM1AdminRDSMapAppropItemWS">Menu!$H$40</definedName>
    <definedName name="TM1AdminRDSMapCFMapCap">Menu!$D$39</definedName>
    <definedName name="TM1AdminRDSMapCFMapWB">Menu!$F$39</definedName>
    <definedName name="TM1AdminRDSMapCFMapWS">Menu!$H$39</definedName>
    <definedName name="TM1AdminRDSMapIDCap">Menu!$D$38</definedName>
    <definedName name="TM1AdminRDSMapIDWB">Menu!$F$38</definedName>
    <definedName name="TM1AdminRDSMapIDWS">Menu!$H$38</definedName>
    <definedName name="TM1AdminRDSMapMAMapCAP">Menu!$D$41</definedName>
    <definedName name="TM1AdminRDSMapMAMapWB">Menu!$F$41</definedName>
    <definedName name="TM1AdminRDSMapMAMapWS">Menu!$H$41</definedName>
    <definedName name="TM1AdminRDSMapREMapCAP">Menu!$D$42</definedName>
    <definedName name="TM1AdminRDSMapREMapWB">Menu!$F$42</definedName>
    <definedName name="TM1AdminRDSMapREMapWS">Menu!$H$42</definedName>
    <definedName name="TM1HomeAdminBaseCAP">Menu!$D$36</definedName>
    <definedName name="TM1HomeAdminBaseWB">Menu!$F$36</definedName>
    <definedName name="TM1HomeAdminBaseWS">Menu!$H$36</definedName>
    <definedName name="TM1HomeAdminCAP">Menu!$D$31</definedName>
    <definedName name="TM1HomeAdminFavCAP">Menu!$D$35</definedName>
    <definedName name="TM1HomeAdminFavWB">Menu!$F$35</definedName>
    <definedName name="TM1HomeAdminFavWS">Menu!$H$35</definedName>
    <definedName name="TM1HomeAdminGEUSCAP">Menu!$D$34</definedName>
    <definedName name="TM1HomeAdminGEUSWB">Menu!$F$34</definedName>
    <definedName name="TM1HomeAdminGEUSWS">Menu!$H$34</definedName>
    <definedName name="TM1HomeAdminRDSCAP">Menu!$D$32</definedName>
    <definedName name="TM1HomeAdminRDSMapCAP">Menu!$D$33</definedName>
    <definedName name="TM1HomeAdminRDSMapWB">Menu!$F$33</definedName>
    <definedName name="TM1HomeAdminRDSMapWS">Menu!$H$33</definedName>
    <definedName name="TM1HomeAdminRDSWB">Menu!$F$32</definedName>
    <definedName name="TM1HomeAdminRDSWS">Menu!$H$32</definedName>
    <definedName name="TM1HomeAdminWB">Menu!$F$31</definedName>
    <definedName name="TM1HomeAdminWS">Menu!$H$31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CAP">Menu!$D$30</definedName>
    <definedName name="TM1HomeRepWB">Menu!$F$30</definedName>
    <definedName name="TM1HomeRepWS">Menu!$H$30</definedName>
    <definedName name="TM1HomeUnderCAP">Menu!$D$37</definedName>
    <definedName name="TM1HomeUnderWB">Menu!$F$37</definedName>
    <definedName name="TM1HomeUnderWS">Menu!$H$37</definedName>
    <definedName name="TM1HomeWB">Menu!$F$28</definedName>
    <definedName name="TM1HomeWS">Menu!$H$28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 a="1"/>
  <c r="C4" i="1"/>
  <c r="C3" i="1" a="1"/>
  <c r="C3" i="1"/>
  <c r="C6" i="1" a="1"/>
  <c r="C6" i="1"/>
  <c r="C5" i="1" a="1"/>
  <c r="C5" i="1"/>
  <c r="C7" i="1"/>
  <c r="C26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8" i="1" a="1"/>
  <c r="C18" i="1"/>
  <c r="C22" i="1" a="1"/>
  <c r="C22" i="1"/>
  <c r="C21" i="1" a="1"/>
  <c r="C21" i="1"/>
  <c r="C20" i="1" a="1"/>
  <c r="C20" i="1"/>
  <c r="C19" i="1" a="1"/>
  <c r="C19" i="1"/>
  <c r="C10" i="1" a="1"/>
  <c r="C10" i="1"/>
  <c r="C14" i="1" a="1"/>
  <c r="C14" i="1"/>
  <c r="C13" i="1" a="1"/>
  <c r="C13" i="1"/>
  <c r="C12" i="1" a="1"/>
  <c r="C12" i="1"/>
  <c r="C11" i="1" a="1"/>
  <c r="C11" i="1"/>
  <c r="K96" i="1"/>
  <c r="C15" i="1"/>
  <c r="K56" i="1"/>
  <c r="W54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<sst xmlns="http://schemas.openxmlformats.org/spreadsheetml/2006/main" count="48" uniqueCount="47">
  <si>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</si>
  <si>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</si>
  <si>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</si>
  <si>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</si>
  <si>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</si>
  <si>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</si>
  <si>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</si>
  <si>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</si>
  <si>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</si>
  <si>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</si>
  <si>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</si>
  <si>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</si>
  <si>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</si>
  <si>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</si>
  <si>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</si>
  <si>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</si>
  <si>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</si>
  <si>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</si>
  <si>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</si>
  <si>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</si>
  <si>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</si>
  <si>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</si>
  <si>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</si>
  <si>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</si>
  <si>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</si>
  <si>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</si>
  <si>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</si>
  <si>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</si>
  <si>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</si>
  <si>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</si>
  <si>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</si>
  <si>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</si>
  <si>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</si>
  <si>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</si>
  <si>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Homepage - Administration - RDS</t>
  </si>
  <si>
    <t>Homepage - Administration - GEUS Setup</t>
  </si>
  <si>
    <t>Homepage - Administration - Favourites</t>
  </si>
  <si>
    <t>Homepage - Administration - Baseline</t>
  </si>
  <si>
    <t>ADMINISTRATION</t>
  </si>
  <si>
    <t>Homepage - Administration - RDS Mapping</t>
  </si>
  <si>
    <t>REFERENCE DATA SET MAPPING MENU</t>
  </si>
  <si>
    <t>Admin RDS Mapping - ID Threshold</t>
  </si>
  <si>
    <t>Admin RDS Mapping - CF Mapping</t>
  </si>
  <si>
    <t>Admin RDS Mapping - Approp Item Mapping</t>
  </si>
  <si>
    <t>Admin RDS Mapping - MA Mapping</t>
  </si>
  <si>
    <t>Admin RDS Mapping - Related Entity Mapping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</si>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</sst>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55</xdr:row>
      <xdr:rowOff>55686</xdr:rowOff>
    </xdr:from>
    <xdr:to>
      <xdr:col>22</xdr:col>
      <xdr:colOff>206290</xdr:colOff>
      <xdr:row>55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60</xdr:row>
      <xdr:rowOff>57150</xdr:rowOff>
    </xdr:from>
    <xdr:to>
      <xdr:col>15</xdr:col>
      <xdr:colOff>307716</xdr:colOff>
      <xdr:row>60</xdr:row>
      <xdr:rowOff>247650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60</xdr:row>
      <xdr:rowOff>66675</xdr:rowOff>
    </xdr:from>
    <xdr:to>
      <xdr:col>22</xdr:col>
      <xdr:colOff>289046</xdr:colOff>
      <xdr:row>60</xdr:row>
      <xdr:rowOff>246045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28575</xdr:rowOff>
    </xdr:from>
    <xdr:to>
      <xdr:col>12</xdr:col>
      <xdr:colOff>57150</xdr:colOff>
      <xdr:row>53</xdr:row>
      <xdr:rowOff>474345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60</xdr:row>
      <xdr:rowOff>66675</xdr:rowOff>
    </xdr:from>
    <xdr:to>
      <xdr:col>22</xdr:col>
      <xdr:colOff>289046</xdr:colOff>
      <xdr:row>60</xdr:row>
      <xdr:rowOff>246045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26</xdr:col>
      <xdr:colOff>57150</xdr:colOff>
      <xdr:row>61</xdr:row>
      <xdr:rowOff>19050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0" y="0"/>
          <a:ext cx="1885950" cy="18859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61</xdr:row>
      <xdr:rowOff>47625</xdr:rowOff>
    </xdr:from>
    <xdr:to>
      <xdr:col>14</xdr:col>
      <xdr:colOff>752475</xdr:colOff>
      <xdr:row>64</xdr:row>
      <xdr:rowOff>0</xdr:rowOff>
    </xdr:to>
    <xdr:sp macro="Sheet1.ExecuteAction_a82f2f3b_2319_48df_b98a_610713e7c6f0" textlink="TM1HomeAdminGEUSCAP">
      <xdr:nvSpPr>
        <xdr:cNvPr id="2" name="TM1Button_a82f2f3b_2319_48df_b98a_610713e7c6f0">
          <a:extLst>
            <a:ext uri="{FF2B5EF4-FFF2-40B4-BE49-F238E27FC236}">
              <a16:creationId xmlns:a16="http://schemas.microsoft.com/office/drawing/2014/main" id="{62655142-A78E-2CCE-24F4-2D3D84F27FBE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C479447-9541-4160-9278-7088FD3CFB3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61</xdr:row>
      <xdr:rowOff>47625</xdr:rowOff>
    </xdr:from>
    <xdr:to>
      <xdr:col>21</xdr:col>
      <xdr:colOff>1038225</xdr:colOff>
      <xdr:row>64</xdr:row>
      <xdr:rowOff>0</xdr:rowOff>
    </xdr:to>
    <xdr:sp macro="Sheet1.ExecuteAction_b716057e_b57a_4cad_87b6_c811e4145950" textlink="">
      <xdr:nvSpPr>
        <xdr:cNvPr id="3" name="TM1Button_b716057e_b57a_4cad_87b6_c811e4145950">
          <a:extLst>
            <a:ext uri="{FF2B5EF4-FFF2-40B4-BE49-F238E27FC236}">
              <a16:creationId xmlns:a16="http://schemas.microsoft.com/office/drawing/2014/main" id="{A86E0D9F-A0F9-5762-6E9E-C47ACF6C46E9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Movement Account Mapping</a:t>
          </a:r>
        </a:p>
      </xdr:txBody>
    </xdr:sp>
    <xdr:clientData/>
  </xdr:twoCellAnchor>
  <xdr:twoCellAnchor editAs="oneCell">
    <xdr:from>
      <xdr:col>18</xdr:col>
      <xdr:colOff>285750</xdr:colOff>
      <xdr:row>64</xdr:row>
      <xdr:rowOff>47625</xdr:rowOff>
    </xdr:from>
    <xdr:to>
      <xdr:col>21</xdr:col>
      <xdr:colOff>1038225</xdr:colOff>
      <xdr:row>66</xdr:row>
      <xdr:rowOff>57150</xdr:rowOff>
    </xdr:to>
    <xdr:sp macro="Sheet1.ExecuteAction_e1c1a150_f477_4f31_a10c_1921e6493bff" textlink="">
      <xdr:nvSpPr>
        <xdr:cNvPr id="4" name="TM1Button_e1c1a150_f477_4f31_a10c_1921e6493bff">
          <a:extLst>
            <a:ext uri="{FF2B5EF4-FFF2-40B4-BE49-F238E27FC236}">
              <a16:creationId xmlns:a16="http://schemas.microsoft.com/office/drawing/2014/main" id="{7B8DD82A-B3F4-A8A4-2070-AC2F545946E3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Cash Flow Derivation Mapping</a:t>
          </a:r>
        </a:p>
      </xdr:txBody>
    </xdr:sp>
    <xdr:clientData/>
  </xdr:twoCellAnchor>
  <xdr:twoCellAnchor editAs="oneCell">
    <xdr:from>
      <xdr:col>18</xdr:col>
      <xdr:colOff>285750</xdr:colOff>
      <xdr:row>66</xdr:row>
      <xdr:rowOff>104775</xdr:rowOff>
    </xdr:from>
    <xdr:to>
      <xdr:col>21</xdr:col>
      <xdr:colOff>1038225</xdr:colOff>
      <xdr:row>68</xdr:row>
      <xdr:rowOff>114300</xdr:rowOff>
    </xdr:to>
    <xdr:sp macro="Sheet1.ExecuteAction_7936467d_1551_47b0_a4fa_7da7af25592d" textlink="">
      <xdr:nvSpPr>
        <xdr:cNvPr id="5" name="TM1Button_7936467d_1551_47b0_a4fa_7da7af25592d">
          <a:extLst>
            <a:ext uri="{FF2B5EF4-FFF2-40B4-BE49-F238E27FC236}">
              <a16:creationId xmlns:a16="http://schemas.microsoft.com/office/drawing/2014/main" id="{CCF5DF6A-7BDB-00C3-D83B-20BF4FC51F3B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120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ID - Threshold Management</a:t>
          </a:r>
        </a:p>
      </xdr:txBody>
    </xdr:sp>
    <xdr:clientData/>
  </xdr:twoCellAnchor>
  <xdr:twoCellAnchor editAs="oneCell">
    <xdr:from>
      <xdr:col>11</xdr:col>
      <xdr:colOff>0</xdr:colOff>
      <xdr:row>68</xdr:row>
      <xdr:rowOff>161925</xdr:rowOff>
    </xdr:from>
    <xdr:to>
      <xdr:col>14</xdr:col>
      <xdr:colOff>752475</xdr:colOff>
      <xdr:row>70</xdr:row>
      <xdr:rowOff>38100</xdr:rowOff>
    </xdr:to>
    <xdr:sp macro="Sheet1.ExecuteAction_aaac882e_941d_425d_bca2_682417eaa5fa" textlink="TM1HomeAdminBaseCAP">
      <xdr:nvSpPr>
        <xdr:cNvPr id="6" name="TM1Button_aaac882e_941d_425d_bca2_682417eaa5fa">
          <a:extLst>
            <a:ext uri="{FF2B5EF4-FFF2-40B4-BE49-F238E27FC236}">
              <a16:creationId xmlns:a16="http://schemas.microsoft.com/office/drawing/2014/main" id="{ABC4305C-7406-C9F5-B005-824542916F3C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CB66BF0-9126-4AD8-9F3A-328BAFFBAC6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64</xdr:row>
      <xdr:rowOff>47625</xdr:rowOff>
    </xdr:from>
    <xdr:to>
      <xdr:col>14</xdr:col>
      <xdr:colOff>752475</xdr:colOff>
      <xdr:row>66</xdr:row>
      <xdr:rowOff>57150</xdr:rowOff>
    </xdr:to>
    <xdr:sp macro="Sheet1.ExecuteAction_5f02ceff_a330_4829_ba07_b40d91d9d173" textlink="TM1HomeAdminRDSCAP">
      <xdr:nvSpPr>
        <xdr:cNvPr id="7" name="TM1Button_5f02ceff_a330_4829_ba07_b40d91d9d173">
          <a:extLst>
            <a:ext uri="{FF2B5EF4-FFF2-40B4-BE49-F238E27FC236}">
              <a16:creationId xmlns:a16="http://schemas.microsoft.com/office/drawing/2014/main" id="{D0556DBF-370B-9DE0-1EAD-19F47986FBD2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858BF5-4774-4F1F-89CE-2B44EC2C69B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70</xdr:row>
      <xdr:rowOff>85725</xdr:rowOff>
    </xdr:from>
    <xdr:to>
      <xdr:col>14</xdr:col>
      <xdr:colOff>752475</xdr:colOff>
      <xdr:row>72</xdr:row>
      <xdr:rowOff>152400</xdr:rowOff>
    </xdr:to>
    <xdr:sp macro="Sheet1.ExecuteAction_a0592fc5_fb75_4545_9bdb_9ada475ca3bd" textlink="TM1HomeAdminFavCAP">
      <xdr:nvSpPr>
        <xdr:cNvPr id="8" name="TM1Button_a0592fc5_fb75_4545_9bdb_9ada475ca3bd">
          <a:extLst>
            <a:ext uri="{FF2B5EF4-FFF2-40B4-BE49-F238E27FC236}">
              <a16:creationId xmlns:a16="http://schemas.microsoft.com/office/drawing/2014/main" id="{8CC4E20B-2F37-1ABE-DB24-B169030DD7A6}"/>
            </a:ext>
          </a:extLst>
        </xdr:cNvPr>
        <xdr:cNvSpPr txBox="1"/>
      </xdr:nvSpPr>
      <xdr:spPr>
        <a:xfrm>
          <a:off x="438150" y="33813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DB8A319-4967-4171-92EB-6C30057B23C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66</xdr:row>
      <xdr:rowOff>104775</xdr:rowOff>
    </xdr:from>
    <xdr:to>
      <xdr:col>14</xdr:col>
      <xdr:colOff>752475</xdr:colOff>
      <xdr:row>68</xdr:row>
      <xdr:rowOff>114300</xdr:rowOff>
    </xdr:to>
    <xdr:sp macro="Sheet1.ExecuteAction_80816457_c0a7_40c7_aa26_0d815ac007fd" textlink="TM1HomeAdminRDSMapCAP">
      <xdr:nvSpPr>
        <xdr:cNvPr id="10" name="TM1Button_80816457_c0a7_40c7_aa26_0d815ac007fd">
          <a:extLst>
            <a:ext uri="{FF2B5EF4-FFF2-40B4-BE49-F238E27FC236}">
              <a16:creationId xmlns:a16="http://schemas.microsoft.com/office/drawing/2014/main" id="{C98B78BD-7EFB-3106-E62B-C354FABE1176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D34422F-27D0-4F9D-9FCE-50CCF30D16D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57</xdr:row>
      <xdr:rowOff>47625</xdr:rowOff>
    </xdr:from>
    <xdr:to>
      <xdr:col>13</xdr:col>
      <xdr:colOff>38100</xdr:colOff>
      <xdr:row>59</xdr:row>
      <xdr:rowOff>85725</xdr:rowOff>
    </xdr:to>
    <xdr:sp macro="Sheet1.ExecuteAction_d68eefe1_4f23_40a1_b89b_ebaddf09b1de" textlink="TM1HomeCAP">
      <xdr:nvSpPr>
        <xdr:cNvPr id="13" name="TM1Button_d68eefe1_4f23_40a1_b89b_ebaddf09b1de">
          <a:extLst>
            <a:ext uri="{FF2B5EF4-FFF2-40B4-BE49-F238E27FC236}">
              <a16:creationId xmlns:a16="http://schemas.microsoft.com/office/drawing/2014/main" id="{CD0FA89F-78F2-7BB9-AA3F-C62EB1BC0AB3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9E8C1B6-EC18-451B-8AF4-59EE71E6BBD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57</xdr:row>
      <xdr:rowOff>47625</xdr:rowOff>
    </xdr:from>
    <xdr:to>
      <xdr:col>15</xdr:col>
      <xdr:colOff>352425</xdr:colOff>
      <xdr:row>59</xdr:row>
      <xdr:rowOff>85725</xdr:rowOff>
    </xdr:to>
    <xdr:sp macro="Sheet1.ExecuteAction_13ef7876_567f_4b8b_bc6e_483ab4811747" textlink="TM1HomeAECAP">
      <xdr:nvSpPr>
        <xdr:cNvPr id="14" name="TM1Button_13ef7876_567f_4b8b_bc6e_483ab4811747">
          <a:extLst>
            <a:ext uri="{FF2B5EF4-FFF2-40B4-BE49-F238E27FC236}">
              <a16:creationId xmlns:a16="http://schemas.microsoft.com/office/drawing/2014/main" id="{DEAE8CE3-8CAF-479C-1BE1-0872BB7D6667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651A4B5-982A-4E49-91C3-5C1E01E0797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57</xdr:row>
      <xdr:rowOff>38100</xdr:rowOff>
    </xdr:from>
    <xdr:to>
      <xdr:col>19</xdr:col>
      <xdr:colOff>1104900</xdr:colOff>
      <xdr:row>59</xdr:row>
      <xdr:rowOff>76200</xdr:rowOff>
    </xdr:to>
    <xdr:sp macro="Sheet1.ExecuteAction_609dde7b_7712_4847_a705_e916e78c5c31" textlink="TM1HomeRepCAP">
      <xdr:nvSpPr>
        <xdr:cNvPr id="15" name="TM1Button_609dde7b_7712_4847_a705_e916e78c5c31">
          <a:extLst>
            <a:ext uri="{FF2B5EF4-FFF2-40B4-BE49-F238E27FC236}">
              <a16:creationId xmlns:a16="http://schemas.microsoft.com/office/drawing/2014/main" id="{FA2C6EF3-4599-B839-8FDE-E99196F35E53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010E9F9-096C-49E5-8EAA-599A4A4B09C4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57</xdr:row>
      <xdr:rowOff>38100</xdr:rowOff>
    </xdr:from>
    <xdr:to>
      <xdr:col>22</xdr:col>
      <xdr:colOff>114300</xdr:colOff>
      <xdr:row>59</xdr:row>
      <xdr:rowOff>76200</xdr:rowOff>
    </xdr:to>
    <xdr:sp macro="Sheet1.ExecuteAction_94a3a00f_a35e_4f40_aba1_4ec3fe1d8ff9" textlink="TM1HomeAdminCAP">
      <xdr:nvSpPr>
        <xdr:cNvPr id="16" name="TM1Button_94a3a00f_a35e_4f40_aba1_4ec3fe1d8ff9">
          <a:extLst>
            <a:ext uri="{FF2B5EF4-FFF2-40B4-BE49-F238E27FC236}">
              <a16:creationId xmlns:a16="http://schemas.microsoft.com/office/drawing/2014/main" id="{7AF0A3AF-A5FD-1054-328B-19608A5AB624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3C36DCA-A733-4FE0-96A3-8BC7EDE037D6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96"/>
  <sheetViews>
    <sheetView showGridLines="0" showRowColHeaders="0" tabSelected="1" showOutlineSymbols="0" topLeftCell="J54" workbookViewId="0"/>
  </sheetViews>
  <sheetFormatPr defaultRowHeight="15" outlineLevelRow="1" outlineLevelCol="1" x14ac:dyDescent="0.25"/>
  <cols>
    <col min="1" max="1" width="5.7109375" hidden="1" customWidth="1" outlineLevel="1"/>
    <col min="2" max="2" width="59.42578125" hidden="1" customWidth="1" outlineLevel="1"/>
    <col min="3" max="4" width="20.28515625" hidden="1" customWidth="1" outlineLevel="1"/>
    <col min="5" max="5" width="24.42578125" hidden="1" customWidth="1" outlineLevel="1"/>
    <col min="6" max="6" width="85.855468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46</v>
      </c>
      <c r="D2" s="4"/>
    </row>
    <row r="3" spans="2:4" hidden="1" outlineLevel="1" x14ac:dyDescent="0.25">
      <c r="B3" s="2" t="s">
        <v>22</v>
      </c>
      <c r="C3" s="10" t="e" cm="1">
        <f t="array" aca="1" ref="C3" ca="1">_xll.VIEW(db_name&amp;":}ElementAttributes_}Clients","!","!")</f>
        <v>#NAME?</v>
      </c>
      <c r="D3" s="4"/>
    </row>
    <row r="4" spans="2:4" hidden="1" outlineLevel="1" x14ac:dyDescent="0.25">
      <c r="B4" s="2" t="s">
        <v>21</v>
      </c>
      <c r="C4" s="3" t="e" cm="1">
        <f t="array" aca="1" ref="C4" ca="1">_xll.TM1USER(db_name)</f>
        <v>#NAME?</v>
      </c>
      <c r="D4" s="4"/>
    </row>
    <row r="5" spans="2:4" hidden="1" outlineLevel="1" x14ac:dyDescent="0.25">
      <c r="B5" s="2" t="s">
        <v>23</v>
      </c>
      <c r="C5" s="3" t="e" cm="1">
        <f t="array" aca="1" ref="C5" ca="1">_xll.DBR($C$3,$C$4,$B5)</f>
        <v>#NAME?</v>
      </c>
      <c r="D5" s="4"/>
    </row>
    <row r="6" spans="2:4" hidden="1" outlineLevel="1" x14ac:dyDescent="0.25">
      <c r="B6" s="2" t="s">
        <v>24</v>
      </c>
      <c r="C6" s="3" t="e" cm="1">
        <f t="array" aca="1" ref="C6" ca="1">_xll.DBR($C$3,$C$4,$B6)</f>
        <v>#NAME?</v>
      </c>
      <c r="D6" s="4"/>
    </row>
    <row r="7" spans="2:4" hidden="1" outlineLevel="1" x14ac:dyDescent="0.25">
      <c r="B7" s="2" t="s">
        <v>5</v>
      </c>
      <c r="C7" s="3" t="e">
        <f ca="1">IF(LEFT($C$4,3)="CAM",$C$6,$C$5)</f>
        <v>#NAME?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e" cm="1">
        <f t="array" aca="1" ref="C10" ca="1">_xll.VIEW(db_name&amp;":}ElementAttributes_variables","!","!")</f>
        <v>#NAME?</v>
      </c>
      <c r="D10" s="1"/>
    </row>
    <row r="11" spans="2:4" hidden="1" outlineLevel="1" x14ac:dyDescent="0.25">
      <c r="B11" s="2" t="s">
        <v>8</v>
      </c>
      <c r="C11" s="1" t="e" cm="1">
        <f t="array" aca="1" ref="C11" ca="1">_xll.DBR($C$10,$B11,"value")</f>
        <v>#NAME?</v>
      </c>
      <c r="D11" s="1"/>
    </row>
    <row r="12" spans="2:4" hidden="1" outlineLevel="1" x14ac:dyDescent="0.25">
      <c r="B12" s="2" t="s">
        <v>9</v>
      </c>
      <c r="C12" s="1" t="e" cm="1">
        <f t="array" aca="1" ref="C12" ca="1">_xll.DBR($C$10,$B12,"value")</f>
        <v>#NAME?</v>
      </c>
      <c r="D12" s="1"/>
    </row>
    <row r="13" spans="2:4" hidden="1" outlineLevel="1" x14ac:dyDescent="0.25">
      <c r="B13" s="2" t="s">
        <v>10</v>
      </c>
      <c r="C13" s="1" t="e" cm="1">
        <f t="array" aca="1" ref="C13" ca="1">_xll.DBR($C$10,$B13,"value")</f>
        <v>#NAME?</v>
      </c>
      <c r="D13" s="1"/>
    </row>
    <row r="14" spans="2:4" hidden="1" outlineLevel="1" x14ac:dyDescent="0.25">
      <c r="B14" s="2" t="s">
        <v>11</v>
      </c>
      <c r="C14" s="1" t="e" cm="1">
        <f t="array" aca="1" ref="C14" ca="1">_xll.DBR($C$10,$B14,"value")</f>
        <v>#NAME?</v>
      </c>
      <c r="D14" s="1"/>
    </row>
    <row r="15" spans="2:4" hidden="1" outlineLevel="1" x14ac:dyDescent="0.25">
      <c r="B15" s="2" t="s">
        <v>12</v>
      </c>
      <c r="C15" s="1" t="e">
        <f ca="1">"The current scenario is """ &amp; $C$12 &amp; """ for the """ &amp; $C$11 &amp; """ Headline Year. Archive was done for """ &amp; $C$13 &amp; """ on scenario """ &amp; $C$14 &amp; """."</f>
        <v>#NAME?</v>
      </c>
      <c r="D15" s="1"/>
    </row>
    <row r="16" spans="2:4" hidden="1" outlineLevel="1" x14ac:dyDescent="0.25"/>
    <row r="17" spans="2:8" hidden="1" outlineLevel="1" x14ac:dyDescent="0.25">
      <c r="B17" s="16" t="s">
        <v>13</v>
      </c>
      <c r="C17" s="17"/>
      <c r="D17" s="18"/>
    </row>
    <row r="18" spans="2:8" hidden="1" outlineLevel="1" x14ac:dyDescent="0.25">
      <c r="B18" s="2" t="s">
        <v>7</v>
      </c>
      <c r="C18" s="1" t="e" cm="1">
        <f t="array" aca="1" ref="C18" ca="1">_xll.VIEW(db_name&amp;":sys_client preference","!","!","!")</f>
        <v>#NAME?</v>
      </c>
      <c r="D18" s="1"/>
    </row>
    <row r="19" spans="2:8" hidden="1" outlineLevel="1" x14ac:dyDescent="0.25">
      <c r="B19" s="2" t="s">
        <v>14</v>
      </c>
      <c r="C19" s="1" t="e" cm="1">
        <f t="array" aca="1" ref="C19" ca="1">_xll.DBR($C$18,psUser,$B19,"value")</f>
        <v>#NAME?</v>
      </c>
      <c r="D19" s="1"/>
    </row>
    <row r="20" spans="2:8" hidden="1" outlineLevel="1" x14ac:dyDescent="0.25">
      <c r="B20" s="2" t="s">
        <v>15</v>
      </c>
      <c r="C20" s="1" t="e" cm="1">
        <f t="array" aca="1" ref="C20" ca="1">_xll.DBR($C$18,psUser,$B20,"value")</f>
        <v>#NAME?</v>
      </c>
      <c r="D20" s="1"/>
    </row>
    <row r="21" spans="2:8" hidden="1" outlineLevel="1" x14ac:dyDescent="0.25">
      <c r="B21" s="2" t="s">
        <v>16</v>
      </c>
      <c r="C21" s="1" t="e" cm="1">
        <f t="array" aca="1" ref="C21" ca="1">_xll.DBR($C$18,psUser,$B21,"value")</f>
        <v>#NAME?</v>
      </c>
      <c r="D21" s="1"/>
    </row>
    <row r="22" spans="2:8" hidden="1" outlineLevel="1" x14ac:dyDescent="0.25">
      <c r="B22" s="2" t="s">
        <v>17</v>
      </c>
      <c r="C22" s="1" t="e" cm="1">
        <f t="array" aca="1" ref="C22" ca="1">_xll.DBR($C$18,psUser,$B22,"value")</f>
        <v>#NAME?</v>
      </c>
      <c r="D22" s="1"/>
    </row>
    <row r="23" spans="2:8" hidden="1" outlineLevel="1" x14ac:dyDescent="0.25">
      <c r="B23" s="2" t="s">
        <v>20</v>
      </c>
      <c r="C23" s="1" t="s">
        <v>19</v>
      </c>
      <c r="D23" s="1"/>
    </row>
    <row r="24" spans="2:8" hidden="1" outlineLevel="1" x14ac:dyDescent="0.25"/>
    <row r="25" spans="2:8" hidden="1" outlineLevel="1" x14ac:dyDescent="0.25">
      <c r="B25" s="16" t="s">
        <v>18</v>
      </c>
      <c r="C25" s="17"/>
      <c r="D25" s="18"/>
    </row>
    <row r="26" spans="2:8" hidden="1" outlineLevel="1" x14ac:dyDescent="0.25">
      <c r="B26" s="1" t="s">
        <v>2</v>
      </c>
      <c r="C26" s="12" t="e">
        <f ca="1">_xll.VIEW(db_name&amp;":sys_application","!","!")</f>
        <v>#NAME?</v>
      </c>
      <c r="D26" s="12"/>
    </row>
    <row r="27" spans="2:8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8" hidden="1" outlineLevel="1" x14ac:dyDescent="0.25">
      <c r="B28" s="1" t="s">
        <v>25</v>
      </c>
      <c r="C28" s="1" t="e" cm="1">
        <f t="array" aca="1" ref="C28" ca="1">_xll.DBR($C$26,$B28,C$27)</f>
        <v>#NAME?</v>
      </c>
      <c r="D28" s="1" t="e" cm="1">
        <f t="array" aca="1" ref="D28" ca="1">_xll.DBR($C$26,$B28,D$27)</f>
        <v>#NAME?</v>
      </c>
      <c r="E28" s="1" t="e" cm="1">
        <f t="array" aca="1" ref="E28" ca="1">_xll.DBR($C$26,$B28,E$27)</f>
        <v>#NAME?</v>
      </c>
      <c r="F28" s="1" t="e" cm="1">
        <f t="array" aca="1" ref="F28" ca="1">_xll.DBR($C$26,$B28,F$27)</f>
        <v>#NAME?</v>
      </c>
      <c r="G28" s="1" t="e" cm="1">
        <f t="array" aca="1" ref="G28" ca="1">_xll.DBR($C$26,$B28,G$27)</f>
        <v>#NAME?</v>
      </c>
      <c r="H28" s="1" t="e" cm="1">
        <f t="array" aca="1" ref="H28" ca="1">_xll.DBR($C$26,$B28,H$27)</f>
        <v>#NAME?</v>
      </c>
    </row>
    <row r="29" spans="2:8" hidden="1" outlineLevel="1" x14ac:dyDescent="0.25">
      <c r="B29" s="1" t="s">
        <v>26</v>
      </c>
      <c r="C29" s="1" t="e" cm="1">
        <f t="array" aca="1" ref="C29" ca="1">_xll.DBR($C$26,$B29,C$27)</f>
        <v>#NAME?</v>
      </c>
      <c r="D29" s="1" t="e" cm="1">
        <f t="array" aca="1" ref="D29" ca="1">_xll.DBR($C$26,$B29,D$27)</f>
        <v>#NAME?</v>
      </c>
      <c r="E29" s="1" t="e" cm="1">
        <f t="array" aca="1" ref="E29" ca="1">_xll.DBR($C$26,$B29,E$27)</f>
        <v>#NAME?</v>
      </c>
      <c r="F29" s="1" t="e" cm="1">
        <f t="array" aca="1" ref="F29" ca="1">_xll.DBR($C$26,$B29,F$27)</f>
        <v>#NAME?</v>
      </c>
      <c r="G29" s="1" t="e" cm="1">
        <f t="array" aca="1" ref="G29" ca="1">_xll.DBR($C$26,$B29,G$27)</f>
        <v>#NAME?</v>
      </c>
      <c r="H29" s="1" t="e" cm="1">
        <f t="array" aca="1" ref="H29" ca="1">_xll.DBR($C$26,$B29,H$27)</f>
        <v>#NAME?</v>
      </c>
    </row>
    <row r="30" spans="2:8" hidden="1" outlineLevel="1" x14ac:dyDescent="0.25">
      <c r="B30" s="1" t="s">
        <v>27</v>
      </c>
      <c r="C30" s="1" t="e" cm="1">
        <f t="array" aca="1" ref="C30" ca="1">_xll.DBR($C$26,$B30,C$27)</f>
        <v>#NAME?</v>
      </c>
      <c r="D30" s="1" t="e" cm="1">
        <f t="array" aca="1" ref="D30" ca="1">_xll.DBR($C$26,$B30,D$27)</f>
        <v>#NAME?</v>
      </c>
      <c r="E30" s="1" t="e" cm="1">
        <f t="array" aca="1" ref="E30" ca="1">_xll.DBR($C$26,$B30,E$27)</f>
        <v>#NAME?</v>
      </c>
      <c r="F30" s="1" t="e" cm="1">
        <f t="array" aca="1" ref="F30" ca="1">_xll.DBR($C$26,$B30,F$27)</f>
        <v>#NAME?</v>
      </c>
      <c r="G30" s="1" t="e" cm="1">
        <f t="array" aca="1" ref="G30" ca="1">_xll.DBR($C$26,$B30,G$27)</f>
        <v>#NAME?</v>
      </c>
      <c r="H30" s="1" t="e" cm="1">
        <f t="array" aca="1" ref="H30" ca="1">_xll.DBR($C$26,$B30,H$27)</f>
        <v>#NAME?</v>
      </c>
    </row>
    <row r="31" spans="2:8" hidden="1" outlineLevel="1" x14ac:dyDescent="0.25">
      <c r="B31" s="1" t="s">
        <v>28</v>
      </c>
      <c r="C31" s="1" t="e" cm="1">
        <f t="array" aca="1" ref="C31" ca="1">_xll.DBR($C$26,$B31,C$27)</f>
        <v>#NAME?</v>
      </c>
      <c r="D31" s="1" t="e" cm="1">
        <f t="array" aca="1" ref="D31" ca="1">_xll.DBR($C$26,$B31,D$27)</f>
        <v>#NAME?</v>
      </c>
      <c r="E31" s="1" t="e" cm="1">
        <f t="array" aca="1" ref="E31" ca="1">_xll.DBR($C$26,$B31,E$27)</f>
        <v>#NAME?</v>
      </c>
      <c r="F31" s="1" t="e" cm="1">
        <f t="array" aca="1" ref="F31" ca="1">_xll.DBR($C$26,$B31,F$27)</f>
        <v>#NAME?</v>
      </c>
      <c r="G31" s="1" t="e" cm="1">
        <f t="array" aca="1" ref="G31" ca="1">_xll.DBR($C$26,$B31,G$27)</f>
        <v>#NAME?</v>
      </c>
      <c r="H31" s="1" t="e" cm="1">
        <f t="array" aca="1" ref="H31" ca="1">_xll.DBR($C$26,$B31,H$27)</f>
        <v>#NAME?</v>
      </c>
    </row>
    <row r="32" spans="2:8" hidden="1" outlineLevel="1" x14ac:dyDescent="0.25">
      <c r="B32" s="1" t="s">
        <v>34</v>
      </c>
      <c r="C32" s="1" t="e" cm="1">
        <f t="array" aca="1" ref="C32" ca="1">_xll.DBR($C$26,$B32,C$27)</f>
        <v>#NAME?</v>
      </c>
      <c r="D32" s="1" t="e" cm="1">
        <f t="array" aca="1" ref="D32" ca="1">_xll.DBR($C$26,$B32,D$27)</f>
        <v>#NAME?</v>
      </c>
      <c r="E32" s="1" t="e" cm="1">
        <f t="array" aca="1" ref="E32" ca="1">_xll.DBR($C$26,$B32,E$27)</f>
        <v>#NAME?</v>
      </c>
      <c r="F32" s="1" t="e" cm="1">
        <f t="array" aca="1" ref="F32" ca="1">_xll.DBR($C$26,$B32,F$27)</f>
        <v>#NAME?</v>
      </c>
      <c r="G32" s="1" t="e" cm="1">
        <f t="array" aca="1" ref="G32" ca="1">_xll.DBR($C$26,$B32,G$27)</f>
        <v>#NAME?</v>
      </c>
      <c r="H32" s="1" t="e" cm="1">
        <f t="array" aca="1" ref="H32" ca="1">_xll.DBR($C$26,$B32,H$27)</f>
        <v>#NAME?</v>
      </c>
    </row>
    <row r="33" spans="2:8" hidden="1" outlineLevel="1" x14ac:dyDescent="0.25">
      <c r="B33" s="1" t="s">
        <v>39</v>
      </c>
      <c r="C33" s="1" t="e" cm="1">
        <f t="array" aca="1" ref="C33" ca="1">_xll.DBR($C$26,$B33,C$27)</f>
        <v>#NAME?</v>
      </c>
      <c r="D33" s="1" t="e" cm="1">
        <f t="array" aca="1" ref="D33" ca="1">_xll.DBR($C$26,$B33,D$27)</f>
        <v>#NAME?</v>
      </c>
      <c r="E33" s="1" t="e" cm="1">
        <f t="array" aca="1" ref="E33" ca="1">_xll.DBR($C$26,$B33,E$27)</f>
        <v>#NAME?</v>
      </c>
      <c r="F33" s="1" t="e" cm="1">
        <f t="array" aca="1" ref="F33" ca="1">_xll.DBR($C$26,$B33,F$27)</f>
        <v>#NAME?</v>
      </c>
      <c r="G33" s="1" t="e" cm="1">
        <f t="array" aca="1" ref="G33" ca="1">_xll.DBR($C$26,$B33,G$27)</f>
        <v>#NAME?</v>
      </c>
      <c r="H33" s="1" t="e" cm="1">
        <f t="array" aca="1" ref="H33" ca="1">_xll.DBR($C$26,$B33,H$27)</f>
        <v>#NAME?</v>
      </c>
    </row>
    <row r="34" spans="2:8" hidden="1" outlineLevel="1" x14ac:dyDescent="0.25">
      <c r="B34" s="1" t="s">
        <v>35</v>
      </c>
      <c r="C34" s="1" t="e" cm="1">
        <f t="array" aca="1" ref="C34" ca="1">_xll.DBR($C$26,$B34,C$27)</f>
        <v>#NAME?</v>
      </c>
      <c r="D34" s="1" t="e" cm="1">
        <f t="array" aca="1" ref="D34" ca="1">_xll.DBR($C$26,$B34,D$27)</f>
        <v>#NAME?</v>
      </c>
      <c r="E34" s="1" t="e" cm="1">
        <f t="array" aca="1" ref="E34" ca="1">_xll.DBR($C$26,$B34,E$27)</f>
        <v>#NAME?</v>
      </c>
      <c r="F34" s="1" t="e" cm="1">
        <f t="array" aca="1" ref="F34" ca="1">_xll.DBR($C$26,$B34,F$27)</f>
        <v>#NAME?</v>
      </c>
      <c r="G34" s="1" t="e" cm="1">
        <f t="array" aca="1" ref="G34" ca="1">_xll.DBR($C$26,$B34,G$27)</f>
        <v>#NAME?</v>
      </c>
      <c r="H34" s="1" t="e" cm="1">
        <f t="array" aca="1" ref="H34" ca="1">_xll.DBR($C$26,$B34,H$27)</f>
        <v>#NAME?</v>
      </c>
    </row>
    <row r="35" spans="2:8" hidden="1" outlineLevel="1" x14ac:dyDescent="0.25">
      <c r="B35" s="1" t="s">
        <v>36</v>
      </c>
      <c r="C35" s="1" t="e" cm="1">
        <f t="array" aca="1" ref="C35" ca="1">_xll.DBR($C$26,$B35,C$27)</f>
        <v>#NAME?</v>
      </c>
      <c r="D35" s="1" t="e" cm="1">
        <f t="array" aca="1" ref="D35" ca="1">_xll.DBR($C$26,$B35,D$27)</f>
        <v>#NAME?</v>
      </c>
      <c r="E35" s="1" t="e" cm="1">
        <f t="array" aca="1" ref="E35" ca="1">_xll.DBR($C$26,$B35,E$27)</f>
        <v>#NAME?</v>
      </c>
      <c r="F35" s="1" t="e" cm="1">
        <f t="array" aca="1" ref="F35" ca="1">_xll.DBR($C$26,$B35,F$27)</f>
        <v>#NAME?</v>
      </c>
      <c r="G35" s="1" t="e" cm="1">
        <f t="array" aca="1" ref="G35" ca="1">_xll.DBR($C$26,$B35,G$27)</f>
        <v>#NAME?</v>
      </c>
      <c r="H35" s="1" t="e" cm="1">
        <f t="array" aca="1" ref="H35" ca="1">_xll.DBR($C$26,$B35,H$27)</f>
        <v>#NAME?</v>
      </c>
    </row>
    <row r="36" spans="2:8" hidden="1" outlineLevel="1" x14ac:dyDescent="0.25">
      <c r="B36" s="1" t="s">
        <v>37</v>
      </c>
      <c r="C36" s="1" t="e" cm="1">
        <f t="array" aca="1" ref="C36" ca="1">_xll.DBR($C$26,$B36,C$27)</f>
        <v>#NAME?</v>
      </c>
      <c r="D36" s="1" t="e" cm="1">
        <f t="array" aca="1" ref="D36" ca="1">_xll.DBR($C$26,$B36,D$27)</f>
        <v>#NAME?</v>
      </c>
      <c r="E36" s="1" t="e" cm="1">
        <f t="array" aca="1" ref="E36" ca="1">_xll.DBR($C$26,$B36,E$27)</f>
        <v>#NAME?</v>
      </c>
      <c r="F36" s="1" t="e" cm="1">
        <f t="array" aca="1" ref="F36" ca="1">_xll.DBR($C$26,$B36,F$27)</f>
        <v>#NAME?</v>
      </c>
      <c r="G36" s="1" t="e" cm="1">
        <f t="array" aca="1" ref="G36" ca="1">_xll.DBR($C$26,$B36,G$27)</f>
        <v>#NAME?</v>
      </c>
      <c r="H36" s="1" t="e" cm="1">
        <f t="array" aca="1" ref="H36" ca="1">_xll.DBR($C$26,$B36,H$27)</f>
        <v>#NAME?</v>
      </c>
    </row>
    <row r="37" spans="2:8" hidden="1" outlineLevel="1" x14ac:dyDescent="0.25">
      <c r="B37" s="1" t="s">
        <v>29</v>
      </c>
      <c r="C37" s="1" t="e" cm="1">
        <f t="array" aca="1" ref="C37" ca="1">_xll.DBR($C$26,$B37,C$27)</f>
        <v>#NAME?</v>
      </c>
      <c r="D37" s="1" t="e" cm="1">
        <f t="array" aca="1" ref="D37" ca="1">_xll.DBR($C$26,$B37,D$27)</f>
        <v>#NAME?</v>
      </c>
      <c r="E37" s="1" t="e" cm="1">
        <f t="array" aca="1" ref="E37" ca="1">_xll.DBR($C$26,$B37,E$27)</f>
        <v>#NAME?</v>
      </c>
      <c r="F37" s="1" t="e" cm="1">
        <f t="array" aca="1" ref="F37" ca="1">_xll.DBR($C$26,$B37,F$27)</f>
        <v>#NAME?</v>
      </c>
      <c r="G37" s="1" t="e" cm="1">
        <f t="array" aca="1" ref="G37" ca="1">_xll.DBR($C$26,$B37,G$27)</f>
        <v>#NAME?</v>
      </c>
      <c r="H37" s="1" t="e" cm="1">
        <f t="array" aca="1" ref="H37" ca="1">_xll.DBR($C$26,$B37,H$27)</f>
        <v>#NAME?</v>
      </c>
    </row>
    <row r="38" spans="2:8" hidden="1" outlineLevel="1" x14ac:dyDescent="0.25">
      <c r="B38" s="1" t="s">
        <v>41</v>
      </c>
      <c r="C38" s="1" t="e" cm="1">
        <f t="array" aca="1" ref="C38" ca="1">_xll.DBR($C$26,$B38,C$27)</f>
        <v>#NAME?</v>
      </c>
      <c r="D38" s="1" t="e" cm="1">
        <f t="array" aca="1" ref="D38" ca="1">_xll.DBR($C$26,$B38,D$27)</f>
        <v>#NAME?</v>
      </c>
      <c r="E38" s="1" t="e" cm="1">
        <f t="array" aca="1" ref="E38" ca="1">_xll.DBR($C$26,$B38,E$27)</f>
        <v>#NAME?</v>
      </c>
      <c r="F38" s="1" t="e" cm="1">
        <f t="array" aca="1" ref="F38" ca="1">_xll.DBR($C$26,$B38,F$27)</f>
        <v>#NAME?</v>
      </c>
      <c r="G38" s="1" t="e" cm="1">
        <f t="array" aca="1" ref="G38" ca="1">_xll.DBR($C$26,$B38,G$27)</f>
        <v>#NAME?</v>
      </c>
      <c r="H38" s="1" t="e" cm="1">
        <f t="array" aca="1" ref="H38" ca="1">_xll.DBR($C$26,$B38,H$27)</f>
        <v>#NAME?</v>
      </c>
    </row>
    <row r="39" spans="2:8" hidden="1" outlineLevel="1" x14ac:dyDescent="0.25">
      <c r="B39" s="1" t="s">
        <v>42</v>
      </c>
      <c r="C39" s="1" t="e" cm="1">
        <f t="array" aca="1" ref="C39" ca="1">_xll.DBR($C$26,$B39,C$27)</f>
        <v>#NAME?</v>
      </c>
      <c r="D39" s="1" t="e" cm="1">
        <f t="array" aca="1" ref="D39" ca="1">_xll.DBR($C$26,$B39,D$27)</f>
        <v>#NAME?</v>
      </c>
      <c r="E39" s="1" t="e" cm="1">
        <f t="array" aca="1" ref="E39" ca="1">_xll.DBR($C$26,$B39,E$27)</f>
        <v>#NAME?</v>
      </c>
      <c r="F39" s="1" t="e" cm="1">
        <f t="array" aca="1" ref="F39" ca="1">_xll.DBR($C$26,$B39,F$27)</f>
        <v>#NAME?</v>
      </c>
      <c r="G39" s="1" t="e" cm="1">
        <f t="array" aca="1" ref="G39" ca="1">_xll.DBR($C$26,$B39,G$27)</f>
        <v>#NAME?</v>
      </c>
      <c r="H39" s="1" t="e" cm="1">
        <f t="array" aca="1" ref="H39" ca="1">_xll.DBR($C$26,$B39,H$27)</f>
        <v>#NAME?</v>
      </c>
    </row>
    <row r="40" spans="2:8" hidden="1" outlineLevel="1" x14ac:dyDescent="0.25">
      <c r="B40" s="1" t="s">
        <v>43</v>
      </c>
      <c r="C40" s="1" t="e" cm="1">
        <f t="array" aca="1" ref="C40" ca="1">_xll.DBR($C$26,$B40,C$27)</f>
        <v>#NAME?</v>
      </c>
      <c r="D40" s="1" t="e" cm="1">
        <f t="array" aca="1" ref="D40" ca="1">_xll.DBR($C$26,$B40,D$27)</f>
        <v>#NAME?</v>
      </c>
      <c r="E40" s="1" t="e" cm="1">
        <f t="array" aca="1" ref="E40" ca="1">_xll.DBR($C$26,$B40,E$27)</f>
        <v>#NAME?</v>
      </c>
      <c r="F40" s="1" t="e" cm="1">
        <f t="array" aca="1" ref="F40" ca="1">_xll.DBR($C$26,$B40,F$27)</f>
        <v>#NAME?</v>
      </c>
      <c r="G40" s="1" t="e" cm="1">
        <f t="array" aca="1" ref="G40" ca="1">_xll.DBR($C$26,$B40,G$27)</f>
        <v>#NAME?</v>
      </c>
      <c r="H40" s="1" t="e" cm="1">
        <f t="array" aca="1" ref="H40" ca="1">_xll.DBR($C$26,$B40,H$27)</f>
        <v>#NAME?</v>
      </c>
    </row>
    <row r="41" spans="2:8" hidden="1" outlineLevel="1" x14ac:dyDescent="0.25">
      <c r="B41" s="1" t="s">
        <v>44</v>
      </c>
      <c r="C41" s="1" t="e" cm="1">
        <f t="array" aca="1" ref="C41" ca="1">_xll.DBR($C$26,$B41,C$27)</f>
        <v>#NAME?</v>
      </c>
      <c r="D41" s="1" t="e" cm="1">
        <f t="array" aca="1" ref="D41" ca="1">_xll.DBR($C$26,$B41,D$27)</f>
        <v>#NAME?</v>
      </c>
      <c r="E41" s="1" t="e" cm="1">
        <f t="array" aca="1" ref="E41" ca="1">_xll.DBR($C$26,$B41,E$27)</f>
        <v>#NAME?</v>
      </c>
      <c r="F41" s="1" t="e" cm="1">
        <f t="array" aca="1" ref="F41" ca="1">_xll.DBR($C$26,$B41,F$27)</f>
        <v>#NAME?</v>
      </c>
      <c r="G41" s="1" t="e" cm="1">
        <f t="array" aca="1" ref="G41" ca="1">_xll.DBR($C$26,$B41,G$27)</f>
        <v>#NAME?</v>
      </c>
      <c r="H41" s="1" t="e" cm="1">
        <f t="array" aca="1" ref="H41" ca="1">_xll.DBR($C$26,$B41,H$27)</f>
        <v>#NAME?</v>
      </c>
    </row>
    <row r="42" spans="2:8" hidden="1" outlineLevel="1" x14ac:dyDescent="0.25">
      <c r="B42" s="1" t="s">
        <v>45</v>
      </c>
      <c r="C42" s="1" t="e" cm="1">
        <f t="array" aca="1" ref="C42" ca="1">_xll.DBR($C$26,$B42,C$27)</f>
        <v>#NAME?</v>
      </c>
      <c r="D42" s="1" t="e" cm="1">
        <f t="array" aca="1" ref="D42" ca="1">_xll.DBR($C$26,$B42,D$27)</f>
        <v>#NAME?</v>
      </c>
      <c r="E42" s="1" t="e" cm="1">
        <f t="array" aca="1" ref="E42" ca="1">_xll.DBR($C$26,$B42,E$27)</f>
        <v>#NAME?</v>
      </c>
      <c r="F42" s="1" t="e" cm="1">
        <f t="array" aca="1" ref="F42" ca="1">_xll.DBR($C$26,$B42,F$27)</f>
        <v>#NAME?</v>
      </c>
      <c r="G42" s="1" t="e" cm="1">
        <f t="array" aca="1" ref="G42" ca="1">_xll.DBR($C$26,$B42,G$27)</f>
        <v>#NAME?</v>
      </c>
      <c r="H42" s="1" t="e" cm="1">
        <f t="array" aca="1" ref="H42" ca="1">_xll.DBR($C$26,$B42,H$27)</f>
        <v>#NAME?</v>
      </c>
    </row>
    <row r="43" spans="2:8" hidden="1" outlineLevel="1" x14ac:dyDescent="0.25"/>
    <row r="44" spans="2:8" hidden="1" outlineLevel="1" x14ac:dyDescent="0.25"/>
    <row r="45" spans="2:8" hidden="1" outlineLevel="1" x14ac:dyDescent="0.25"/>
    <row r="46" spans="2:8" hidden="1" outlineLevel="1" x14ac:dyDescent="0.25"/>
    <row r="47" spans="2:8" hidden="1" outlineLevel="1" x14ac:dyDescent="0.25"/>
    <row r="48" spans="2:8" hidden="1" outlineLevel="1" x14ac:dyDescent="0.25"/>
    <row r="49" spans="10:23" hidden="1" outlineLevel="1" x14ac:dyDescent="0.25"/>
    <row r="50" spans="10:23" hidden="1" outlineLevel="1" x14ac:dyDescent="0.25"/>
    <row r="51" spans="10:23" hidden="1" outlineLevel="1" x14ac:dyDescent="0.25"/>
    <row r="52" spans="10:23" hidden="1" outlineLevel="1" x14ac:dyDescent="0.25"/>
    <row r="53" spans="10:23" hidden="1" outlineLevel="1" x14ac:dyDescent="0.25"/>
    <row r="54" spans="10:23" ht="39.75" customHeight="1" collapsed="1" x14ac:dyDescent="0.25"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11" t="e">
        <f ca="1">"Welcome "&amp; psUser</f>
        <v>#NAME?</v>
      </c>
    </row>
    <row r="55" spans="10:23" ht="4.5" customHeight="1" x14ac:dyDescent="0.25"/>
    <row r="56" spans="10:23" ht="30" customHeight="1" x14ac:dyDescent="0.25">
      <c r="J56" s="6"/>
      <c r="K56" s="19" t="e">
        <f ca="1">$C$15</f>
        <v>#NAME?</v>
      </c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6"/>
      <c r="W56" s="6"/>
    </row>
    <row r="57" spans="10:23" ht="4.5" customHeight="1" x14ac:dyDescent="0.25"/>
    <row r="61" spans="10:23" ht="24.75" customHeight="1" x14ac:dyDescent="0.25">
      <c r="J61" s="7"/>
      <c r="K61" s="7"/>
      <c r="L61" s="14" t="s">
        <v>38</v>
      </c>
      <c r="M61" s="14"/>
      <c r="N61" s="14"/>
      <c r="O61" s="14"/>
      <c r="P61" s="5"/>
      <c r="R61" s="8"/>
      <c r="S61" s="15" t="s">
        <v>40</v>
      </c>
      <c r="T61" s="15"/>
      <c r="U61" s="15"/>
      <c r="V61" s="15"/>
      <c r="W61" s="8"/>
    </row>
    <row r="62" spans="10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10:23" ht="19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10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9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ht="4.5" customHeight="1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ht="19.5" customHeight="1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ht="4.5" customHeight="1" x14ac:dyDescent="0.25">
      <c r="J90" s="9"/>
      <c r="K90" s="9"/>
      <c r="L90" s="9"/>
      <c r="M90" s="9"/>
      <c r="N90" s="9"/>
      <c r="O90" s="9"/>
      <c r="P90" s="9"/>
      <c r="R90" s="9"/>
      <c r="S90" s="9"/>
      <c r="T90" s="9"/>
      <c r="U90" s="9"/>
      <c r="V90" s="9"/>
      <c r="W90" s="9"/>
    </row>
    <row r="91" spans="10:23" x14ac:dyDescent="0.25">
      <c r="J91" s="9"/>
      <c r="K91" s="9"/>
      <c r="L91" s="9"/>
      <c r="M91" s="9"/>
      <c r="N91" s="9"/>
      <c r="O91" s="9"/>
      <c r="P91" s="9"/>
      <c r="R91" s="9"/>
      <c r="S91" s="9"/>
      <c r="T91" s="9"/>
      <c r="U91" s="9"/>
      <c r="V91" s="9"/>
      <c r="W91" s="9"/>
    </row>
    <row r="92" spans="10:23" ht="4.5" customHeight="1" x14ac:dyDescent="0.25">
      <c r="J92" s="9"/>
      <c r="K92" s="9"/>
      <c r="L92" s="9"/>
      <c r="M92" s="9"/>
      <c r="N92" s="9"/>
      <c r="O92" s="9"/>
      <c r="P92" s="9"/>
      <c r="R92" s="9"/>
      <c r="S92" s="9"/>
      <c r="T92" s="9"/>
      <c r="U92" s="9"/>
      <c r="V92" s="9"/>
      <c r="W92" s="9"/>
    </row>
    <row r="93" spans="10:23" x14ac:dyDescent="0.25">
      <c r="J93" s="9"/>
      <c r="K93" s="9"/>
      <c r="L93" s="9"/>
      <c r="M93" s="9"/>
      <c r="N93" s="9"/>
      <c r="O93" s="9"/>
      <c r="P93" s="9"/>
      <c r="R93" s="9"/>
      <c r="S93" s="9"/>
      <c r="T93" s="9"/>
      <c r="U93" s="9"/>
      <c r="V93" s="9"/>
      <c r="W93" s="9"/>
    </row>
    <row r="94" spans="10:23" ht="4.5" customHeight="1" x14ac:dyDescent="0.25">
      <c r="J94" s="9"/>
      <c r="K94" s="9"/>
      <c r="L94" s="9"/>
      <c r="M94" s="9"/>
      <c r="N94" s="9"/>
      <c r="O94" s="9"/>
      <c r="P94" s="9"/>
      <c r="R94" s="9"/>
      <c r="S94" s="9"/>
      <c r="T94" s="9"/>
      <c r="U94" s="9"/>
      <c r="V94" s="9"/>
      <c r="W94" s="9"/>
    </row>
    <row r="95" spans="10:23" x14ac:dyDescent="0.25">
      <c r="J95" s="9"/>
      <c r="K95" s="9"/>
      <c r="L95" s="9"/>
      <c r="M95" s="9"/>
      <c r="N95" s="9"/>
      <c r="O95" s="9"/>
      <c r="P95" s="9"/>
      <c r="R95" s="9"/>
      <c r="S95" s="9"/>
      <c r="T95" s="9"/>
      <c r="U95" s="9"/>
      <c r="V95" s="9"/>
      <c r="W95" s="9"/>
    </row>
    <row r="96" spans="10:23" x14ac:dyDescent="0.25">
      <c r="K96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61:O61"/>
    <mergeCell ref="S61:V61"/>
    <mergeCell ref="B1:D1"/>
    <mergeCell ref="B9:D9"/>
    <mergeCell ref="B17:D17"/>
    <mergeCell ref="B25:D25"/>
    <mergeCell ref="K56:U56"/>
  </mergeCells>
  <conditionalFormatting sqref="R61:W61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Menu</vt:lpstr>
      <vt:lpstr>db_name</vt:lpstr>
      <vt:lpstr>home</vt:lpstr>
      <vt:lpstr>Menu</vt:lpstr>
      <vt:lpstr>psUser</vt:lpstr>
      <vt:lpstr>TM1AdminRDSMapAppropItemCAP</vt:lpstr>
      <vt:lpstr>TM1AdminRDSMapAppropItemWB</vt:lpstr>
      <vt:lpstr>TM1AdminRDSMapAppropItemWS</vt:lpstr>
      <vt:lpstr>TM1AdminRDSMapCFMapCap</vt:lpstr>
      <vt:lpstr>TM1AdminRDSMapCFMapWB</vt:lpstr>
      <vt:lpstr>TM1AdminRDSMapCFMapWS</vt:lpstr>
      <vt:lpstr>TM1AdminRDSMapIDCap</vt:lpstr>
      <vt:lpstr>TM1AdminRDSMapIDWB</vt:lpstr>
      <vt:lpstr>TM1AdminRDSMapIDWS</vt:lpstr>
      <vt:lpstr>TM1AdminRDSMapMAMapCAP</vt:lpstr>
      <vt:lpstr>TM1AdminRDSMapMAMapWB</vt:lpstr>
      <vt:lpstr>TM1AdminRDSMapMAMapWS</vt:lpstr>
      <vt:lpstr>TM1AdminRDSMapREMapCAP</vt:lpstr>
      <vt:lpstr>TM1AdminRDSMapREMapWB</vt:lpstr>
      <vt:lpstr>TM1AdminRDSMapREMapWS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2025-08-11T06:19:55Z</dcterms:modified>
</cp:coreProperties>
</file>