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7709CE8D-BE9B-4E4D-9DFE-F5D0A5B0B577}" xr6:coauthVersionLast="47" xr6:coauthVersionMax="47" xr10:uidLastSave="{00000000-0000-0000-0000-000000000000}"/>
  <bookViews>
    <workbookView xWindow="57480" yWindow="-1965" windowWidth="29040" windowHeight="15840" xr2:uid="{A9839B88-52FA-48CF-8FAA-F33B94BF918A}"/>
  </bookViews>
  <sheets>
    <sheet name="measure reco" sheetId="1" r:id="rId1"/>
  </sheets>
  <definedNames>
    <definedName name="db_name">'measure reco'!$C$12</definedName>
    <definedName name="psApp">'measure reco'!$C$29</definedName>
    <definedName name="psHLYear">'measure reco'!$K$85</definedName>
    <definedName name="psScenario">'measure reco'!$K$86</definedName>
    <definedName name="psUser">'measure reco'!$C$14</definedName>
    <definedName name="TM1GrpViewAdj01HeaderCAP">'measure reco'!$D$40</definedName>
    <definedName name="TM1GrpViewAdj01HeaderWB">'measure reco'!$F$40</definedName>
    <definedName name="TM1GrpViewAdj01HeaderWS">'measure reco'!$H$40</definedName>
    <definedName name="TM1HomeAdminCAP">'measure reco'!$D$34</definedName>
    <definedName name="TM1HomeAdminWB">'measure reco'!$F$34</definedName>
    <definedName name="TM1HomeAdminWS">'measure reco'!$H$34</definedName>
    <definedName name="TM1HomeAECAP">'measure reco'!$D$32</definedName>
    <definedName name="TM1HomeAEWB">'measure reco'!$F$32</definedName>
    <definedName name="TM1HomeAEWS">'measure reco'!$H$32</definedName>
    <definedName name="TM1HomeCAP">'measure reco'!$D$31</definedName>
    <definedName name="TM1HomeRepAnalyticalCAP">'measure reco'!$D$36</definedName>
    <definedName name="TM1HomeRepAnalyticalWB">'measure reco'!$F$36</definedName>
    <definedName name="TM1HomeRepAnalyticalWS">'measure reco'!$H$36</definedName>
    <definedName name="TM1HomeRepCAP">'measure reco'!$D$33</definedName>
    <definedName name="TM1HomeRepOtherCAP">'measure reco'!$D$35</definedName>
    <definedName name="TM1HomeRepOtherWB">'measure reco'!$F$35</definedName>
    <definedName name="TM1HomeRepOtherWS">'measure reco'!$H$35</definedName>
    <definedName name="TM1HomeRepWB">'measure reco'!$F$33</definedName>
    <definedName name="TM1HomeRepWS">'measure reco'!$H$33</definedName>
    <definedName name="TM1HomeWB">'measure reco'!$F$31</definedName>
    <definedName name="TM1HomeWS">'measure reco'!$H$31</definedName>
    <definedName name="TM1OthRprTBalCAP">'measure reco'!$D$37</definedName>
    <definedName name="TM1OthRprTBalWB">'measure reco'!$F$37</definedName>
    <definedName name="TM1OthRprTBalWS">'measure reco'!$H$37</definedName>
    <definedName name="TM1OthRprTxnByReasonCAP">'measure reco'!$D$38</definedName>
    <definedName name="TM1OthRprTxnByReasonWB">'measure reco'!$F$38</definedName>
    <definedName name="TM1OthRprTxnByReasonWS">'measure reco'!$H$38</definedName>
    <definedName name="TM1REBUILDOPTION">1</definedName>
    <definedName name="TM1RPTDATARNG1" localSheetId="0">'measure reco'!$97:$97</definedName>
    <definedName name="TM1RPTFMTIDCOL" localSheetId="0">'measure reco'!$A$1:$A$8</definedName>
    <definedName name="TM1RPTFMTRNG" localSheetId="0">'measure reco'!$J$1:$Q$8</definedName>
    <definedName name="TM1ViewAdj01HeaderCAP">'measure reco'!$D$39</definedName>
    <definedName name="TM1ViewAdj01HeaderWB">'measure reco'!$F$39</definedName>
    <definedName name="TM1ViewAdj01HeaderWS">'measure reco'!$H$39</definedName>
    <definedName name="TM1ViewMeas01HeaderCAP">'measure reco'!$D$41</definedName>
    <definedName name="TM1ViewMeas01HeaderWB">'measure reco'!$F$41</definedName>
    <definedName name="TM1ViewMeas01HeaderWS">'measure reco'!$H$41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9" i="1" l="1" a="1"/>
  <c r="C59" i="1"/>
  <c r="C60" i="1" a="1"/>
  <c r="C60" i="1"/>
  <c r="C48" i="1"/>
  <c r="C20" i="1" a="1"/>
  <c r="C20" i="1"/>
  <c r="C21" i="1" a="1"/>
  <c r="C21" i="1"/>
  <c r="K85" i="1"/>
  <c r="C22" i="1" a="1"/>
  <c r="C22" i="1"/>
  <c r="K86" i="1"/>
  <c r="K87" i="1"/>
  <c r="C64" i="1"/>
  <c r="C65" i="1"/>
  <c r="C66" i="1"/>
  <c r="C67" i="1"/>
  <c r="C68" i="1"/>
  <c r="C69" i="1"/>
  <c r="K90" i="1"/>
  <c r="C70" i="1"/>
  <c r="K88" i="1"/>
  <c r="K89" i="1"/>
  <c r="C71" i="1"/>
  <c r="C72" i="1"/>
  <c r="J63" i="1"/>
  <c r="O63" i="1"/>
  <c r="O93" i="1"/>
  <c r="N63" i="1"/>
  <c r="N93" i="1"/>
  <c r="M63" i="1"/>
  <c r="M93" i="1"/>
  <c r="L63" i="1"/>
  <c r="L93" i="1"/>
  <c r="K63" i="1"/>
  <c r="K93" i="1"/>
  <c r="O85" i="1" a="1"/>
  <c r="O85" i="1"/>
  <c r="O86" i="1" a="1"/>
  <c r="O86" i="1"/>
  <c r="C51" i="1"/>
  <c r="J97" i="1" a="1"/>
  <c r="J97" i="1"/>
  <c r="C73" i="1"/>
  <c r="C49" i="1"/>
  <c r="C28" i="1"/>
  <c r="P101" i="1"/>
  <c r="Q97" i="1" a="1"/>
  <c r="Q97" i="1"/>
  <c r="O97" i="1" a="1"/>
  <c r="O97" i="1"/>
  <c r="N97" i="1" a="1"/>
  <c r="N97" i="1"/>
  <c r="M97" i="1" a="1"/>
  <c r="M97" i="1"/>
  <c r="L97" i="1" a="1"/>
  <c r="L97" i="1"/>
  <c r="K97" i="1" a="1"/>
  <c r="K97" i="1"/>
  <c r="G97" i="1" a="1"/>
  <c r="G97" i="1"/>
  <c r="A97" i="1" a="1"/>
  <c r="A97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5" i="1" a="1"/>
  <c r="C25" i="1"/>
  <c r="C24" i="1" a="1"/>
  <c r="C24" i="1"/>
  <c r="C23" i="1" a="1"/>
  <c r="C23" i="1"/>
  <c r="C13" i="1" a="1"/>
  <c r="C13" i="1"/>
  <c r="C14" i="1" a="1"/>
  <c r="C14" i="1"/>
  <c r="C16" i="1" a="1"/>
  <c r="C16" i="1"/>
  <c r="C15" i="1" a="1"/>
  <c r="C15" i="1"/>
  <c r="P90" i="1"/>
  <c r="E51" i="1"/>
  <c r="P97" i="1"/>
  <c r="O99" i="1"/>
  <c r="N99" i="1"/>
  <c r="M99" i="1"/>
  <c r="L99" i="1"/>
  <c r="K99" i="1"/>
  <c r="D51" i="1"/>
  <c r="J99" i="1"/>
  <c r="E53" i="1"/>
  <c r="E52" i="1"/>
  <c r="D53" i="1"/>
  <c r="D52" i="1"/>
  <c r="E56" i="1"/>
  <c r="C56" i="1"/>
  <c r="C55" i="1"/>
  <c r="C54" i="1"/>
  <c r="C53" i="1"/>
  <c r="C52" i="1"/>
  <c r="K66" i="1"/>
  <c r="C17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<sst xmlns="http://schemas.openxmlformats.org/spreadsheetml/2006/main" count="108" uniqueCount="99">
  <si>
    <t>headline year</t>
  </si>
  <si>
    <t xml:space="preserve">Total Measures - 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</si>
  <si>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</si>
  <si>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</si>
  <si>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</si>
  <si>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</si>
  <si>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</si>
  <si>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</si>
  <si>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</si>
  <si>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</si>
  <si>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</si>
  <si>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</si>
  <si>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</si>
  <si>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</si>
  <si>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</si>
  <si>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</si>
  <si>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</si>
  <si>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</si>
  <si>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Budget</t>
  </si>
  <si>
    <t>current budget round</t>
  </si>
  <si>
    <t>sys_application</t>
  </si>
  <si>
    <t>Slice View</t>
  </si>
  <si>
    <t>Current Workbook</t>
  </si>
  <si>
    <t>Other Reports - Transactions By Reason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</si>
  <si>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</si>
  <si>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</si>
  <si>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</si>
  <si>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</si>
  <si>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</si>
  <si>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</si>
  <si>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</si>
  <si>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</si>
  <si>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</si>
  <si>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</si>
  <si>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Reports - Other</t>
  </si>
  <si>
    <t>Other Reports - Trial Balance</t>
  </si>
  <si>
    <t>Data Entry - View Adj 01 - Header Details</t>
  </si>
  <si>
    <t>Group Data Entry - View Adj 01 - Header Details</t>
  </si>
  <si>
    <t>Application Formula (DO NOT DELETE)</t>
  </si>
  <si>
    <t>=DBR($C$28,$B35,C$30)</t>
  </si>
  <si>
    <t>AE Adjustments</t>
  </si>
  <si>
    <t>Active Form</t>
  </si>
  <si>
    <t>Slice</t>
  </si>
  <si>
    <t>To Use</t>
  </si>
  <si>
    <t>Collapse</t>
  </si>
  <si>
    <t>Expand</t>
  </si>
  <si>
    <t>Programme  MDX</t>
  </si>
  <si>
    <t>Outcome MDX</t>
  </si>
  <si>
    <t>Appropriation MDX</t>
  </si>
  <si>
    <t>{[appropriation item].[Total approp item]}</t>
  </si>
  <si>
    <t>{EXCEPT({DESCENDANTS ([appropriation item].[Total approp item],1,SELF_AND_BEFORE)},{[appropriation item].[Total approp item]})}</t>
  </si>
  <si>
    <t>Reason MDX</t>
  </si>
  <si>
    <t>{TM1FILTERBYLEVEL( {TM1SUBSETALL( [reason] )}, 0)}</t>
  </si>
  <si>
    <t>ID MDX</t>
  </si>
  <si>
    <t>{[id].[New Adjustments]}</t>
  </si>
  <si>
    <t>AE Adjustments - Header Titles</t>
  </si>
  <si>
    <t>Index Change</t>
  </si>
  <si>
    <t>REPORT PARAMETERS</t>
  </si>
  <si>
    <t>Terminating Year :</t>
  </si>
  <si>
    <t>Headline Year :</t>
  </si>
  <si>
    <t>Status :</t>
  </si>
  <si>
    <t>Outcome :</t>
  </si>
  <si>
    <t>Related Entity :</t>
  </si>
  <si>
    <t>Function :</t>
  </si>
  <si>
    <t>Reason :</t>
  </si>
  <si>
    <t>SPP :</t>
  </si>
  <si>
    <t>Appropriation Type :</t>
  </si>
  <si>
    <t>Appropriation Item :</t>
  </si>
  <si>
    <t>ID :</t>
  </si>
  <si>
    <t>Jurisdiction :</t>
  </si>
  <si>
    <t>Programme :</t>
  </si>
  <si>
    <t>Scenario :</t>
  </si>
  <si>
    <t>Account :</t>
  </si>
  <si>
    <t>Movement Account :</t>
  </si>
  <si>
    <t>Measure Code</t>
  </si>
  <si>
    <t>Est'd Outcome</t>
  </si>
  <si>
    <t>Estimate</t>
  </si>
  <si>
    <t>$'000</t>
  </si>
  <si>
    <t xml:space="preserve">Terminating </t>
  </si>
  <si>
    <t>Year</t>
  </si>
  <si>
    <t xml:space="preserve"> DISPLAY SETTINGS</t>
  </si>
  <si>
    <t>Report Display :</t>
  </si>
  <si>
    <t>Measure Code MDX</t>
  </si>
  <si>
    <t>Other Reports - Terminating Measures Reconciliation</t>
  </si>
  <si>
    <t>Note : This report is used to identify any measures terminating but have data in the current years FE3</t>
  </si>
  <si>
    <t>}ElementAttributes_measure code</t>
  </si>
  <si>
    <t>VIEW</t>
  </si>
  <si>
    <t>attribute</t>
  </si>
  <si>
    <t>Terminating Measures Only? :</t>
  </si>
  <si>
    <t>Fundling Life</t>
  </si>
  <si>
    <t>Funding Life</t>
  </si>
  <si>
    <t>{FILTER( {TM1FILTERBYLEVEL( {TM1SUBSETALL( [measure code] )}, 0)}, [measure code].[Funding Life] = "terminating")}</t>
  </si>
  <si>
    <t>Expand Term</t>
  </si>
  <si>
    <t>Terminating Measures Reconciliation</t>
  </si>
  <si>
    <t>As at</t>
  </si>
  <si>
    <t>Homepage - Reports - Analytical</t>
  </si>
  <si>
    <t>Measures - View Measure 01 - Header Details</t>
  </si>
  <si>
    <t>Note: Click along these columns to drill/View a Measure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</si>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</sst>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[Red]_(* \(#,##0\);_(* &quot;-&quot;??_);_(@_)"/>
    <numFmt numFmtId="165" formatCode="dd\ mmmm\ yyyy\ h:m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0" borderId="4" xfId="1" applyBorder="1"/>
    <xf numFmtId="0" fontId="0" fillId="3" borderId="4" xfId="0" applyFill="1" applyBorder="1"/>
    <xf numFmtId="0" fontId="0" fillId="3" borderId="4" xfId="0" quotePrefix="1" applyFill="1" applyBorder="1"/>
    <xf numFmtId="0" fontId="3" fillId="4" borderId="4" xfId="0" applyFont="1" applyFill="1" applyBorder="1" applyAlignment="1">
      <alignment horizontal="center"/>
    </xf>
    <xf numFmtId="0" fontId="5" fillId="5" borderId="0" xfId="0" applyFont="1" applyFill="1" applyAlignment="1">
      <alignment horizontal="right" vertical="center"/>
    </xf>
    <xf numFmtId="0" fontId="3" fillId="0" borderId="0" xfId="0" applyFont="1" applyAlignment="1">
      <alignment horizontal="right" indent="1"/>
    </xf>
    <xf numFmtId="0" fontId="2" fillId="5" borderId="0" xfId="0" applyFont="1" applyFill="1" applyAlignment="1">
      <alignment horizontal="center" vertical="center"/>
    </xf>
    <xf numFmtId="0" fontId="6" fillId="6" borderId="4" xfId="0" applyFont="1" applyFill="1" applyBorder="1"/>
    <xf numFmtId="164" fontId="6" fillId="6" borderId="5" xfId="0" applyNumberFormat="1" applyFont="1" applyFill="1" applyBorder="1"/>
    <xf numFmtId="164" fontId="4" fillId="0" borderId="6" xfId="0" applyNumberFormat="1" applyFont="1" applyBorder="1"/>
    <xf numFmtId="164" fontId="4" fillId="0" borderId="2" xfId="0" applyNumberFormat="1" applyFont="1" applyBorder="1"/>
    <xf numFmtId="0" fontId="0" fillId="0" borderId="6" xfId="0" applyBorder="1"/>
    <xf numFmtId="0" fontId="3" fillId="0" borderId="4" xfId="0" applyFont="1" applyBorder="1" applyAlignment="1">
      <alignment horizontal="right" indent="1"/>
    </xf>
    <xf numFmtId="164" fontId="6" fillId="8" borderId="5" xfId="0" applyNumberFormat="1" applyFont="1" applyFill="1" applyBorder="1"/>
    <xf numFmtId="164" fontId="4" fillId="8" borderId="6" xfId="0" applyNumberFormat="1" applyFont="1" applyFill="1" applyBorder="1"/>
    <xf numFmtId="164" fontId="4" fillId="8" borderId="2" xfId="0" applyNumberFormat="1" applyFont="1" applyFill="1" applyBorder="1"/>
    <xf numFmtId="0" fontId="6" fillId="6" borderId="8" xfId="0" applyFont="1" applyFill="1" applyBorder="1"/>
    <xf numFmtId="0" fontId="4" fillId="0" borderId="9" xfId="0" applyFont="1" applyBorder="1"/>
    <xf numFmtId="0" fontId="4" fillId="0" borderId="1" xfId="0" applyFont="1" applyBorder="1"/>
    <xf numFmtId="164" fontId="6" fillId="6" borderId="11" xfId="0" applyNumberFormat="1" applyFont="1" applyFill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3" fillId="6" borderId="1" xfId="0" applyFont="1" applyFill="1" applyBorder="1"/>
    <xf numFmtId="164" fontId="3" fillId="6" borderId="2" xfId="0" applyNumberFormat="1" applyFont="1" applyFill="1" applyBorder="1"/>
    <xf numFmtId="164" fontId="3" fillId="6" borderId="3" xfId="0" applyNumberFormat="1" applyFont="1" applyFill="1" applyBorder="1"/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0" fillId="0" borderId="7" xfId="0" applyBorder="1" applyAlignment="1" applyProtection="1">
      <alignment horizontal="center" vertical="center"/>
      <protection locked="0"/>
    </xf>
    <xf numFmtId="0" fontId="7" fillId="0" borderId="0" xfId="0" applyFont="1"/>
    <xf numFmtId="49" fontId="4" fillId="0" borderId="9" xfId="0" applyNumberFormat="1" applyFont="1" applyBorder="1"/>
    <xf numFmtId="0" fontId="0" fillId="0" borderId="1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5" fontId="3" fillId="0" borderId="0" xfId="0" applyNumberFormat="1" applyFont="1" applyAlignment="1">
      <alignment horizontal="left" indent="1"/>
    </xf>
    <xf numFmtId="0" fontId="2" fillId="7" borderId="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0" borderId="1" xfId="0" applyBorder="1" applyAlignment="1" applyProtection="1">
      <alignment horizontal="left" indent="1"/>
      <protection locked="0"/>
    </xf>
    <xf numFmtId="0" fontId="0" fillId="0" borderId="3" xfId="0" applyBorder="1" applyAlignment="1" applyProtection="1">
      <alignment horizontal="left" indent="1"/>
      <protection locked="0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2">
    <cellStyle name="Normal" xfId="0" builtinId="0"/>
    <cellStyle name="Normal 3" xfId="1" xr:uid="{EAABE699-EC56-4306-8987-B72F96D2E4D9}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68580</xdr:colOff>
          <xdr:row>78</xdr:row>
          <xdr:rowOff>0</xdr:rowOff>
        </xdr:from>
        <xdr:to>
          <xdr:col>9</xdr:col>
          <xdr:colOff>708660</xdr:colOff>
          <xdr:row>78</xdr:row>
          <xdr:rowOff>251460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746760</xdr:colOff>
          <xdr:row>78</xdr:row>
          <xdr:rowOff>0</xdr:rowOff>
        </xdr:from>
        <xdr:to>
          <xdr:col>9</xdr:col>
          <xdr:colOff>1600200</xdr:colOff>
          <xdr:row>78</xdr:row>
          <xdr:rowOff>251460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1630680</xdr:colOff>
          <xdr:row>78</xdr:row>
          <xdr:rowOff>0</xdr:rowOff>
        </xdr:from>
        <xdr:to>
          <xdr:col>9</xdr:col>
          <xdr:colOff>2994660</xdr:colOff>
          <xdr:row>78</xdr:row>
          <xdr:rowOff>251460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5562600</xdr:colOff>
          <xdr:row>78</xdr:row>
          <xdr:rowOff>0</xdr:rowOff>
        </xdr:from>
        <xdr:to>
          <xdr:col>10</xdr:col>
          <xdr:colOff>480060</xdr:colOff>
          <xdr:row>78</xdr:row>
          <xdr:rowOff>251460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914400</xdr:colOff>
          <xdr:row>77</xdr:row>
          <xdr:rowOff>30480</xdr:rowOff>
        </xdr:from>
        <xdr:to>
          <xdr:col>16</xdr:col>
          <xdr:colOff>1226820</xdr:colOff>
          <xdr:row>78</xdr:row>
          <xdr:rowOff>289560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3009900</xdr:colOff>
          <xdr:row>78</xdr:row>
          <xdr:rowOff>0</xdr:rowOff>
        </xdr:from>
        <xdr:to>
          <xdr:col>9</xdr:col>
          <xdr:colOff>4564380</xdr:colOff>
          <xdr:row>78</xdr:row>
          <xdr:rowOff>251460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4579620</xdr:colOff>
          <xdr:row>78</xdr:row>
          <xdr:rowOff>0</xdr:rowOff>
        </xdr:from>
        <xdr:to>
          <xdr:col>9</xdr:col>
          <xdr:colOff>5516880</xdr:colOff>
          <xdr:row>78</xdr:row>
          <xdr:rowOff>251460</xdr:rowOff>
        </xdr:to>
        <xdr:sp macro="" textlink="">
          <xdr:nvSpPr>
            <xdr:cNvPr id="1031" name="TIButton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19050</xdr:colOff>
      <xdr:row>76</xdr:row>
      <xdr:rowOff>19050</xdr:rowOff>
    </xdr:from>
    <xdr:to>
      <xdr:col>9</xdr:col>
      <xdr:colOff>1767840</xdr:colOff>
      <xdr:row>77</xdr:row>
      <xdr:rowOff>19050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6952-FAC2-4E59-9DB5-E54E6ADA950C}">
  <sheetPr codeName="Sheet1">
    <outlinePr showOutlineSymbols="0"/>
    <pageSetUpPr fitToPage="1"/>
  </sheetPr>
  <dimension ref="A1:Q101"/>
  <sheetViews>
    <sheetView showGridLines="0" showRowColHeaders="0" tabSelected="1" showOutlineSymbols="0" topLeftCell="A77" zoomScaleNormal="100" workbookViewId="0">
      <pane ySplit="20" topLeftCell="A97" activePane="bottomLeft" state="frozen"/>
      <selection activeCell="I77" sqref="I77"/>
      <selection pane="bottomLeft"/>
    </sheetView>
  </sheetViews>
  <sheetFormatPr defaultRowHeight="14.4" outlineLevelRow="1" outlineLevelCol="1" x14ac:dyDescent="0.3"/>
  <cols>
    <col min="1" max="1" width="2.6640625" hidden="1" customWidth="1" outlineLevel="1"/>
    <col min="2" max="2" width="67.44140625" hidden="1" customWidth="1" outlineLevel="1"/>
    <col min="3" max="8" width="22.88671875" hidden="1" customWidth="1" outlineLevel="1"/>
    <col min="9" max="9" width="1" customWidth="1" collapsed="1"/>
    <col min="10" max="10" width="89.109375" customWidth="1"/>
    <col min="11" max="17" width="18.5546875" customWidth="1"/>
  </cols>
  <sheetData>
    <row r="1" spans="1:17" hidden="1" outlineLevel="1" x14ac:dyDescent="0.3">
      <c r="A1" t="s">
        <v>4</v>
      </c>
    </row>
    <row r="2" spans="1:17" hidden="1" outlineLevel="1" x14ac:dyDescent="0.3">
      <c r="A2">
        <f>0</f>
        <v>0</v>
      </c>
      <c r="G2" s="5"/>
      <c r="J2" s="22"/>
      <c r="K2" s="14"/>
      <c r="L2" s="14"/>
      <c r="M2" s="14"/>
      <c r="N2" s="14"/>
      <c r="O2" s="19"/>
      <c r="P2" s="25"/>
      <c r="Q2" s="25"/>
    </row>
    <row r="3" spans="1:17" hidden="1" outlineLevel="1" x14ac:dyDescent="0.3">
      <c r="A3">
        <f>1</f>
        <v>1</v>
      </c>
      <c r="G3" s="5"/>
      <c r="J3" s="23"/>
      <c r="K3" s="15"/>
      <c r="L3" s="15"/>
      <c r="M3" s="15"/>
      <c r="N3" s="15"/>
      <c r="O3" s="20"/>
      <c r="P3" s="26"/>
      <c r="Q3" s="26"/>
    </row>
    <row r="4" spans="1:17" hidden="1" outlineLevel="1" x14ac:dyDescent="0.3">
      <c r="A4">
        <f>2</f>
        <v>2</v>
      </c>
      <c r="G4" s="5"/>
      <c r="J4" s="24"/>
      <c r="K4" s="16"/>
      <c r="L4" s="16"/>
      <c r="M4" s="16"/>
      <c r="N4" s="16"/>
      <c r="O4" s="21"/>
      <c r="P4" s="27"/>
      <c r="Q4" s="27"/>
    </row>
    <row r="5" spans="1:17" hidden="1" outlineLevel="1" x14ac:dyDescent="0.3">
      <c r="A5">
        <f>3</f>
        <v>3</v>
      </c>
      <c r="G5" s="5"/>
      <c r="J5" s="24"/>
      <c r="K5" s="16"/>
      <c r="L5" s="16"/>
      <c r="M5" s="16"/>
      <c r="N5" s="16"/>
      <c r="O5" s="21"/>
      <c r="P5" s="27"/>
      <c r="Q5" s="27"/>
    </row>
    <row r="6" spans="1:17" hidden="1" outlineLevel="1" x14ac:dyDescent="0.3">
      <c r="A6" t="s">
        <v>2</v>
      </c>
      <c r="G6" s="5"/>
      <c r="J6" s="24"/>
      <c r="K6" s="16"/>
      <c r="L6" s="16"/>
      <c r="M6" s="16"/>
      <c r="N6" s="16"/>
      <c r="O6" s="21"/>
      <c r="P6" s="27"/>
      <c r="Q6" s="27"/>
    </row>
    <row r="7" spans="1:17" hidden="1" outlineLevel="1" x14ac:dyDescent="0.3">
      <c r="A7" t="s">
        <v>3</v>
      </c>
      <c r="G7" s="5"/>
      <c r="J7" s="23"/>
      <c r="K7" s="15"/>
      <c r="L7" s="15"/>
      <c r="M7" s="15"/>
      <c r="N7" s="15"/>
      <c r="O7" s="20"/>
      <c r="P7" s="26"/>
      <c r="Q7" s="26"/>
    </row>
    <row r="8" spans="1:17" hidden="1" outlineLevel="1" x14ac:dyDescent="0.3">
      <c r="A8" t="s">
        <v>5</v>
      </c>
    </row>
    <row r="9" spans="1:17" hidden="1" outlineLevel="1" x14ac:dyDescent="0.3"/>
    <row r="10" spans="1:17" hidden="1" outlineLevel="1" x14ac:dyDescent="0.3"/>
    <row r="11" spans="1:17" hidden="1" outlineLevel="1" x14ac:dyDescent="0.3">
      <c r="B11" s="38" t="s">
        <v>6</v>
      </c>
      <c r="C11" s="39"/>
      <c r="D11" s="40"/>
    </row>
    <row r="12" spans="1:17" hidden="1" outlineLevel="1" x14ac:dyDescent="0.3">
      <c r="B12" s="1" t="s">
        <v>7</v>
      </c>
      <c r="C12" s="2" t="s">
        <v>98</v>
      </c>
      <c r="D12" s="3"/>
    </row>
    <row r="13" spans="1:17" hidden="1" outlineLevel="1" x14ac:dyDescent="0.3">
      <c r="B13" s="1" t="s">
        <v>8</v>
      </c>
      <c r="C13" s="4" t="str" cm="1">
        <f t="array" aca="1" ref="C13" ca="1">_xll.VIEW(db_name&amp;":}ElementAttributes_}Clients","!","!")</f>
        <v>dcceew_geus:}ElementAttributes_}Clients</v>
      </c>
      <c r="D13" s="3"/>
    </row>
    <row r="14" spans="1:17" hidden="1" outlineLevel="1" x14ac:dyDescent="0.3">
      <c r="B14" s="1" t="s">
        <v>9</v>
      </c>
      <c r="C14" s="2" t="str" cm="1">
        <f t="array" aca="1" ref="C14" ca="1">_xll.TM1USER(db_name)</f>
        <v/>
      </c>
      <c r="D14" s="3"/>
    </row>
    <row r="15" spans="1:17" hidden="1" outlineLevel="1" x14ac:dyDescent="0.3">
      <c r="B15" s="1" t="s">
        <v>10</v>
      </c>
      <c r="C15" s="2" t="str" cm="1">
        <f t="array" aca="1" ref="C15" ca="1">_xll.DBR($C$13,$C$14,$B15)</f>
        <v>*KEY_ERR</v>
      </c>
      <c r="D15" s="3"/>
    </row>
    <row r="16" spans="1:17" hidden="1" outlineLevel="1" x14ac:dyDescent="0.3">
      <c r="B16" s="1" t="s">
        <v>11</v>
      </c>
      <c r="C16" s="2" t="str" cm="1">
        <f t="array" aca="1" ref="C16" ca="1">_xll.DBR($C$13,$C$14,$B16)</f>
        <v>*KEY_ERR</v>
      </c>
      <c r="D16" s="3"/>
    </row>
    <row r="17" spans="2:8" hidden="1" outlineLevel="1" x14ac:dyDescent="0.3">
      <c r="B17" s="1" t="s">
        <v>12</v>
      </c>
      <c r="C17" s="2" t="str">
        <f ca="1">IF(LEFT($C$15,6)="CAM_AD",$C$16,$C$15)</f>
        <v>*KEY_ERR</v>
      </c>
      <c r="D17" s="5"/>
    </row>
    <row r="18" spans="2:8" hidden="1" outlineLevel="1" x14ac:dyDescent="0.3"/>
    <row r="19" spans="2:8" hidden="1" outlineLevel="1" x14ac:dyDescent="0.3">
      <c r="B19" s="38" t="s">
        <v>13</v>
      </c>
      <c r="C19" s="39"/>
      <c r="D19" s="40"/>
    </row>
    <row r="20" spans="2:8" hidden="1" outlineLevel="1" x14ac:dyDescent="0.3">
      <c r="B20" s="1" t="s">
        <v>14</v>
      </c>
      <c r="C20" s="5" t="str" cm="1">
        <f t="array" aca="1" ref="C20" ca="1">_xll.VIEW(db_name&amp;":}ElementAttributes_variables","!","!")</f>
        <v>dcceew_geus:}ElementAttributes_variables</v>
      </c>
      <c r="D20" s="5"/>
    </row>
    <row r="21" spans="2:8" hidden="1" outlineLevel="1" x14ac:dyDescent="0.3">
      <c r="B21" s="1" t="s">
        <v>0</v>
      </c>
      <c r="C21" s="5" t="str" cm="1">
        <f t="array" aca="1" ref="C21" ca="1">_xll.DBR($C$20,$B21,"value")</f>
        <v>*KEY_ERR</v>
      </c>
      <c r="D21" s="5"/>
    </row>
    <row r="22" spans="2:8" hidden="1" outlineLevel="1" x14ac:dyDescent="0.3">
      <c r="B22" s="1" t="s">
        <v>15</v>
      </c>
      <c r="C22" s="5" t="str" cm="1">
        <f t="array" aca="1" ref="C22" ca="1">_xll.DBR($C$20,$B22,"value")</f>
        <v>*KEY_ERR</v>
      </c>
      <c r="D22" s="5"/>
    </row>
    <row r="23" spans="2:8" hidden="1" outlineLevel="1" x14ac:dyDescent="0.3">
      <c r="B23" s="1" t="s">
        <v>16</v>
      </c>
      <c r="C23" s="5" t="str" cm="1">
        <f t="array" aca="1" ref="C23" ca="1">_xll.DBR($C$20,$B23,"value")</f>
        <v>*KEY_ERR</v>
      </c>
      <c r="D23" s="5"/>
    </row>
    <row r="24" spans="2:8" hidden="1" outlineLevel="1" x14ac:dyDescent="0.3">
      <c r="B24" s="1" t="s">
        <v>17</v>
      </c>
      <c r="C24" s="5" t="str" cm="1">
        <f t="array" aca="1" ref="C24" ca="1">_xll.DBR($C$20,$B24,"value")</f>
        <v>*KEY_ERR</v>
      </c>
      <c r="D24" s="5"/>
    </row>
    <row r="25" spans="2:8" hidden="1" outlineLevel="1" x14ac:dyDescent="0.3">
      <c r="B25" s="1" t="s">
        <v>19</v>
      </c>
      <c r="C25" s="5" t="str" cm="1">
        <f t="array" aca="1" ref="C25" ca="1">_xll.DBR($C$20,$B25,"value")</f>
        <v>*KEY_ERR</v>
      </c>
      <c r="D25" s="5"/>
    </row>
    <row r="26" spans="2:8" hidden="1" outlineLevel="1" x14ac:dyDescent="0.3"/>
    <row r="27" spans="2:8" hidden="1" outlineLevel="1" x14ac:dyDescent="0.3">
      <c r="B27" s="38" t="s">
        <v>20</v>
      </c>
      <c r="C27" s="39"/>
      <c r="D27" s="40"/>
    </row>
    <row r="28" spans="2:8" hidden="1" outlineLevel="1" x14ac:dyDescent="0.3">
      <c r="B28" s="1" t="s">
        <v>21</v>
      </c>
      <c r="C28" s="5" t="str">
        <f ca="1">_xll.VIEW(db_name&amp;":sys_application","!","!")</f>
        <v>dcceew_geus:sys_application</v>
      </c>
      <c r="D28" s="5"/>
    </row>
    <row r="29" spans="2:8" hidden="1" outlineLevel="1" x14ac:dyDescent="0.3">
      <c r="B29" s="1" t="s">
        <v>22</v>
      </c>
      <c r="C29" t="s">
        <v>83</v>
      </c>
      <c r="D29" s="5"/>
    </row>
    <row r="30" spans="2:8" hidden="1" outlineLevel="1" x14ac:dyDescent="0.3">
      <c r="B30" s="5"/>
      <c r="C30" s="1" t="s">
        <v>24</v>
      </c>
      <c r="D30" s="1" t="s">
        <v>25</v>
      </c>
      <c r="E30" s="1" t="s">
        <v>26</v>
      </c>
      <c r="F30" s="1" t="s">
        <v>27</v>
      </c>
      <c r="G30" s="1" t="s">
        <v>28</v>
      </c>
      <c r="H30" s="1" t="s">
        <v>29</v>
      </c>
    </row>
    <row r="31" spans="2:8" hidden="1" outlineLevel="1" x14ac:dyDescent="0.3">
      <c r="B31" s="5" t="s">
        <v>30</v>
      </c>
      <c r="C31" s="5" t="str" cm="1">
        <f t="array" aca="1" ref="C31" ca="1">_xll.DBR($C$28,$B31,C$30)</f>
        <v>*KEY_ERR</v>
      </c>
      <c r="D31" s="5" t="str" cm="1">
        <f t="array" aca="1" ref="D31" ca="1">_xll.DBR($C$28,$B31,D$30)</f>
        <v>*KEY_ERR</v>
      </c>
      <c r="E31" s="5" t="str" cm="1">
        <f t="array" aca="1" ref="E31" ca="1">_xll.DBR($C$28,$B31,E$30)</f>
        <v>*KEY_ERR</v>
      </c>
      <c r="F31" s="5" t="str" cm="1">
        <f t="array" aca="1" ref="F31" ca="1">_xll.DBR($C$28,$B31,F$30)</f>
        <v>*KEY_ERR</v>
      </c>
      <c r="G31" s="5" t="str" cm="1">
        <f t="array" aca="1" ref="G31" ca="1">_xll.DBR($C$28,$B31,G$30)</f>
        <v>*KEY_ERR</v>
      </c>
      <c r="H31" s="5" t="str" cm="1">
        <f t="array" aca="1" ref="H31" ca="1">_xll.DBR($C$28,$B31,H$30)</f>
        <v>*KEY_ERR</v>
      </c>
    </row>
    <row r="32" spans="2:8" hidden="1" outlineLevel="1" x14ac:dyDescent="0.3">
      <c r="B32" s="5" t="s">
        <v>31</v>
      </c>
      <c r="C32" s="5" t="str" cm="1">
        <f t="array" aca="1" ref="C32" ca="1">_xll.DBR($C$28,$B32,C$30)</f>
        <v>*KEY_ERR</v>
      </c>
      <c r="D32" s="5" t="str" cm="1">
        <f t="array" aca="1" ref="D32" ca="1">_xll.DBR($C$28,$B32,D$30)</f>
        <v>*KEY_ERR</v>
      </c>
      <c r="E32" s="5" t="str" cm="1">
        <f t="array" aca="1" ref="E32" ca="1">_xll.DBR($C$28,$B32,E$30)</f>
        <v>*KEY_ERR</v>
      </c>
      <c r="F32" s="5" t="str" cm="1">
        <f t="array" aca="1" ref="F32" ca="1">_xll.DBR($C$28,$B32,F$30)</f>
        <v>*KEY_ERR</v>
      </c>
      <c r="G32" s="5" t="str" cm="1">
        <f t="array" aca="1" ref="G32" ca="1">_xll.DBR($C$28,$B32,G$30)</f>
        <v>*KEY_ERR</v>
      </c>
      <c r="H32" s="5" t="str" cm="1">
        <f t="array" aca="1" ref="H32" ca="1">_xll.DBR($C$28,$B32,H$30)</f>
        <v>*KEY_ERR</v>
      </c>
    </row>
    <row r="33" spans="2:8" hidden="1" outlineLevel="1" x14ac:dyDescent="0.3">
      <c r="B33" s="5" t="s">
        <v>32</v>
      </c>
      <c r="C33" s="5" t="str" cm="1">
        <f t="array" aca="1" ref="C33" ca="1">_xll.DBR($C$28,$B33,C$30)</f>
        <v>*KEY_ERR</v>
      </c>
      <c r="D33" s="5" t="str" cm="1">
        <f t="array" aca="1" ref="D33" ca="1">_xll.DBR($C$28,$B33,D$30)</f>
        <v>*KEY_ERR</v>
      </c>
      <c r="E33" s="5" t="str" cm="1">
        <f t="array" aca="1" ref="E33" ca="1">_xll.DBR($C$28,$B33,E$30)</f>
        <v>*KEY_ERR</v>
      </c>
      <c r="F33" s="5" t="str" cm="1">
        <f t="array" aca="1" ref="F33" ca="1">_xll.DBR($C$28,$B33,F$30)</f>
        <v>*KEY_ERR</v>
      </c>
      <c r="G33" s="5" t="str" cm="1">
        <f t="array" aca="1" ref="G33" ca="1">_xll.DBR($C$28,$B33,G$30)</f>
        <v>*KEY_ERR</v>
      </c>
      <c r="H33" s="5" t="str" cm="1">
        <f t="array" aca="1" ref="H33" ca="1">_xll.DBR($C$28,$B33,H$30)</f>
        <v>*KEY_ERR</v>
      </c>
    </row>
    <row r="34" spans="2:8" hidden="1" outlineLevel="1" x14ac:dyDescent="0.3">
      <c r="B34" s="5" t="s">
        <v>33</v>
      </c>
      <c r="C34" s="5" t="str" cm="1">
        <f t="array" aca="1" ref="C34" ca="1">_xll.DBR($C$28,$B34,C$30)</f>
        <v>*KEY_ERR</v>
      </c>
      <c r="D34" s="5" t="str" cm="1">
        <f t="array" aca="1" ref="D34" ca="1">_xll.DBR($C$28,$B34,D$30)</f>
        <v>*KEY_ERR</v>
      </c>
      <c r="E34" s="5" t="str" cm="1">
        <f t="array" aca="1" ref="E34" ca="1">_xll.DBR($C$28,$B34,E$30)</f>
        <v>*KEY_ERR</v>
      </c>
      <c r="F34" s="5" t="str" cm="1">
        <f t="array" aca="1" ref="F34" ca="1">_xll.DBR($C$28,$B34,F$30)</f>
        <v>*KEY_ERR</v>
      </c>
      <c r="G34" s="5" t="str" cm="1">
        <f t="array" aca="1" ref="G34" ca="1">_xll.DBR($C$28,$B34,G$30)</f>
        <v>*KEY_ERR</v>
      </c>
      <c r="H34" s="5" t="str" cm="1">
        <f t="array" aca="1" ref="H34" ca="1">_xll.DBR($C$28,$B34,H$30)</f>
        <v>*KEY_ERR</v>
      </c>
    </row>
    <row r="35" spans="2:8" hidden="1" outlineLevel="1" x14ac:dyDescent="0.3">
      <c r="B35" s="5" t="s">
        <v>34</v>
      </c>
      <c r="C35" s="5" t="str" cm="1">
        <f t="array" aca="1" ref="C35" ca="1">_xll.DBR($C$28,$B35,C$30)</f>
        <v>*KEY_ERR</v>
      </c>
      <c r="D35" s="5" t="str" cm="1">
        <f t="array" aca="1" ref="D35" ca="1">_xll.DBR($C$28,$B35,D$30)</f>
        <v>*KEY_ERR</v>
      </c>
      <c r="E35" s="5" t="str" cm="1">
        <f t="array" aca="1" ref="E35" ca="1">_xll.DBR($C$28,$B35,E$30)</f>
        <v>*KEY_ERR</v>
      </c>
      <c r="F35" s="5" t="str" cm="1">
        <f t="array" aca="1" ref="F35" ca="1">_xll.DBR($C$28,$B35,F$30)</f>
        <v>*KEY_ERR</v>
      </c>
      <c r="G35" s="5" t="str" cm="1">
        <f t="array" aca="1" ref="G35" ca="1">_xll.DBR($C$28,$B35,G$30)</f>
        <v>*KEY_ERR</v>
      </c>
      <c r="H35" s="5" t="str" cm="1">
        <f t="array" aca="1" ref="H35" ca="1">_xll.DBR($C$28,$B35,H$30)</f>
        <v>*KEY_ERR</v>
      </c>
    </row>
    <row r="36" spans="2:8" hidden="1" outlineLevel="1" x14ac:dyDescent="0.3">
      <c r="B36" s="5" t="s">
        <v>95</v>
      </c>
      <c r="C36" s="5" t="str" cm="1">
        <f t="array" aca="1" ref="C36" ca="1">_xll.DBR($C$28,$B36,C$30)</f>
        <v>*KEY_ERR</v>
      </c>
      <c r="D36" s="5" t="str" cm="1">
        <f t="array" aca="1" ref="D36" ca="1">_xll.DBR($C$28,$B36,D$30)</f>
        <v>*KEY_ERR</v>
      </c>
      <c r="E36" s="5" t="str" cm="1">
        <f t="array" aca="1" ref="E36" ca="1">_xll.DBR($C$28,$B36,E$30)</f>
        <v>*KEY_ERR</v>
      </c>
      <c r="F36" s="5" t="str" cm="1">
        <f t="array" aca="1" ref="F36" ca="1">_xll.DBR($C$28,$B36,F$30)</f>
        <v>*KEY_ERR</v>
      </c>
      <c r="G36" s="5" t="str" cm="1">
        <f t="array" aca="1" ref="G36" ca="1">_xll.DBR($C$28,$B36,G$30)</f>
        <v>*KEY_ERR</v>
      </c>
      <c r="H36" s="5" t="str" cm="1">
        <f t="array" aca="1" ref="H36" ca="1">_xll.DBR($C$28,$B36,H$30)</f>
        <v>*KEY_ERR</v>
      </c>
    </row>
    <row r="37" spans="2:8" hidden="1" outlineLevel="1" x14ac:dyDescent="0.3">
      <c r="B37" s="5" t="s">
        <v>35</v>
      </c>
      <c r="C37" s="5" t="str" cm="1">
        <f t="array" aca="1" ref="C37" ca="1">_xll.DBR($C$28,$B37,C$30)</f>
        <v>*KEY_ERR</v>
      </c>
      <c r="D37" s="5" t="str" cm="1">
        <f t="array" aca="1" ref="D37" ca="1">_xll.DBR($C$28,$B37,D$30)</f>
        <v>*KEY_ERR</v>
      </c>
      <c r="E37" s="5" t="str" cm="1">
        <f t="array" aca="1" ref="E37" ca="1">_xll.DBR($C$28,$B37,E$30)</f>
        <v>*KEY_ERR</v>
      </c>
      <c r="F37" s="5" t="str" cm="1">
        <f t="array" aca="1" ref="F37" ca="1">_xll.DBR($C$28,$B37,F$30)</f>
        <v>*KEY_ERR</v>
      </c>
      <c r="G37" s="5" t="str" cm="1">
        <f t="array" aca="1" ref="G37" ca="1">_xll.DBR($C$28,$B37,G$30)</f>
        <v>*KEY_ERR</v>
      </c>
      <c r="H37" s="5" t="str" cm="1">
        <f t="array" aca="1" ref="H37" ca="1">_xll.DBR($C$28,$B37,H$30)</f>
        <v>*KEY_ERR</v>
      </c>
    </row>
    <row r="38" spans="2:8" hidden="1" outlineLevel="1" x14ac:dyDescent="0.3">
      <c r="B38" s="5" t="s">
        <v>23</v>
      </c>
      <c r="C38" s="5" t="str" cm="1">
        <f t="array" aca="1" ref="C38" ca="1">_xll.DBR($C$28,$B38,C$30)</f>
        <v>*KEY_ERR</v>
      </c>
      <c r="D38" s="5" t="str" cm="1">
        <f t="array" aca="1" ref="D38" ca="1">_xll.DBR($C$28,$B38,D$30)</f>
        <v>*KEY_ERR</v>
      </c>
      <c r="E38" s="5" t="str" cm="1">
        <f t="array" aca="1" ref="E38" ca="1">_xll.DBR($C$28,$B38,E$30)</f>
        <v>*KEY_ERR</v>
      </c>
      <c r="F38" s="5" t="str" cm="1">
        <f t="array" aca="1" ref="F38" ca="1">_xll.DBR($C$28,$B38,F$30)</f>
        <v>*KEY_ERR</v>
      </c>
      <c r="G38" s="5" t="str" cm="1">
        <f t="array" aca="1" ref="G38" ca="1">_xll.DBR($C$28,$B38,G$30)</f>
        <v>*KEY_ERR</v>
      </c>
      <c r="H38" s="5" t="str" cm="1">
        <f t="array" aca="1" ref="H38" ca="1">_xll.DBR($C$28,$B38,H$30)</f>
        <v>*KEY_ERR</v>
      </c>
    </row>
    <row r="39" spans="2:8" hidden="1" outlineLevel="1" x14ac:dyDescent="0.3">
      <c r="B39" s="5" t="s">
        <v>36</v>
      </c>
      <c r="C39" s="5" t="str" cm="1">
        <f t="array" aca="1" ref="C39" ca="1">_xll.DBR($C$28,$B39,C$30)</f>
        <v>*KEY_ERR</v>
      </c>
      <c r="D39" s="5" t="str" cm="1">
        <f t="array" aca="1" ref="D39" ca="1">_xll.DBR($C$28,$B39,D$30)</f>
        <v>*KEY_ERR</v>
      </c>
      <c r="E39" s="5" t="str" cm="1">
        <f t="array" aca="1" ref="E39" ca="1">_xll.DBR($C$28,$B39,E$30)</f>
        <v>*KEY_ERR</v>
      </c>
      <c r="F39" s="5" t="str" cm="1">
        <f t="array" aca="1" ref="F39" ca="1">_xll.DBR($C$28,$B39,F$30)</f>
        <v>*KEY_ERR</v>
      </c>
      <c r="G39" s="5" t="str" cm="1">
        <f t="array" aca="1" ref="G39" ca="1">_xll.DBR($C$28,$B39,G$30)</f>
        <v>*KEY_ERR</v>
      </c>
      <c r="H39" s="5" t="str" cm="1">
        <f t="array" aca="1" ref="H39" ca="1">_xll.DBR($C$28,$B39,H$30)</f>
        <v>*KEY_ERR</v>
      </c>
    </row>
    <row r="40" spans="2:8" hidden="1" outlineLevel="1" x14ac:dyDescent="0.3">
      <c r="B40" s="6" t="s">
        <v>37</v>
      </c>
      <c r="C40" s="5" t="str" cm="1">
        <f t="array" aca="1" ref="C40" ca="1">_xll.DBR($C$28,$B40,C$30)</f>
        <v>*KEY_ERR</v>
      </c>
      <c r="D40" s="5" t="str" cm="1">
        <f t="array" aca="1" ref="D40" ca="1">_xll.DBR($C$28,$B40,D$30)</f>
        <v>*KEY_ERR</v>
      </c>
      <c r="E40" s="5" t="str" cm="1">
        <f t="array" aca="1" ref="E40" ca="1">_xll.DBR($C$28,$B40,E$30)</f>
        <v>*KEY_ERR</v>
      </c>
      <c r="F40" s="5" t="str" cm="1">
        <f t="array" aca="1" ref="F40" ca="1">_xll.DBR($C$28,$B40,F$30)</f>
        <v>*KEY_ERR</v>
      </c>
      <c r="G40" s="5" t="str" cm="1">
        <f t="array" aca="1" ref="G40" ca="1">_xll.DBR($C$28,$B40,G$30)</f>
        <v>*KEY_ERR</v>
      </c>
      <c r="H40" s="5" t="str" cm="1">
        <f t="array" aca="1" ref="H40" ca="1">_xll.DBR($C$28,$B40,H$30)</f>
        <v>*KEY_ERR</v>
      </c>
    </row>
    <row r="41" spans="2:8" hidden="1" outlineLevel="1" x14ac:dyDescent="0.3">
      <c r="B41" s="5" t="s">
        <v>96</v>
      </c>
      <c r="C41" s="5" t="str" cm="1">
        <f t="array" aca="1" ref="C41" ca="1">_xll.DBR($C$28,$B41,C$30)</f>
        <v>*KEY_ERR</v>
      </c>
      <c r="D41" s="5" t="str" cm="1">
        <f t="array" aca="1" ref="D41" ca="1">_xll.DBR($C$28,$B41,D$30)</f>
        <v>*KEY_ERR</v>
      </c>
      <c r="E41" s="5" t="str" cm="1">
        <f t="array" aca="1" ref="E41" ca="1">_xll.DBR($C$28,$B41,E$30)</f>
        <v>*KEY_ERR</v>
      </c>
      <c r="F41" s="5" t="str" cm="1">
        <f t="array" aca="1" ref="F41" ca="1">_xll.DBR($C$28,$B41,F$30)</f>
        <v>*KEY_ERR</v>
      </c>
      <c r="G41" s="5" t="str" cm="1">
        <f t="array" aca="1" ref="G41" ca="1">_xll.DBR($C$28,$B41,G$30)</f>
        <v>*KEY_ERR</v>
      </c>
      <c r="H41" s="5" t="str" cm="1">
        <f t="array" aca="1" ref="H41" ca="1">_xll.DBR($C$28,$B41,H$30)</f>
        <v>*KEY_ERR</v>
      </c>
    </row>
    <row r="42" spans="2:8" hidden="1" outlineLevel="1" x14ac:dyDescent="0.3">
      <c r="B42" s="6"/>
      <c r="C42" s="5"/>
      <c r="D42" s="5"/>
      <c r="E42" s="5"/>
      <c r="F42" s="5"/>
      <c r="G42" s="5"/>
      <c r="H42" s="5"/>
    </row>
    <row r="43" spans="2:8" hidden="1" outlineLevel="1" x14ac:dyDescent="0.3">
      <c r="B43" s="6"/>
      <c r="C43" s="5"/>
      <c r="D43" s="5"/>
      <c r="E43" s="5"/>
      <c r="F43" s="5"/>
      <c r="G43" s="5"/>
      <c r="H43" s="5"/>
    </row>
    <row r="44" spans="2:8" hidden="1" outlineLevel="1" x14ac:dyDescent="0.3">
      <c r="B44" s="5"/>
      <c r="C44" s="5"/>
      <c r="D44" s="5"/>
      <c r="E44" s="5"/>
      <c r="F44" s="5"/>
      <c r="G44" s="5"/>
      <c r="H44" s="5"/>
    </row>
    <row r="45" spans="2:8" hidden="1" outlineLevel="1" x14ac:dyDescent="0.3">
      <c r="B45" s="7" t="s">
        <v>38</v>
      </c>
      <c r="C45" s="8" t="s">
        <v>39</v>
      </c>
    </row>
    <row r="46" spans="2:8" hidden="1" outlineLevel="1" x14ac:dyDescent="0.3"/>
    <row r="47" spans="2:8" hidden="1" outlineLevel="1" x14ac:dyDescent="0.3">
      <c r="B47" s="38" t="s">
        <v>40</v>
      </c>
      <c r="C47" s="39"/>
      <c r="D47" s="40"/>
    </row>
    <row r="48" spans="2:8" hidden="1" outlineLevel="1" x14ac:dyDescent="0.3">
      <c r="B48" s="5" t="s">
        <v>41</v>
      </c>
      <c r="C48" s="5" t="str">
        <f ca="1">_xll.TM1RPTVIEW(db_name&amp;":AE adjustments:1", 1, _xll.TM1RPTTITLE(db_name&amp;":headline year",$K$85), _xll.TM1RPTTITLE(db_name&amp;":scenario",$K$86), _xll.TM1RPTTITLE(db_name&amp;":status",$K$87), _xll.TM1RPTTITLE(db_name&amp;":outcome",$C$64), _xll.TM1RPTTITLE(db_name&amp;":related entity",$C$65), _xll.TM1RPTTITLE(db_name&amp;":function",$C$66), _xll.TM1RPTTITLE(db_name&amp;":reason",$C$67), _xll.TM1RPTTITLE(db_name&amp;":spp",$C$68), _xll.TM1RPTTITLE(db_name&amp;":appropriation type",$C$69), _xll.TM1RPTTITLE(db_name&amp;":movement account",$K$90), _xll.TM1RPTTITLE(db_name&amp;":appropriation item",$C$70), _xll.TM1RPTTITLE(db_name&amp;":programme",$K$88), _xll.TM1RPTTITLE(db_name&amp;":account",$K$89), _xll.TM1RPTTITLE(db_name&amp;":id",$C$71), _xll.TM1RPTTITLE(db_name&amp;":jurisdiction",$C$72),TM1RPTFMTRNG,TM1RPTFMTIDCOL)</f>
        <v>dcceew_geus:AE adjustments:1</v>
      </c>
      <c r="D48" s="5"/>
    </row>
    <row r="49" spans="2:16" hidden="1" outlineLevel="1" x14ac:dyDescent="0.3">
      <c r="B49" s="5" t="s">
        <v>42</v>
      </c>
      <c r="C49" s="5" t="str">
        <f ca="1">_xll.VIEW(db_name&amp;":AE adjustments",$K$85,$K$86,$K$87,$C$64,$C$65,$C$66,$C$67,$C$68,"!",$C$69,$K$90,$C$70,$K$88,$K$89,$C$71,$C$72,"!")</f>
        <v>dcceew_geus:AE adjustments</v>
      </c>
      <c r="D49" s="5"/>
    </row>
    <row r="50" spans="2:16" hidden="1" outlineLevel="1" x14ac:dyDescent="0.3">
      <c r="C50" s="9" t="s">
        <v>43</v>
      </c>
      <c r="D50" s="9" t="s">
        <v>44</v>
      </c>
      <c r="E50" s="9" t="s">
        <v>45</v>
      </c>
      <c r="F50" s="31" t="s">
        <v>92</v>
      </c>
    </row>
    <row r="51" spans="2:16" hidden="1" outlineLevel="1" x14ac:dyDescent="0.3">
      <c r="B51" s="5" t="s">
        <v>82</v>
      </c>
      <c r="C51" s="5" t="str">
        <f ca="1">IF($O$85="Collapse",$D51,IF($O$86="No",$E51,$F$51))</f>
        <v>{FILTER( {TM1FILTERBYLEVEL( {TM1SUBSETALL( [measure code] )}, 0)}, [measure code].[Funding Life] = "terminating")}</v>
      </c>
      <c r="D51" s="5" t="str">
        <f ca="1">"{[Measure Code].[" &amp;$C$73 &amp; "]}"</f>
        <v>{[Measure Code].[]}</v>
      </c>
      <c r="E51" s="5" t="str">
        <f ca="1">"{EXCEPT( {TM1FILTERBYLEVEL( {TM1DRILLDOWNMEMBER( {[Measure Code].[" &amp;$C$73 &amp; "]}, ALL, RECURSIVE )}, 0)}, { [Measure Code].[No Measure]})}"</f>
        <v>{EXCEPT( {TM1FILTERBYLEVEL( {TM1DRILLDOWNMEMBER( {[Measure Code].[]}, ALL, RECURSIVE )}, 0)}, { [Measure Code].[No Measure]})}</v>
      </c>
      <c r="F51" t="s">
        <v>91</v>
      </c>
    </row>
    <row r="52" spans="2:16" hidden="1" outlineLevel="1" x14ac:dyDescent="0.3">
      <c r="B52" s="5" t="s">
        <v>46</v>
      </c>
      <c r="C52" s="5" t="str">
        <f ca="1">IF($O$85="Collapse",$D52,$E52)</f>
        <v>{TM1FILTERBYLEVEL( {TM1DRILLDOWNMEMBER( {[programme].[]}, ALL, RECURSIVE )}, 0)}</v>
      </c>
      <c r="D52" s="5" t="str">
        <f ca="1">"{[programme].[" &amp;$K$88 &amp; "]}"</f>
        <v>{[programme].[]}</v>
      </c>
      <c r="E52" s="5" t="str">
        <f ca="1">"{TM1FILTERBYLEVEL( {TM1DRILLDOWNMEMBER( {[programme].[" &amp;$K$88 &amp; "]}, ALL, RECURSIVE )}, 0)}"</f>
        <v>{TM1FILTERBYLEVEL( {TM1DRILLDOWNMEMBER( {[programme].[]}, ALL, RECURSIVE )}, 0)}</v>
      </c>
    </row>
    <row r="53" spans="2:16" hidden="1" outlineLevel="1" x14ac:dyDescent="0.3">
      <c r="B53" s="5" t="s">
        <v>47</v>
      </c>
      <c r="C53" s="5" t="str">
        <f ca="1">IF($O$85="Collapse",$D53,$E53)</f>
        <v>{TM1FILTERBYLEVEL( {TM1DRILLDOWNMEMBER( {[outcome].[]}, ALL, RECURSIVE )}, 0)}</v>
      </c>
      <c r="D53" s="5" t="str">
        <f ca="1">"{[outcome].[" &amp;$K$87 &amp; "]}"</f>
        <v>{[outcome].[]}</v>
      </c>
      <c r="E53" s="5" t="str">
        <f ca="1">"{TM1FILTERBYLEVEL( {TM1DRILLDOWNMEMBER( {[outcome].[" &amp;$K$87 &amp; "]}, ALL, RECURSIVE )}, 0)}"</f>
        <v>{TM1FILTERBYLEVEL( {TM1DRILLDOWNMEMBER( {[outcome].[]}, ALL, RECURSIVE )}, 0)}</v>
      </c>
    </row>
    <row r="54" spans="2:16" hidden="1" outlineLevel="1" x14ac:dyDescent="0.3">
      <c r="B54" s="5" t="s">
        <v>48</v>
      </c>
      <c r="C54" s="5" t="str">
        <f ca="1">IF($O$85="Collapse",$D54,$E54)</f>
        <v>{EXCEPT({DESCENDANTS ([appropriation item].[Total approp item],1,SELF_AND_BEFORE)},{[appropriation item].[Total approp item]})}</v>
      </c>
      <c r="D54" s="5" t="s">
        <v>49</v>
      </c>
      <c r="E54" s="5" t="s">
        <v>50</v>
      </c>
    </row>
    <row r="55" spans="2:16" hidden="1" outlineLevel="1" x14ac:dyDescent="0.3">
      <c r="B55" s="5" t="s">
        <v>51</v>
      </c>
      <c r="C55" s="5" t="str">
        <f ca="1">IF($O$85="Collapse",$D55,$E55)</f>
        <v>{TM1FILTERBYLEVEL( {TM1SUBSETALL( [reason] )}, 0)}</v>
      </c>
      <c r="D55" s="5" t="s">
        <v>52</v>
      </c>
      <c r="E55" s="5" t="s">
        <v>52</v>
      </c>
    </row>
    <row r="56" spans="2:16" hidden="1" outlineLevel="1" x14ac:dyDescent="0.3">
      <c r="B56" s="5" t="s">
        <v>53</v>
      </c>
      <c r="C56" s="5" t="str">
        <f ca="1">IF($Q$87="No",$D56,$E56)</f>
        <v>{TM1DRILLDOWNMEMBER( {[id].[New Adjustments]}, ALL, RECURSIVE )}</v>
      </c>
      <c r="D56" s="5" t="s">
        <v>54</v>
      </c>
      <c r="E56" s="5" t="str">
        <f>"{TM1DRILLDOWNMEMBER( {[id].[New Adjustments]}, ALL, RECURSIVE )}"</f>
        <v>{TM1DRILLDOWNMEMBER( {[id].[New Adjustments]}, ALL, RECURSIVE )}</v>
      </c>
    </row>
    <row r="57" spans="2:16" hidden="1" outlineLevel="1" x14ac:dyDescent="0.3"/>
    <row r="58" spans="2:16" hidden="1" outlineLevel="1" x14ac:dyDescent="0.3">
      <c r="B58" s="38" t="s">
        <v>85</v>
      </c>
      <c r="C58" s="39"/>
      <c r="D58" s="40"/>
    </row>
    <row r="59" spans="2:16" hidden="1" outlineLevel="1" x14ac:dyDescent="0.3">
      <c r="B59" s="5" t="s">
        <v>86</v>
      </c>
      <c r="C59" s="5" t="str" cm="1">
        <f t="array" aca="1" ref="C59" ca="1">_xll.VIEW(db_name&amp;":}ElementAttributes_measure code","!","!")</f>
        <v>dcceew_geus:}ElementAttributes_measure code</v>
      </c>
      <c r="D59" s="5"/>
    </row>
    <row r="60" spans="2:16" hidden="1" outlineLevel="1" x14ac:dyDescent="0.3">
      <c r="B60" s="5" t="s">
        <v>87</v>
      </c>
      <c r="C60" s="5" t="str" cm="1">
        <f t="array" aca="1" ref="C60" ca="1">_xll.SUBNM(db_name&amp;":}ElementAttributes_measure code","","sys_display terminating year")</f>
        <v/>
      </c>
      <c r="D60" s="5"/>
    </row>
    <row r="61" spans="2:16" hidden="1" outlineLevel="1" x14ac:dyDescent="0.3"/>
    <row r="62" spans="2:16" hidden="1" outlineLevel="1" x14ac:dyDescent="0.3"/>
    <row r="63" spans="2:16" hidden="1" outlineLevel="1" x14ac:dyDescent="0.3">
      <c r="B63" s="38" t="s">
        <v>55</v>
      </c>
      <c r="C63" s="39"/>
      <c r="D63" s="40"/>
      <c r="J63" s="5" t="str">
        <f ca="1">RIGHT(psHLYear,9)</f>
        <v/>
      </c>
      <c r="K63" s="5" t="str">
        <f ca="1">_xll.DIMNM(db_name&amp;":period",_xll.DIMIX(db_name&amp;":period",$J$63)+K64)</f>
        <v/>
      </c>
      <c r="L63" s="5" t="str">
        <f ca="1">_xll.DIMNM(db_name&amp;":period",_xll.DIMIX(db_name&amp;":period",$J$63)+L64)</f>
        <v/>
      </c>
      <c r="M63" s="5" t="str">
        <f ca="1">_xll.DIMNM(db_name&amp;":period",_xll.DIMIX(db_name&amp;":period",$J$63)+M64)</f>
        <v/>
      </c>
      <c r="N63" s="5" t="str">
        <f ca="1">_xll.DIMNM(db_name&amp;":period",_xll.DIMIX(db_name&amp;":period",$J$63)+N64)</f>
        <v/>
      </c>
      <c r="O63" s="5" t="str">
        <f ca="1">_xll.DIMNM(db_name&amp;":period",_xll.DIMIX(db_name&amp;":period",$J$63)+O64)</f>
        <v/>
      </c>
      <c r="P63" s="5"/>
    </row>
    <row r="64" spans="2:16" hidden="1" outlineLevel="1" x14ac:dyDescent="0.3">
      <c r="B64" s="18" t="s">
        <v>61</v>
      </c>
      <c r="C64" s="4" t="str">
        <f ca="1">_xll.SUBNM(db_name&amp;":outcome","","Total outcomes")</f>
        <v/>
      </c>
      <c r="D64" s="5"/>
      <c r="J64" s="5" t="s">
        <v>56</v>
      </c>
      <c r="K64" s="5">
        <v>-1</v>
      </c>
      <c r="L64" s="5">
        <v>0</v>
      </c>
      <c r="M64" s="5">
        <v>1</v>
      </c>
      <c r="N64" s="5">
        <v>2</v>
      </c>
      <c r="O64" s="5">
        <v>3</v>
      </c>
      <c r="P64" s="5"/>
    </row>
    <row r="65" spans="1:17" hidden="1" outlineLevel="1" x14ac:dyDescent="0.3">
      <c r="B65" s="18" t="s">
        <v>62</v>
      </c>
      <c r="C65" s="5" t="str">
        <f ca="1">_xll.SUBNM(db_name&amp;":related entity","","Total related entity")</f>
        <v/>
      </c>
      <c r="D65" s="5"/>
    </row>
    <row r="66" spans="1:17" hidden="1" outlineLevel="1" x14ac:dyDescent="0.3">
      <c r="B66" s="18" t="s">
        <v>63</v>
      </c>
      <c r="C66" s="5" t="str">
        <f ca="1">_xll.SUBNM(db_name&amp;":function","","Total functions")</f>
        <v/>
      </c>
      <c r="D66" s="5"/>
      <c r="J66" s="11" t="s">
        <v>58</v>
      </c>
      <c r="K66" s="36" t="str">
        <f ca="1">$O$63</f>
        <v/>
      </c>
      <c r="L66" s="37"/>
    </row>
    <row r="67" spans="1:17" hidden="1" outlineLevel="1" x14ac:dyDescent="0.3">
      <c r="B67" s="18" t="s">
        <v>64</v>
      </c>
      <c r="C67" s="5" t="str">
        <f ca="1">_xll.SUBNM(db_name&amp;":reason","","Total reason")</f>
        <v/>
      </c>
      <c r="D67" s="5"/>
    </row>
    <row r="68" spans="1:17" hidden="1" outlineLevel="1" x14ac:dyDescent="0.3">
      <c r="B68" s="18" t="s">
        <v>65</v>
      </c>
      <c r="C68" s="5" t="str">
        <f ca="1">_xll.SUBNM(db_name&amp;":spp","","Total SPP")</f>
        <v/>
      </c>
      <c r="D68" s="5"/>
    </row>
    <row r="69" spans="1:17" hidden="1" outlineLevel="1" x14ac:dyDescent="0.3">
      <c r="B69" s="18" t="s">
        <v>66</v>
      </c>
      <c r="C69" s="5" t="str">
        <f ca="1">_xll.SUBNM(db_name&amp;":appropriation type","","Total approp types")</f>
        <v/>
      </c>
      <c r="D69" s="5"/>
    </row>
    <row r="70" spans="1:17" hidden="1" outlineLevel="1" x14ac:dyDescent="0.3">
      <c r="B70" s="18" t="s">
        <v>67</v>
      </c>
      <c r="C70" s="5" t="str">
        <f ca="1">_xll.SUBNM(db_name&amp;":appropriation item","","Total approp item")</f>
        <v/>
      </c>
      <c r="D70" s="5"/>
    </row>
    <row r="71" spans="1:17" hidden="1" outlineLevel="1" x14ac:dyDescent="0.3">
      <c r="B71" s="18" t="s">
        <v>68</v>
      </c>
      <c r="C71" s="5" t="str">
        <f ca="1">_xll.SUBNM(db_name&amp;":id","","Total IDs")</f>
        <v/>
      </c>
      <c r="D71" s="5"/>
    </row>
    <row r="72" spans="1:17" hidden="1" outlineLevel="1" x14ac:dyDescent="0.3">
      <c r="B72" s="18" t="s">
        <v>69</v>
      </c>
      <c r="C72" s="5" t="str">
        <f ca="1">_xll.SUBNM(db_name&amp;":jurisdiction","","Total jurisdictions")</f>
        <v/>
      </c>
      <c r="D72" s="5"/>
    </row>
    <row r="73" spans="1:17" hidden="1" outlineLevel="1" x14ac:dyDescent="0.3">
      <c r="B73" s="18" t="s">
        <v>74</v>
      </c>
      <c r="C73" s="5" t="str">
        <f ca="1">_xll.SUBNM(db_name&amp;":Measure Code","","Total Measures")</f>
        <v/>
      </c>
      <c r="D73" s="5"/>
    </row>
    <row r="74" spans="1:17" hidden="1" outlineLevel="1" x14ac:dyDescent="0.3"/>
    <row r="75" spans="1:17" hidden="1" outlineLevel="1" x14ac:dyDescent="0.3"/>
    <row r="76" spans="1:17" hidden="1" outlineLevel="1" x14ac:dyDescent="0.3"/>
    <row r="77" spans="1:17" ht="36" customHeight="1" collapsed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 t="s">
        <v>93</v>
      </c>
    </row>
    <row r="78" spans="1:17" ht="4.5" customHeight="1" x14ac:dyDescent="0.3"/>
    <row r="79" spans="1:17" ht="24" customHeight="1" x14ac:dyDescent="0.3"/>
    <row r="80" spans="1:17" ht="1.5" customHeight="1" x14ac:dyDescent="0.3">
      <c r="J80" s="10"/>
      <c r="K80" s="10"/>
      <c r="L80" s="10"/>
      <c r="M80" s="10"/>
      <c r="N80" s="10"/>
      <c r="O80" s="10"/>
      <c r="P80" s="10"/>
      <c r="Q80" s="10"/>
    </row>
    <row r="81" spans="7:17" ht="4.5" customHeight="1" x14ac:dyDescent="0.3"/>
    <row r="82" spans="7:17" x14ac:dyDescent="0.3">
      <c r="J82" s="34" t="s">
        <v>84</v>
      </c>
    </row>
    <row r="83" spans="7:17" ht="4.5" customHeight="1" x14ac:dyDescent="0.3"/>
    <row r="84" spans="7:17" x14ac:dyDescent="0.3">
      <c r="K84" s="42" t="s">
        <v>57</v>
      </c>
      <c r="L84" s="43"/>
      <c r="N84" s="42" t="s">
        <v>80</v>
      </c>
      <c r="O84" s="43"/>
    </row>
    <row r="85" spans="7:17" x14ac:dyDescent="0.3">
      <c r="J85" s="11" t="s">
        <v>59</v>
      </c>
      <c r="K85" s="45" t="str">
        <f ca="1">_xll.SUBNM(db_name&amp;":headline year","",$C$21)</f>
        <v/>
      </c>
      <c r="L85" s="46"/>
      <c r="N85" s="11" t="s">
        <v>81</v>
      </c>
      <c r="O85" s="33" t="str" cm="1">
        <f t="array" aca="1" ref="O85" ca="1">_xll.SUBNM(db_name&amp;":sys_report display","","Expand")</f>
        <v/>
      </c>
    </row>
    <row r="86" spans="7:17" x14ac:dyDescent="0.3">
      <c r="J86" s="11" t="s">
        <v>71</v>
      </c>
      <c r="K86" s="45" t="str">
        <f ca="1">_xll.SUBNM(db_name&amp;":scenario","",$C$22)</f>
        <v/>
      </c>
      <c r="L86" s="46"/>
      <c r="N86" s="11" t="s">
        <v>88</v>
      </c>
      <c r="O86" s="33" t="str" cm="1">
        <f t="array" aca="1" ref="O86" ca="1">_xll.SUBNM(db_name&amp;":sys_YesNo","","Yes")</f>
        <v/>
      </c>
    </row>
    <row r="87" spans="7:17" x14ac:dyDescent="0.3">
      <c r="J87" s="11" t="s">
        <v>60</v>
      </c>
      <c r="K87" s="45" t="str">
        <f ca="1">_xll.SUBNM(db_name&amp;":status","","Total approved")</f>
        <v/>
      </c>
      <c r="L87" s="46"/>
    </row>
    <row r="88" spans="7:17" x14ac:dyDescent="0.3">
      <c r="J88" s="11" t="s">
        <v>70</v>
      </c>
      <c r="K88" s="45" t="str">
        <f ca="1">_xll.SUBNM(db_name&amp;":programme","","Administered Programmes","code and description")</f>
        <v/>
      </c>
      <c r="L88" s="46"/>
    </row>
    <row r="89" spans="7:17" x14ac:dyDescent="0.3">
      <c r="J89" s="11" t="s">
        <v>72</v>
      </c>
      <c r="K89" s="45" t="str">
        <f ca="1">_xll.SUBNM(db_name&amp;":account","","sys_Meas Total Resourcing","code and description")</f>
        <v/>
      </c>
      <c r="L89" s="46"/>
    </row>
    <row r="90" spans="7:17" x14ac:dyDescent="0.3">
      <c r="J90" s="11" t="s">
        <v>73</v>
      </c>
      <c r="K90" s="45" t="str">
        <f ca="1">_xll.SUBNM(db_name&amp;":movement account","","sys_Meas Movement Account","code and description")</f>
        <v/>
      </c>
      <c r="L90" s="46"/>
      <c r="O90" s="32" t="s">
        <v>94</v>
      </c>
      <c r="P90" s="41">
        <f ca="1">NOW()</f>
        <v>44972.398040972221</v>
      </c>
      <c r="Q90" s="41"/>
    </row>
    <row r="91" spans="7:17" ht="4.2" customHeight="1" x14ac:dyDescent="0.3"/>
    <row r="92" spans="7:17" x14ac:dyDescent="0.3">
      <c r="K92" s="47" t="s">
        <v>97</v>
      </c>
      <c r="L92" s="48"/>
      <c r="M92" s="48"/>
      <c r="N92" s="48"/>
      <c r="O92" s="49"/>
    </row>
    <row r="93" spans="7:17" ht="13.5" customHeight="1" x14ac:dyDescent="0.3">
      <c r="J93" s="44" t="s">
        <v>74</v>
      </c>
      <c r="K93" s="12" t="str">
        <f ca="1">K$63</f>
        <v/>
      </c>
      <c r="L93" s="12" t="str">
        <f t="shared" ref="L93:O93" ca="1" si="0">L$63</f>
        <v/>
      </c>
      <c r="M93" s="12" t="str">
        <f t="shared" ca="1" si="0"/>
        <v/>
      </c>
      <c r="N93" s="12" t="str">
        <f t="shared" ca="1" si="0"/>
        <v/>
      </c>
      <c r="O93" s="12" t="str">
        <f t="shared" ca="1" si="0"/>
        <v/>
      </c>
      <c r="P93" s="12"/>
      <c r="Q93" s="12"/>
    </row>
    <row r="94" spans="7:17" x14ac:dyDescent="0.3">
      <c r="J94" s="44"/>
      <c r="K94" s="12" t="s">
        <v>75</v>
      </c>
      <c r="L94" s="12" t="s">
        <v>18</v>
      </c>
      <c r="M94" s="12" t="s">
        <v>76</v>
      </c>
      <c r="N94" s="12" t="s">
        <v>76</v>
      </c>
      <c r="O94" s="12" t="s">
        <v>76</v>
      </c>
      <c r="P94" s="12"/>
      <c r="Q94" s="12" t="s">
        <v>78</v>
      </c>
    </row>
    <row r="95" spans="7:17" x14ac:dyDescent="0.3">
      <c r="G95" t="s">
        <v>90</v>
      </c>
      <c r="J95" s="44"/>
      <c r="K95" s="12" t="s">
        <v>77</v>
      </c>
      <c r="L95" s="12" t="s">
        <v>77</v>
      </c>
      <c r="M95" s="12" t="s">
        <v>77</v>
      </c>
      <c r="N95" s="12" t="s">
        <v>77</v>
      </c>
      <c r="O95" s="12" t="s">
        <v>77</v>
      </c>
      <c r="P95" s="12" t="s">
        <v>89</v>
      </c>
      <c r="Q95" s="12" t="s">
        <v>79</v>
      </c>
    </row>
    <row r="96" spans="7:17" ht="4.2" customHeight="1" x14ac:dyDescent="0.3">
      <c r="J96" s="17"/>
      <c r="K96" s="17"/>
      <c r="L96" s="17"/>
      <c r="M96" s="17"/>
      <c r="N96" s="17"/>
      <c r="O96" s="17"/>
      <c r="P96" s="17"/>
      <c r="Q96" s="17"/>
    </row>
    <row r="97" spans="1:17" x14ac:dyDescent="0.3">
      <c r="A97" t="str" cm="1">
        <f t="array" aca="1" ref="A97" ca="1">IF(_xll.TM1RPTELISCONSOLIDATED($J$97,$J97),IF(_xll.TM1RPTELLEV($J$97,$J97)&lt;=3,_xll.TM1RPTELLEV($J$97,$J97),"D"),"N")</f>
        <v>N</v>
      </c>
      <c r="G97" s="5" t="str" cm="1">
        <f t="array" aca="1" ref="G97" ca="1">_xll.DBR($C$59,$J97,G$95)</f>
        <v>*KEY_ERR</v>
      </c>
      <c r="J97" s="35" t="str" cm="1">
        <f t="array" aca="1" ref="J97" ca="1">_xll.TM1RPTROW($C$48,db_name&amp;":measure code","","","CBMS code and description",0,$C$51)</f>
        <v/>
      </c>
      <c r="K97" s="15" t="str" cm="1">
        <f t="array" aca="1" ref="K97" ca="1">_xll.DBRW($C$48,$K$85,$K$86,$K$87,$C$64,$C$65,$C$66,$C$67,$C$68,$J97,$C$69,$K$90,$C$70,$K$88,$K$89,$C$71,$C$72,K$93)</f>
        <v/>
      </c>
      <c r="L97" s="15" t="str" cm="1">
        <f t="array" aca="1" ref="L97" ca="1">_xll.DBRW($C$48,$K$85,$K$86,$K$87,$C$64,$C$65,$C$66,$C$67,$C$68,$J97,$C$69,$K$90,$C$70,$K$88,$K$89,$C$71,$C$72,L$93)</f>
        <v/>
      </c>
      <c r="M97" s="15" t="str" cm="1">
        <f t="array" aca="1" ref="M97" ca="1">_xll.DBRW($C$48,$K$85,$K$86,$K$87,$C$64,$C$65,$C$66,$C$67,$C$68,$J97,$C$69,$K$90,$C$70,$K$88,$K$89,$C$71,$C$72,M$93)</f>
        <v/>
      </c>
      <c r="N97" s="15" t="str" cm="1">
        <f t="array" aca="1" ref="N97" ca="1">_xll.DBRW($C$48,$K$85,$K$86,$K$87,$C$64,$C$65,$C$66,$C$67,$C$68,$J97,$C$69,$K$90,$C$70,$K$88,$K$89,$C$71,$C$72,N$93)</f>
        <v/>
      </c>
      <c r="O97" s="20" t="str" cm="1">
        <f t="array" aca="1" ref="O97" ca="1">_xll.DBRW($C$48,$K$85,$K$86,$K$87,$C$64,$C$65,$C$66,$C$67,$C$68,$J97,$C$69,$K$90,$C$70,$K$88,$K$89,$C$71,$C$72,O$93)</f>
        <v/>
      </c>
      <c r="P97" s="26" t="str">
        <f ca="1">$G97</f>
        <v>*KEY_ERR</v>
      </c>
      <c r="Q97" s="26" t="str" cm="1">
        <f t="array" aca="1" ref="Q97" ca="1">_xll.DBR($C$59,$J97, $C$60)</f>
        <v>*KEY_ERR</v>
      </c>
    </row>
    <row r="98" spans="1:17" ht="4.2" customHeight="1" x14ac:dyDescent="0.3"/>
    <row r="99" spans="1:17" x14ac:dyDescent="0.3">
      <c r="F99" s="13" t="s">
        <v>1</v>
      </c>
      <c r="J99" s="28" t="str">
        <f ca="1">CONCATENATE("Total", " ", RIGHT(psHLYear,9), " ", "Measures")</f>
        <v>Total  Measures</v>
      </c>
      <c r="K99" s="29">
        <f ca="1">SUM(K97:K98)</f>
        <v>0</v>
      </c>
      <c r="L99" s="29">
        <f ca="1">SUM(L97:L98)</f>
        <v>0</v>
      </c>
      <c r="M99" s="29">
        <f ca="1">SUM(M97:M98)</f>
        <v>0</v>
      </c>
      <c r="N99" s="29">
        <f ca="1">SUM(N97:N98)</f>
        <v>0</v>
      </c>
      <c r="O99" s="30">
        <f ca="1">SUM(O97:O98)</f>
        <v>0</v>
      </c>
    </row>
    <row r="100" spans="1:17" ht="4.5" customHeight="1" x14ac:dyDescent="0.3"/>
    <row r="101" spans="1:17" x14ac:dyDescent="0.3">
      <c r="O101" s="32" t="s">
        <v>94</v>
      </c>
      <c r="P101" s="41">
        <f ca="1">NOW()</f>
        <v>44972.398040972221</v>
      </c>
      <c r="Q101" s="41"/>
    </row>
  </sheetData>
  <sheetProtection sheet="1" objects="1" scenarios="1"/>
  <mergeCells count="19">
    <mergeCell ref="P101:Q101"/>
    <mergeCell ref="P90:Q90"/>
    <mergeCell ref="N84:O84"/>
    <mergeCell ref="J93:J95"/>
    <mergeCell ref="K84:L84"/>
    <mergeCell ref="K85:L85"/>
    <mergeCell ref="K87:L87"/>
    <mergeCell ref="K88:L88"/>
    <mergeCell ref="K86:L86"/>
    <mergeCell ref="K89:L89"/>
    <mergeCell ref="K90:L90"/>
    <mergeCell ref="K92:O92"/>
    <mergeCell ref="K66:L66"/>
    <mergeCell ref="B11:D11"/>
    <mergeCell ref="B19:D19"/>
    <mergeCell ref="B27:D27"/>
    <mergeCell ref="B47:D47"/>
    <mergeCell ref="B63:D63"/>
    <mergeCell ref="B58:D58"/>
  </mergeCells>
  <conditionalFormatting sqref="P2:P7">
    <cfRule type="containsText" dxfId="1" priority="29" operator="containsText" text="term">
      <formula>NOT(ISERROR(SEARCH("term",P2)))</formula>
    </cfRule>
  </conditionalFormatting>
  <conditionalFormatting sqref="P97">
    <cfRule type="containsText" dxfId="0" priority="1" operator="containsText" text="term">
      <formula>NOT(ISERROR(SEARCH("term",P97)))</formula>
    </cfRule>
  </conditionalFormatting>
  <pageMargins left="0.70866141732283472" right="0.70866141732283472" top="0.74803149606299213" bottom="0.74803149606299213" header="0.31496062992125984" footer="0.31496062992125984"/>
  <pageSetup paperSize="9" scale="59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1" r:id="rId4" name="TIButton7">
          <controlPr defaultSize="0" print="0" autoLine="0" r:id="rId5">
            <anchor moveWithCells="1" sizeWithCells="1">
              <from>
                <xdr:col>9</xdr:col>
                <xdr:colOff>4579620</xdr:colOff>
                <xdr:row>78</xdr:row>
                <xdr:rowOff>0</xdr:rowOff>
              </from>
              <to>
                <xdr:col>9</xdr:col>
                <xdr:colOff>5516880</xdr:colOff>
                <xdr:row>78</xdr:row>
                <xdr:rowOff>251460</xdr:rowOff>
              </to>
            </anchor>
          </controlPr>
        </control>
      </mc:Choice>
      <mc:Fallback>
        <control shapeId="1031" r:id="rId4" name="TIButton7"/>
      </mc:Fallback>
    </mc:AlternateContent>
    <mc:AlternateContent xmlns:mc="http://schemas.openxmlformats.org/markup-compatibility/2006">
      <mc:Choice Requires="x14">
        <control shapeId="1030" r:id="rId6" name="TIButton6">
          <controlPr defaultSize="0" print="0" autoLine="0" autoPict="0" r:id="rId7">
            <anchor moveWithCells="1" sizeWithCells="1">
              <from>
                <xdr:col>9</xdr:col>
                <xdr:colOff>3009900</xdr:colOff>
                <xdr:row>78</xdr:row>
                <xdr:rowOff>0</xdr:rowOff>
              </from>
              <to>
                <xdr:col>9</xdr:col>
                <xdr:colOff>4564380</xdr:colOff>
                <xdr:row>78</xdr:row>
                <xdr:rowOff>251460</xdr:rowOff>
              </to>
            </anchor>
          </controlPr>
        </control>
      </mc:Choice>
      <mc:Fallback>
        <control shapeId="1030" r:id="rId6" name="TIButton6"/>
      </mc:Fallback>
    </mc:AlternateContent>
    <mc:AlternateContent xmlns:mc="http://schemas.openxmlformats.org/markup-compatibility/2006">
      <mc:Choice Requires="x14">
        <control shapeId="1029" r:id="rId8" name="TIButton5">
          <controlPr defaultSize="0" print="0" autoLine="0" r:id="rId9">
            <anchor moveWithCells="1" sizeWithCells="1">
              <from>
                <xdr:col>16</xdr:col>
                <xdr:colOff>914400</xdr:colOff>
                <xdr:row>77</xdr:row>
                <xdr:rowOff>30480</xdr:rowOff>
              </from>
              <to>
                <xdr:col>16</xdr:col>
                <xdr:colOff>1226820</xdr:colOff>
                <xdr:row>78</xdr:row>
                <xdr:rowOff>289560</xdr:rowOff>
              </to>
            </anchor>
          </controlPr>
        </control>
      </mc:Choice>
      <mc:Fallback>
        <control shapeId="1029" r:id="rId8" name="TIButton5"/>
      </mc:Fallback>
    </mc:AlternateContent>
    <mc:AlternateContent xmlns:mc="http://schemas.openxmlformats.org/markup-compatibility/2006">
      <mc:Choice Requires="x14">
        <control shapeId="1028" r:id="rId10" name="TIButton4">
          <controlPr defaultSize="0" print="0" autoLine="0" r:id="rId11">
            <anchor moveWithCells="1" sizeWithCells="1">
              <from>
                <xdr:col>9</xdr:col>
                <xdr:colOff>5562600</xdr:colOff>
                <xdr:row>78</xdr:row>
                <xdr:rowOff>0</xdr:rowOff>
              </from>
              <to>
                <xdr:col>10</xdr:col>
                <xdr:colOff>480060</xdr:colOff>
                <xdr:row>78</xdr:row>
                <xdr:rowOff>251460</xdr:rowOff>
              </to>
            </anchor>
          </controlPr>
        </control>
      </mc:Choice>
      <mc:Fallback>
        <control shapeId="1028" r:id="rId10" name="TIButton4"/>
      </mc:Fallback>
    </mc:AlternateContent>
    <mc:AlternateContent xmlns:mc="http://schemas.openxmlformats.org/markup-compatibility/2006">
      <mc:Choice Requires="x14">
        <control shapeId="1027" r:id="rId12" name="TIButton3">
          <controlPr defaultSize="0" print="0" autoLine="0" autoPict="0" r:id="rId13">
            <anchor moveWithCells="1" sizeWithCells="1">
              <from>
                <xdr:col>9</xdr:col>
                <xdr:colOff>1630680</xdr:colOff>
                <xdr:row>78</xdr:row>
                <xdr:rowOff>0</xdr:rowOff>
              </from>
              <to>
                <xdr:col>9</xdr:col>
                <xdr:colOff>2994660</xdr:colOff>
                <xdr:row>78</xdr:row>
                <xdr:rowOff>251460</xdr:rowOff>
              </to>
            </anchor>
          </controlPr>
        </control>
      </mc:Choice>
      <mc:Fallback>
        <control shapeId="1027" r:id="rId12" name="TIButton3"/>
      </mc:Fallback>
    </mc:AlternateContent>
    <mc:AlternateContent xmlns:mc="http://schemas.openxmlformats.org/markup-compatibility/2006">
      <mc:Choice Requires="x14">
        <control shapeId="1026" r:id="rId14" name="TIButton2">
          <controlPr defaultSize="0" print="0" autoLine="0" autoPict="0" r:id="rId15">
            <anchor moveWithCells="1" sizeWithCells="1">
              <from>
                <xdr:col>9</xdr:col>
                <xdr:colOff>746760</xdr:colOff>
                <xdr:row>78</xdr:row>
                <xdr:rowOff>0</xdr:rowOff>
              </from>
              <to>
                <xdr:col>9</xdr:col>
                <xdr:colOff>1600200</xdr:colOff>
                <xdr:row>78</xdr:row>
                <xdr:rowOff>251460</xdr:rowOff>
              </to>
            </anchor>
          </controlPr>
        </control>
      </mc:Choice>
      <mc:Fallback>
        <control shapeId="1026" r:id="rId14" name="TIButton2"/>
      </mc:Fallback>
    </mc:AlternateContent>
    <mc:AlternateContent xmlns:mc="http://schemas.openxmlformats.org/markup-compatibility/2006">
      <mc:Choice Requires="x14">
        <control shapeId="1025" r:id="rId16" name="TIButton1">
          <controlPr defaultSize="0" print="0" autoLine="0" autoPict="0" r:id="rId17">
            <anchor moveWithCells="1" sizeWithCells="1">
              <from>
                <xdr:col>9</xdr:col>
                <xdr:colOff>68580</xdr:colOff>
                <xdr:row>78</xdr:row>
                <xdr:rowOff>0</xdr:rowOff>
              </from>
              <to>
                <xdr:col>9</xdr:col>
                <xdr:colOff>708660</xdr:colOff>
                <xdr:row>78</xdr:row>
                <xdr:rowOff>251460</xdr:rowOff>
              </to>
            </anchor>
          </controlPr>
        </control>
      </mc:Choice>
      <mc:Fallback>
        <control shapeId="1025" r:id="rId16" name="TIButton1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D4F092511AA54494AEB20061EC7DE9" ma:contentTypeVersion="0" ma:contentTypeDescription="Create a new document." ma:contentTypeScope="" ma:versionID="6575ecb3d6fa57752be230bec748edd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758e89856f27b1d9c3c06bee548e8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029624-1197-4C90-B31D-77AD93D51C7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E3AEB91-D36A-44DB-89A7-77ABD99DBA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394998D-F405-4738-8076-27CFF5CAFB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measure reco</vt:lpstr>
      <vt:lpstr>db_name</vt:lpstr>
      <vt:lpstr>psApp</vt:lpstr>
      <vt:lpstr>psHLYear</vt:lpstr>
      <vt:lpstr>psScenario</vt:lpstr>
      <vt:lpstr>psUser</vt:lpstr>
      <vt:lpstr>TM1GrpViewAdj01HeaderCAP</vt:lpstr>
      <vt:lpstr>TM1GrpViewAdj01HeaderWB</vt:lpstr>
      <vt:lpstr>TM1GrpViewAdj01HeaderWS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TM1OthRprTBalCAP</vt:lpstr>
      <vt:lpstr>TM1OthRprTBalWB</vt:lpstr>
      <vt:lpstr>TM1OthRprTBalWS</vt:lpstr>
      <vt:lpstr>TM1OthRprTxnByReasonCAP</vt:lpstr>
      <vt:lpstr>TM1OthRprTxnByReasonWB</vt:lpstr>
      <vt:lpstr>TM1OthRprTxnByReasonWS</vt:lpstr>
      <vt:lpstr>'measure reco'!TM1RPTDATARNG1</vt:lpstr>
      <vt:lpstr>'measure reco'!TM1RPTFMTIDCOL</vt:lpstr>
      <vt:lpstr>'measure reco'!TM1RPTFMTRNG</vt:lpstr>
      <vt:lpstr>TM1ViewAdj01HeaderCAP</vt:lpstr>
      <vt:lpstr>TM1ViewAdj01HeaderWB</vt:lpstr>
      <vt:lpstr>TM1ViewAdj01HeaderWS</vt:lpstr>
      <vt:lpstr>TM1ViewMeas01HeaderCAP</vt:lpstr>
      <vt:lpstr>TM1ViewMeas01HeaderWB</vt:lpstr>
      <vt:lpstr>TM1ViewMeas01HeaderWS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Kashmari</dc:creator>
  <cp:lastModifiedBy>blooyen</cp:lastModifiedBy>
  <dcterms:created xsi:type="dcterms:W3CDTF">2019-09-17T00:40:04Z</dcterms:created>
  <dcterms:modified xsi:type="dcterms:W3CDTF">2023-02-14T22:33:11Z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0x0101006CD4F092511AA54494AEB20061EC7DE9</vt:lpwstr>
  </property>
</Properties>
</file>