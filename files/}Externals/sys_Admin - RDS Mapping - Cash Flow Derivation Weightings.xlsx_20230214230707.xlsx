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89CCA0F9-F286-4279-B0D5-B1DAE61E9CF1}" xr6:coauthVersionLast="47" xr6:coauthVersionMax="47" xr10:uidLastSave="{00000000-0000-0000-0000-000000000000}"/>
  <bookViews>
    <workbookView xWindow="29580" yWindow="780" windowWidth="21600" windowHeight="11385" xr2:uid="{C69370AE-C3D0-4309-A253-009F24CDCD13}"/>
  </bookViews>
  <sheets>
    <sheet name="RDSMap" sheetId="1" r:id="rId1"/>
  </sheets>
  <definedNames>
    <definedName name="db_name">RDSMap!$C$12</definedName>
    <definedName name="Freeze_here">RDSMap!$J$69</definedName>
    <definedName name="psApp">RDSMap!$C$29</definedName>
    <definedName name="psUser">RDSMap!$C$14</definedName>
    <definedName name="TM1AdminRDSAccountCAP">RDSMap!$D$39</definedName>
    <definedName name="TM1AdminRDSAccountWB">RDSMap!$F$39</definedName>
    <definedName name="TM1AdminRDSAccountWS">RDSMap!$H$39</definedName>
    <definedName name="TM1AdminRDSMACAP">RDSMap!$D$40</definedName>
    <definedName name="TM1AdminRDSMAWB">RDSMap!$F$40</definedName>
    <definedName name="TM1AdminRDSMAWS">RDSMap!$H$40</definedName>
    <definedName name="TM1HomeAdminCAP">RDSMap!$D$34</definedName>
    <definedName name="TM1HomeAdminGEUSCAP">RDSMap!$D$35</definedName>
    <definedName name="TM1HomeAdminGEUSWB">RDSMap!$F$35</definedName>
    <definedName name="TM1HomeAdminGEUSWS">RDSMap!$H$35</definedName>
    <definedName name="TM1HomeAdminRDSCAP">RDSMap!$D$36</definedName>
    <definedName name="TM1HomeAdminRDSMapCAP">RDSMap!$D$37</definedName>
    <definedName name="TM1HomeAdminRDSMapWB">RDSMap!$F$37</definedName>
    <definedName name="TM1HomeAdminRDSMapWS">RDSMap!$H$37</definedName>
    <definedName name="TM1HomeAdminRDSWB">RDSMap!$F$36</definedName>
    <definedName name="TM1HomeAdminRDSWS">RDSMap!$H$36</definedName>
    <definedName name="TM1HomeAdminWB">RDSMap!$F$34</definedName>
    <definedName name="TM1HomeAdminWS">RDSMap!$H$34</definedName>
    <definedName name="TM1HomeAECAP">RDSMap!$D$32</definedName>
    <definedName name="TM1HomeAEWB">RDSMap!$F$32</definedName>
    <definedName name="TM1HomeAEWS">RDSMap!$H$32</definedName>
    <definedName name="TM1HomeCAP">RDSMap!$D$31</definedName>
    <definedName name="TM1HomeRepCAP">RDSMap!$D$33</definedName>
    <definedName name="TM1HomeRepWB">RDSMap!$F$33</definedName>
    <definedName name="TM1HomeRepWS">RDSMap!$H$33</definedName>
    <definedName name="TM1HomeUnderCAP">RDSMap!$D$38</definedName>
    <definedName name="TM1HomeUnderWB">RDSMap!$F$38</definedName>
    <definedName name="TM1HomeUnderWS">RDSMap!$H$38</definedName>
    <definedName name="TM1HomeWB">RDSMap!$F$31</definedName>
    <definedName name="TM1HomeWS">RDSMap!$H$31</definedName>
    <definedName name="TM1REBUILDOPTION">0</definedName>
    <definedName name="TM1RPTDATARNG1" localSheetId="0">RDSMap!$70:$70</definedName>
    <definedName name="TM1RPTFMTIDCOL" localSheetId="0">RDSMap!$A$1:$A$8</definedName>
    <definedName name="TM1RPTFMTRNG" localSheetId="0">RDSMap!$J$1:$M$8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1" l="1"/>
  <c r="C51" i="1"/>
  <c r="L70" i="1"/>
  <c r="C50" i="1"/>
  <c r="K70" i="1"/>
  <c r="C20" i="1"/>
  <c r="C21" i="1"/>
  <c r="K64" i="1"/>
  <c r="C22" i="1"/>
  <c r="K65" i="1"/>
  <c r="C53" i="1"/>
  <c r="K67" i="1"/>
  <c r="K66" i="1"/>
  <c r="C49" i="1"/>
  <c r="C47" i="1"/>
  <c r="J70" i="1"/>
  <c r="C54" i="1"/>
  <c r="C56" i="1"/>
  <c r="C55" i="1"/>
  <c r="C52" i="1"/>
  <c r="M70" i="1"/>
  <c r="C28" i="1"/>
  <c r="C46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25" i="1"/>
  <c r="C24" i="1"/>
  <c r="C23" i="1"/>
  <c r="C13" i="1"/>
  <c r="C14" i="1"/>
  <c r="C15" i="1"/>
  <c r="C17" i="1"/>
  <c r="C16" i="1"/>
  <c r="A70" i="1"/>
  <c r="A5" i="1"/>
  <c r="A4" i="1"/>
  <c r="A3" i="1"/>
  <c r="A2" i="1"/>
</calcChain>
</file>

<file path=xl/sharedStrings.xml><?xml version="1.0" encoding="utf-8"?>
<sst xmlns="http://schemas.openxmlformats.org/spreadsheetml/2006/main" count="69" uniqueCount="69">
  <si>
    <t>headline year</t>
  </si>
  <si>
    <t>cash flow</t>
  </si>
  <si>
    <t>D</t>
  </si>
  <si>
    <t>N</t>
  </si>
  <si>
    <t>[Begin Format Range]</t>
  </si>
  <si>
    <t>[End Format Range]</t>
  </si>
  <si>
    <t>Account_Other</t>
  </si>
  <si>
    <t>Movt Account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</si>
  <si>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</si>
  <si>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</si>
  <si>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</si>
  <si>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</si>
  <si>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</si>
  <si>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</si>
  <si>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</si>
  <si>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</si>
  <si>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</si>
  <si>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</si>
  <si>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</si>
  <si>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</si>
  <si>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</si>
  <si>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</si>
  <si>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</si>
  <si>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</si>
  <si>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</si>
  <si>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</si>
  <si>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</si>
  <si>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</si>
  <si>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</si>
  <si>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</si>
  <si>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</si>
  <si>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</si>
  <si>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</si>
  <si>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</si>
  <si>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</si>
  <si>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</si>
  <si>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</si>
  <si>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</t>
  </si>
  <si>
    <t>Active Form</t>
  </si>
  <si>
    <t>Slice</t>
  </si>
  <si>
    <t>Dimension MDX To Use</t>
  </si>
  <si>
    <t>Filter MDX</t>
  </si>
  <si>
    <t>Attribute Fields</t>
  </si>
  <si>
    <t>REPORT PARAMETERS</t>
  </si>
  <si>
    <t>cash flow measure  :</t>
  </si>
  <si>
    <t>id  :</t>
  </si>
  <si>
    <t>programme  :</t>
  </si>
  <si>
    <t>related entity  :</t>
  </si>
  <si>
    <t>{TM1SUBSETALL( [account_cf] )}</t>
  </si>
  <si>
    <t>Account_cf All MDX</t>
  </si>
  <si>
    <t>Account _Other MDX</t>
  </si>
  <si>
    <t>Movt Acc MDX</t>
  </si>
  <si>
    <t>Filter by cash flow acount ?  :</t>
  </si>
  <si>
    <t>Headline Year :</t>
  </si>
  <si>
    <t>Scenario :</t>
  </si>
  <si>
    <t>Cash Flow Account :</t>
  </si>
  <si>
    <t>Cash Flow Account</t>
  </si>
  <si>
    <r>
      <rPr>
        <i/>
        <sz val="11"/>
        <color rgb="FFFF0000"/>
        <rFont val="Calibri"/>
        <family val="2"/>
      </rPr>
      <t>Note :</t>
    </r>
    <r>
      <rPr>
        <i/>
        <sz val="11"/>
        <color rgb="FFFF0000"/>
        <rFont val="Calibri"/>
        <family val="2"/>
        <scheme val="minor"/>
      </rPr>
      <t xml:space="preserve"> This screen is used to manage the cashflow derivation weightings required by GEUS.   Incorrect weightings will corrupt the derived cashflow.</t>
    </r>
  </si>
  <si>
    <t>Other Account (Operating Statement and Balance Sheet)</t>
  </si>
  <si>
    <t>Movement Account</t>
  </si>
  <si>
    <t>Weighitng</t>
  </si>
  <si>
    <t>Admin RDS Mapping - CF Mapping</t>
  </si>
  <si>
    <t>Homepage - Administration - RDS Mapping</t>
  </si>
  <si>
    <t>Homepage - Under Construction</t>
  </si>
  <si>
    <t>Admin RDS - Account</t>
  </si>
  <si>
    <t>Admin RDS - Movement Account</t>
  </si>
  <si>
    <t>Homepage - Administration - GEUS Setup</t>
  </si>
  <si>
    <t>RDS Mapping - Cashflow Derivation Weightings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</si>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</sst>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4" borderId="4" xfId="0" applyFill="1" applyBorder="1"/>
    <xf numFmtId="0" fontId="0" fillId="4" borderId="4" xfId="0" quotePrefix="1" applyFill="1" applyBorder="1"/>
    <xf numFmtId="0" fontId="2" fillId="0" borderId="0" xfId="0" applyFont="1" applyAlignment="1">
      <alignment horizontal="right"/>
    </xf>
    <xf numFmtId="0" fontId="1" fillId="5" borderId="4" xfId="0" applyFont="1" applyFill="1" applyBorder="1" applyAlignment="1">
      <alignment horizontal="center"/>
    </xf>
    <xf numFmtId="0" fontId="5" fillId="6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49" fontId="7" fillId="0" borderId="4" xfId="0" applyNumberFormat="1" applyFont="1" applyBorder="1" applyProtection="1">
      <protection locked="0"/>
    </xf>
    <xf numFmtId="49" fontId="4" fillId="0" borderId="4" xfId="0" applyNumberFormat="1" applyFont="1" applyBorder="1" applyProtection="1">
      <protection locked="0"/>
    </xf>
    <xf numFmtId="0" fontId="0" fillId="0" borderId="4" xfId="0" applyBorder="1" applyAlignment="1">
      <alignment horizontal="left" indent="1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1" fillId="6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4" fillId="4" borderId="4" xfId="0" applyFont="1" applyFill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7" fillId="0" borderId="4" xfId="0" applyFont="1" applyBorder="1"/>
    <xf numFmtId="0" fontId="4" fillId="0" borderId="4" xfId="0" applyFont="1" applyBorder="1"/>
    <xf numFmtId="0" fontId="7" fillId="4" borderId="4" xfId="0" applyFont="1" applyFill="1" applyBorder="1"/>
    <xf numFmtId="0" fontId="4" fillId="4" borderId="4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3.emf"/><Relationship Id="rId5" Type="http://schemas.openxmlformats.org/officeDocument/2006/relationships/image" Target="../media/image8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</xdr:colOff>
      <xdr:row>56</xdr:row>
      <xdr:rowOff>19050</xdr:rowOff>
    </xdr:from>
    <xdr:to>
      <xdr:col>9</xdr:col>
      <xdr:colOff>1999510</xdr:colOff>
      <xdr:row>57</xdr:row>
      <xdr:rowOff>19050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" y="200025"/>
          <a:ext cx="1991890" cy="50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58</xdr:row>
          <xdr:rowOff>9525</xdr:rowOff>
        </xdr:from>
        <xdr:to>
          <xdr:col>9</xdr:col>
          <xdr:colOff>676275</xdr:colOff>
          <xdr:row>58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58</xdr:row>
          <xdr:rowOff>9525</xdr:rowOff>
        </xdr:from>
        <xdr:to>
          <xdr:col>9</xdr:col>
          <xdr:colOff>2457450</xdr:colOff>
          <xdr:row>58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4581525</xdr:colOff>
          <xdr:row>58</xdr:row>
          <xdr:rowOff>9525</xdr:rowOff>
        </xdr:from>
        <xdr:to>
          <xdr:col>11</xdr:col>
          <xdr:colOff>647700</xdr:colOff>
          <xdr:row>58</xdr:row>
          <xdr:rowOff>257175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2495550</xdr:colOff>
          <xdr:row>58</xdr:row>
          <xdr:rowOff>9525</xdr:rowOff>
        </xdr:from>
        <xdr:to>
          <xdr:col>10</xdr:col>
          <xdr:colOff>28575</xdr:colOff>
          <xdr:row>58</xdr:row>
          <xdr:rowOff>257175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85725</xdr:colOff>
          <xdr:row>58</xdr:row>
          <xdr:rowOff>9525</xdr:rowOff>
        </xdr:from>
        <xdr:to>
          <xdr:col>10</xdr:col>
          <xdr:colOff>1400175</xdr:colOff>
          <xdr:row>58</xdr:row>
          <xdr:rowOff>257175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1419225</xdr:colOff>
          <xdr:row>58</xdr:row>
          <xdr:rowOff>9525</xdr:rowOff>
        </xdr:from>
        <xdr:to>
          <xdr:col>10</xdr:col>
          <xdr:colOff>2657475</xdr:colOff>
          <xdr:row>58</xdr:row>
          <xdr:rowOff>257175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2695575</xdr:colOff>
          <xdr:row>58</xdr:row>
          <xdr:rowOff>9525</xdr:rowOff>
        </xdr:from>
        <xdr:to>
          <xdr:col>10</xdr:col>
          <xdr:colOff>4533900</xdr:colOff>
          <xdr:row>58</xdr:row>
          <xdr:rowOff>257175</xdr:rowOff>
        </xdr:to>
        <xdr:sp macro="" textlink="">
          <xdr:nvSpPr>
            <xdr:cNvPr id="1031" name="TIButton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714375</xdr:colOff>
          <xdr:row>57</xdr:row>
          <xdr:rowOff>38100</xdr:rowOff>
        </xdr:from>
        <xdr:to>
          <xdr:col>13</xdr:col>
          <xdr:colOff>9525</xdr:colOff>
          <xdr:row>58</xdr:row>
          <xdr:rowOff>295275</xdr:rowOff>
        </xdr:to>
        <xdr:sp macro="" textlink="">
          <xdr:nvSpPr>
            <xdr:cNvPr id="1032" name="TIButton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376A-E74F-4866-BAD4-25FD7060F689}">
  <sheetPr codeName="Sheet1">
    <outlinePr showOutlineSymbols="0"/>
  </sheetPr>
  <dimension ref="A1:M70"/>
  <sheetViews>
    <sheetView showGridLines="0" showRowColHeaders="0" tabSelected="1" showOutlineSymbols="0" topLeftCell="D57" workbookViewId="0">
      <pane ySplit="13" topLeftCell="A70" activePane="bottomLeft" state="frozen"/>
      <selection activeCell="I57" sqref="I57"/>
      <selection pane="bottomLeft" activeCell="J69" sqref="J69"/>
    </sheetView>
  </sheetViews>
  <sheetFormatPr defaultRowHeight="15" outlineLevelRow="1" outlineLevelCol="1" x14ac:dyDescent="0.25"/>
  <cols>
    <col min="1" max="1" width="18.7109375" hidden="1" customWidth="1" outlineLevel="1"/>
    <col min="2" max="2" width="49" hidden="1" customWidth="1" outlineLevel="1"/>
    <col min="3" max="3" width="21.140625" hidden="1" customWidth="1" outlineLevel="1"/>
    <col min="4" max="4" width="37.7109375" hidden="1" customWidth="1" outlineLevel="1"/>
    <col min="5" max="5" width="31.42578125" hidden="1" customWidth="1" outlineLevel="1"/>
    <col min="6" max="7" width="22" hidden="1" customWidth="1" outlineLevel="1"/>
    <col min="8" max="8" width="8.85546875" hidden="1" customWidth="1" outlineLevel="1"/>
    <col min="9" max="9" width="0.85546875" customWidth="1" collapsed="1"/>
    <col min="10" max="10" width="60.7109375" customWidth="1"/>
    <col min="11" max="11" width="70.7109375" customWidth="1"/>
    <col min="12" max="12" width="70.7109375" style="4" customWidth="1"/>
    <col min="13" max="13" width="15.28515625" style="4" customWidth="1"/>
  </cols>
  <sheetData>
    <row r="1" spans="1:13" hidden="1" outlineLevel="1" x14ac:dyDescent="0.25">
      <c r="A1" t="s">
        <v>4</v>
      </c>
      <c r="L1"/>
      <c r="M1"/>
    </row>
    <row r="2" spans="1:13" hidden="1" outlineLevel="1" x14ac:dyDescent="0.25">
      <c r="A2">
        <f>0</f>
        <v>0</v>
      </c>
      <c r="J2" s="27"/>
      <c r="K2" s="28"/>
      <c r="L2" s="28"/>
      <c r="M2" s="23"/>
    </row>
    <row r="3" spans="1:13" hidden="1" outlineLevel="1" x14ac:dyDescent="0.25">
      <c r="A3">
        <f>1</f>
        <v>1</v>
      </c>
      <c r="J3" s="25"/>
      <c r="K3" s="26"/>
      <c r="L3" s="26"/>
      <c r="M3" s="24"/>
    </row>
    <row r="4" spans="1:13" hidden="1" outlineLevel="1" x14ac:dyDescent="0.25">
      <c r="A4">
        <f>2</f>
        <v>2</v>
      </c>
      <c r="J4" s="25"/>
      <c r="K4" s="26"/>
      <c r="L4" s="26"/>
      <c r="M4" s="24"/>
    </row>
    <row r="5" spans="1:13" hidden="1" outlineLevel="1" x14ac:dyDescent="0.25">
      <c r="A5">
        <f>3</f>
        <v>3</v>
      </c>
      <c r="J5" s="25"/>
      <c r="K5" s="26"/>
      <c r="L5" s="26"/>
      <c r="M5" s="24"/>
    </row>
    <row r="6" spans="1:13" hidden="1" outlineLevel="1" x14ac:dyDescent="0.25">
      <c r="A6" t="s">
        <v>2</v>
      </c>
      <c r="J6" s="25"/>
      <c r="K6" s="26"/>
      <c r="L6" s="26"/>
      <c r="M6" s="24"/>
    </row>
    <row r="7" spans="1:13" hidden="1" outlineLevel="1" x14ac:dyDescent="0.25">
      <c r="A7" t="s">
        <v>3</v>
      </c>
      <c r="J7" s="25"/>
      <c r="K7" s="26"/>
      <c r="L7" s="26"/>
      <c r="M7" s="24"/>
    </row>
    <row r="8" spans="1:13" hidden="1" outlineLevel="1" x14ac:dyDescent="0.25">
      <c r="A8" t="s">
        <v>5</v>
      </c>
      <c r="L8"/>
      <c r="M8"/>
    </row>
    <row r="9" spans="1:13" hidden="1" outlineLevel="1" x14ac:dyDescent="0.25"/>
    <row r="10" spans="1:13" hidden="1" outlineLevel="1" x14ac:dyDescent="0.25"/>
    <row r="11" spans="1:13" hidden="1" outlineLevel="1" x14ac:dyDescent="0.25">
      <c r="B11" s="29" t="s">
        <v>8</v>
      </c>
      <c r="C11" s="30"/>
      <c r="D11" s="31"/>
      <c r="L11"/>
      <c r="M11"/>
    </row>
    <row r="12" spans="1:13" hidden="1" outlineLevel="1" x14ac:dyDescent="0.25">
      <c r="B12" s="5" t="s">
        <v>9</v>
      </c>
      <c r="C12" s="6" t="s">
        <v>68</v>
      </c>
      <c r="D12" s="7"/>
      <c r="L12"/>
      <c r="M12"/>
    </row>
    <row r="13" spans="1:13" hidden="1" outlineLevel="1" x14ac:dyDescent="0.25">
      <c r="B13" s="5" t="s">
        <v>10</v>
      </c>
      <c r="C13" s="8" t="str">
        <f ca="1">_xll.VIEW(db_name&amp;":}ElementAttributes_}Clients","!","!")</f>
        <v>dcceew_geus:}ElementAttributes_}Clients</v>
      </c>
      <c r="D13" s="7"/>
      <c r="L13"/>
      <c r="M13"/>
    </row>
    <row r="14" spans="1:13" hidden="1" outlineLevel="1" x14ac:dyDescent="0.25">
      <c r="B14" s="5" t="s">
        <v>11</v>
      </c>
      <c r="C14" s="6" t="str">
        <f ca="1">_xll.TM1USER(db_name)</f>
        <v/>
      </c>
      <c r="D14" s="7"/>
      <c r="L14"/>
      <c r="M14"/>
    </row>
    <row r="15" spans="1:13" hidden="1" outlineLevel="1" x14ac:dyDescent="0.25">
      <c r="B15" s="5" t="s">
        <v>12</v>
      </c>
      <c r="C15" s="6" t="str">
        <f ca="1">_xll.DBR($C$13,$C$14,$B15)</f>
        <v>*KEY_ERR</v>
      </c>
      <c r="D15" s="7"/>
      <c r="L15"/>
      <c r="M15"/>
    </row>
    <row r="16" spans="1:13" hidden="1" outlineLevel="1" x14ac:dyDescent="0.25">
      <c r="B16" s="5" t="s">
        <v>13</v>
      </c>
      <c r="C16" s="6" t="str">
        <f ca="1">_xll.DBR($C$13,$C$14,$B16)</f>
        <v>*KEY_ERR</v>
      </c>
      <c r="D16" s="7"/>
      <c r="L16"/>
      <c r="M16"/>
    </row>
    <row r="17" spans="2:13" hidden="1" outlineLevel="1" x14ac:dyDescent="0.25">
      <c r="B17" s="5" t="s">
        <v>14</v>
      </c>
      <c r="C17" s="6" t="str">
        <f ca="1">IF(LEFT($C$15,6)="CAM_AD",$C$16,$C$15)</f>
        <v>*KEY_ERR</v>
      </c>
      <c r="D17" s="9"/>
      <c r="L17"/>
      <c r="M17"/>
    </row>
    <row r="18" spans="2:13" hidden="1" outlineLevel="1" x14ac:dyDescent="0.25">
      <c r="L18"/>
      <c r="M18"/>
    </row>
    <row r="19" spans="2:13" hidden="1" outlineLevel="1" x14ac:dyDescent="0.25">
      <c r="B19" s="29" t="s">
        <v>15</v>
      </c>
      <c r="C19" s="30"/>
      <c r="D19" s="31"/>
      <c r="L19"/>
      <c r="M19"/>
    </row>
    <row r="20" spans="2:13" hidden="1" outlineLevel="1" x14ac:dyDescent="0.25">
      <c r="B20" s="5" t="s">
        <v>16</v>
      </c>
      <c r="C20" s="9" t="str">
        <f ca="1">_xll.VIEW(db_name&amp;":}ElementAttributes_variables","!","!")</f>
        <v>dcceew_geus:}ElementAttributes_variables</v>
      </c>
      <c r="D20" s="9"/>
      <c r="L20"/>
      <c r="M20"/>
    </row>
    <row r="21" spans="2:13" hidden="1" outlineLevel="1" x14ac:dyDescent="0.25">
      <c r="B21" s="5" t="s">
        <v>0</v>
      </c>
      <c r="C21" s="9" t="str">
        <f ca="1">_xll.DBR($C$20,$B21,"value")</f>
        <v>*KEY_ERR</v>
      </c>
      <c r="D21" s="9"/>
      <c r="L21"/>
      <c r="M21"/>
    </row>
    <row r="22" spans="2:13" hidden="1" outlineLevel="1" x14ac:dyDescent="0.25">
      <c r="B22" s="5" t="s">
        <v>17</v>
      </c>
      <c r="C22" s="9" t="str">
        <f ca="1">_xll.DBR($C$20,$B22,"value")</f>
        <v>*KEY_ERR</v>
      </c>
      <c r="D22" s="9"/>
      <c r="L22"/>
      <c r="M22"/>
    </row>
    <row r="23" spans="2:13" hidden="1" outlineLevel="1" x14ac:dyDescent="0.25">
      <c r="B23" s="5" t="s">
        <v>18</v>
      </c>
      <c r="C23" s="9" t="str">
        <f ca="1">_xll.DBR($C$20,$B23,"value")</f>
        <v>*KEY_ERR</v>
      </c>
      <c r="D23" s="9"/>
      <c r="L23"/>
      <c r="M23"/>
    </row>
    <row r="24" spans="2:13" hidden="1" outlineLevel="1" x14ac:dyDescent="0.25">
      <c r="B24" s="5" t="s">
        <v>19</v>
      </c>
      <c r="C24" s="9" t="str">
        <f ca="1">_xll.DBR($C$20,$B24,"value")</f>
        <v>*KEY_ERR</v>
      </c>
      <c r="D24" s="9"/>
      <c r="L24"/>
      <c r="M24"/>
    </row>
    <row r="25" spans="2:13" hidden="1" outlineLevel="1" x14ac:dyDescent="0.25">
      <c r="B25" s="5" t="s">
        <v>20</v>
      </c>
      <c r="C25" s="9" t="str">
        <f ca="1">_xll.DBR($C$20,$B25,"value")</f>
        <v>*KEY_ERR</v>
      </c>
      <c r="D25" s="9"/>
      <c r="L25"/>
      <c r="M25"/>
    </row>
    <row r="26" spans="2:13" hidden="1" outlineLevel="1" x14ac:dyDescent="0.25">
      <c r="L26"/>
      <c r="M26"/>
    </row>
    <row r="27" spans="2:13" hidden="1" outlineLevel="1" x14ac:dyDescent="0.25">
      <c r="B27" s="29" t="s">
        <v>21</v>
      </c>
      <c r="C27" s="30"/>
      <c r="D27" s="31"/>
      <c r="L27"/>
      <c r="M27"/>
    </row>
    <row r="28" spans="2:13" hidden="1" outlineLevel="1" x14ac:dyDescent="0.25">
      <c r="B28" s="5" t="s">
        <v>22</v>
      </c>
      <c r="C28" s="9" t="str">
        <f ca="1">_xll.VIEW(db_name&amp;":sys_application","!","!")</f>
        <v>dcceew_geus:sys_application</v>
      </c>
      <c r="D28" s="9"/>
      <c r="L28"/>
      <c r="M28"/>
    </row>
    <row r="29" spans="2:13" hidden="1" outlineLevel="1" x14ac:dyDescent="0.25">
      <c r="B29" s="5" t="s">
        <v>23</v>
      </c>
      <c r="C29" t="s">
        <v>61</v>
      </c>
      <c r="D29" s="9"/>
      <c r="L29"/>
      <c r="M29"/>
    </row>
    <row r="30" spans="2:13" hidden="1" outlineLevel="1" x14ac:dyDescent="0.25">
      <c r="B30" s="9"/>
      <c r="C30" s="5" t="s">
        <v>24</v>
      </c>
      <c r="D30" s="5" t="s">
        <v>25</v>
      </c>
      <c r="E30" s="5" t="s">
        <v>26</v>
      </c>
      <c r="F30" s="5" t="s">
        <v>27</v>
      </c>
      <c r="G30" s="5" t="s">
        <v>28</v>
      </c>
      <c r="H30" s="5" t="s">
        <v>29</v>
      </c>
      <c r="L30"/>
      <c r="M30"/>
    </row>
    <row r="31" spans="2:13" hidden="1" outlineLevel="1" x14ac:dyDescent="0.25">
      <c r="B31" s="9" t="s">
        <v>30</v>
      </c>
      <c r="C31" s="9" t="str">
        <f ca="1">_xll.DBR($C$28,$B31,C$30)</f>
        <v>*KEY_ERR</v>
      </c>
      <c r="D31" s="9" t="str">
        <f ca="1">_xll.DBR($C$28,$B31,D$30)</f>
        <v>*KEY_ERR</v>
      </c>
      <c r="E31" s="9" t="str">
        <f ca="1">_xll.DBR($C$28,$B31,E$30)</f>
        <v>*KEY_ERR</v>
      </c>
      <c r="F31" s="9" t="str">
        <f ca="1">_xll.DBR($C$28,$B31,F$30)</f>
        <v>*KEY_ERR</v>
      </c>
      <c r="G31" s="9" t="str">
        <f ca="1">_xll.DBR($C$28,$B31,G$30)</f>
        <v>*KEY_ERR</v>
      </c>
      <c r="H31" s="9" t="str">
        <f ca="1">_xll.DBR($C$28,$B31,H$30)</f>
        <v>*KEY_ERR</v>
      </c>
      <c r="L31"/>
      <c r="M31"/>
    </row>
    <row r="32" spans="2:13" hidden="1" outlineLevel="1" x14ac:dyDescent="0.25">
      <c r="B32" s="9" t="s">
        <v>31</v>
      </c>
      <c r="C32" s="9" t="str">
        <f ca="1">_xll.DBR($C$28,$B32,C$30)</f>
        <v>*KEY_ERR</v>
      </c>
      <c r="D32" s="9" t="str">
        <f ca="1">_xll.DBR($C$28,$B32,D$30)</f>
        <v>*KEY_ERR</v>
      </c>
      <c r="E32" s="9" t="str">
        <f ca="1">_xll.DBR($C$28,$B32,E$30)</f>
        <v>*KEY_ERR</v>
      </c>
      <c r="F32" s="9" t="str">
        <f ca="1">_xll.DBR($C$28,$B32,F$30)</f>
        <v>*KEY_ERR</v>
      </c>
      <c r="G32" s="9" t="str">
        <f ca="1">_xll.DBR($C$28,$B32,G$30)</f>
        <v>*KEY_ERR</v>
      </c>
      <c r="H32" s="9" t="str">
        <f ca="1">_xll.DBR($C$28,$B32,H$30)</f>
        <v>*KEY_ERR</v>
      </c>
      <c r="L32"/>
      <c r="M32"/>
    </row>
    <row r="33" spans="2:13" hidden="1" outlineLevel="1" x14ac:dyDescent="0.25">
      <c r="B33" s="9" t="s">
        <v>32</v>
      </c>
      <c r="C33" s="9" t="str">
        <f ca="1">_xll.DBR($C$28,$B33,C$30)</f>
        <v>*KEY_ERR</v>
      </c>
      <c r="D33" s="9" t="str">
        <f ca="1">_xll.DBR($C$28,$B33,D$30)</f>
        <v>*KEY_ERR</v>
      </c>
      <c r="E33" s="9" t="str">
        <f ca="1">_xll.DBR($C$28,$B33,E$30)</f>
        <v>*KEY_ERR</v>
      </c>
      <c r="F33" s="9" t="str">
        <f ca="1">_xll.DBR($C$28,$B33,F$30)</f>
        <v>*KEY_ERR</v>
      </c>
      <c r="G33" s="9" t="str">
        <f ca="1">_xll.DBR($C$28,$B33,G$30)</f>
        <v>*KEY_ERR</v>
      </c>
      <c r="H33" s="9" t="str">
        <f ca="1">_xll.DBR($C$28,$B33,H$30)</f>
        <v>*KEY_ERR</v>
      </c>
      <c r="L33"/>
      <c r="M33"/>
    </row>
    <row r="34" spans="2:13" hidden="1" outlineLevel="1" x14ac:dyDescent="0.25">
      <c r="B34" s="9" t="s">
        <v>33</v>
      </c>
      <c r="C34" s="9" t="str">
        <f ca="1">_xll.DBR($C$28,$B34,C$30)</f>
        <v>*KEY_ERR</v>
      </c>
      <c r="D34" s="9" t="str">
        <f ca="1">_xll.DBR($C$28,$B34,D$30)</f>
        <v>*KEY_ERR</v>
      </c>
      <c r="E34" s="9" t="str">
        <f ca="1">_xll.DBR($C$28,$B34,E$30)</f>
        <v>*KEY_ERR</v>
      </c>
      <c r="F34" s="9" t="str">
        <f ca="1">_xll.DBR($C$28,$B34,F$30)</f>
        <v>*KEY_ERR</v>
      </c>
      <c r="G34" s="9" t="str">
        <f ca="1">_xll.DBR($C$28,$B34,G$30)</f>
        <v>*KEY_ERR</v>
      </c>
      <c r="H34" s="9" t="str">
        <f ca="1">_xll.DBR($C$28,$B34,H$30)</f>
        <v>*KEY_ERR</v>
      </c>
      <c r="L34"/>
      <c r="M34"/>
    </row>
    <row r="35" spans="2:13" hidden="1" outlineLevel="1" x14ac:dyDescent="0.25">
      <c r="B35" s="9" t="s">
        <v>66</v>
      </c>
      <c r="C35" s="9" t="str">
        <f ca="1">_xll.DBR($C$28,$B35,C$30)</f>
        <v>*KEY_ERR</v>
      </c>
      <c r="D35" s="9" t="str">
        <f ca="1">_xll.DBR($C$28,$B35,D$30)</f>
        <v>*KEY_ERR</v>
      </c>
      <c r="E35" s="9" t="str">
        <f ca="1">_xll.DBR($C$28,$B35,E$30)</f>
        <v>*KEY_ERR</v>
      </c>
      <c r="F35" s="9" t="str">
        <f ca="1">_xll.DBR($C$28,$B35,F$30)</f>
        <v>*KEY_ERR</v>
      </c>
      <c r="G35" s="9" t="str">
        <f ca="1">_xll.DBR($C$28,$B35,G$30)</f>
        <v>*KEY_ERR</v>
      </c>
      <c r="H35" s="9" t="str">
        <f ca="1">_xll.DBR($C$28,$B35,H$30)</f>
        <v>*KEY_ERR</v>
      </c>
      <c r="L35"/>
      <c r="M35"/>
    </row>
    <row r="36" spans="2:13" hidden="1" outlineLevel="1" x14ac:dyDescent="0.25">
      <c r="B36" s="9" t="s">
        <v>34</v>
      </c>
      <c r="C36" s="9" t="str">
        <f ca="1">_xll.DBR($C$28,$B36,C$30)</f>
        <v>*KEY_ERR</v>
      </c>
      <c r="D36" s="9" t="str">
        <f ca="1">_xll.DBR($C$28,$B36,D$30)</f>
        <v>*KEY_ERR</v>
      </c>
      <c r="E36" s="9" t="str">
        <f ca="1">_xll.DBR($C$28,$B36,E$30)</f>
        <v>*KEY_ERR</v>
      </c>
      <c r="F36" s="9" t="str">
        <f ca="1">_xll.DBR($C$28,$B36,F$30)</f>
        <v>*KEY_ERR</v>
      </c>
      <c r="G36" s="9" t="str">
        <f ca="1">_xll.DBR($C$28,$B36,G$30)</f>
        <v>*KEY_ERR</v>
      </c>
      <c r="H36" s="9" t="str">
        <f ca="1">_xll.DBR($C$28,$B36,H$30)</f>
        <v>*KEY_ERR</v>
      </c>
      <c r="L36"/>
      <c r="M36"/>
    </row>
    <row r="37" spans="2:13" hidden="1" outlineLevel="1" x14ac:dyDescent="0.25">
      <c r="B37" s="9" t="s">
        <v>62</v>
      </c>
      <c r="C37" s="9" t="str">
        <f ca="1">_xll.DBR($C$28,$B37,C$30)</f>
        <v>*KEY_ERR</v>
      </c>
      <c r="D37" s="9" t="str">
        <f ca="1">_xll.DBR($C$28,$B37,D$30)</f>
        <v>*KEY_ERR</v>
      </c>
      <c r="E37" s="9" t="str">
        <f ca="1">_xll.DBR($C$28,$B37,E$30)</f>
        <v>*KEY_ERR</v>
      </c>
      <c r="F37" s="9" t="str">
        <f ca="1">_xll.DBR($C$28,$B37,F$30)</f>
        <v>*KEY_ERR</v>
      </c>
      <c r="G37" s="9" t="str">
        <f ca="1">_xll.DBR($C$28,$B37,G$30)</f>
        <v>*KEY_ERR</v>
      </c>
      <c r="H37" s="9" t="str">
        <f ca="1">_xll.DBR($C$28,$B37,H$30)</f>
        <v>*KEY_ERR</v>
      </c>
      <c r="L37"/>
      <c r="M37"/>
    </row>
    <row r="38" spans="2:13" hidden="1" outlineLevel="1" x14ac:dyDescent="0.25">
      <c r="B38" s="9" t="s">
        <v>63</v>
      </c>
      <c r="C38" s="9" t="str">
        <f ca="1">_xll.DBR($C$28,$B38,C$30)</f>
        <v>*KEY_ERR</v>
      </c>
      <c r="D38" s="9" t="str">
        <f ca="1">_xll.DBR($C$28,$B38,D$30)</f>
        <v>*KEY_ERR</v>
      </c>
      <c r="E38" s="9" t="str">
        <f ca="1">_xll.DBR($C$28,$B38,E$30)</f>
        <v>*KEY_ERR</v>
      </c>
      <c r="F38" s="9" t="str">
        <f ca="1">_xll.DBR($C$28,$B38,F$30)</f>
        <v>*KEY_ERR</v>
      </c>
      <c r="G38" s="9" t="str">
        <f ca="1">_xll.DBR($C$28,$B38,G$30)</f>
        <v>*KEY_ERR</v>
      </c>
      <c r="H38" s="9" t="str">
        <f ca="1">_xll.DBR($C$28,$B38,H$30)</f>
        <v>*KEY_ERR</v>
      </c>
      <c r="L38"/>
      <c r="M38"/>
    </row>
    <row r="39" spans="2:13" hidden="1" outlineLevel="1" x14ac:dyDescent="0.25">
      <c r="B39" s="9" t="s">
        <v>64</v>
      </c>
      <c r="C39" s="9" t="str">
        <f ca="1">_xll.DBR($C$28,$B39,C$30)</f>
        <v>*KEY_ERR</v>
      </c>
      <c r="D39" s="9" t="str">
        <f ca="1">_xll.DBR($C$28,$B39,D$30)</f>
        <v>*KEY_ERR</v>
      </c>
      <c r="E39" s="9" t="str">
        <f ca="1">_xll.DBR($C$28,$B39,E$30)</f>
        <v>*KEY_ERR</v>
      </c>
      <c r="F39" s="9" t="str">
        <f ca="1">_xll.DBR($C$28,$B39,F$30)</f>
        <v>*KEY_ERR</v>
      </c>
      <c r="G39" s="9" t="str">
        <f ca="1">_xll.DBR($C$28,$B39,G$30)</f>
        <v>*KEY_ERR</v>
      </c>
      <c r="H39" s="9" t="str">
        <f ca="1">_xll.DBR($C$28,$B39,H$30)</f>
        <v>*KEY_ERR</v>
      </c>
      <c r="L39"/>
      <c r="M39"/>
    </row>
    <row r="40" spans="2:13" hidden="1" outlineLevel="1" x14ac:dyDescent="0.25">
      <c r="B40" s="9" t="s">
        <v>65</v>
      </c>
      <c r="C40" s="9" t="str">
        <f ca="1">_xll.DBR($C$28,$B40,C$30)</f>
        <v>*KEY_ERR</v>
      </c>
      <c r="D40" s="9" t="str">
        <f ca="1">_xll.DBR($C$28,$B40,D$30)</f>
        <v>*KEY_ERR</v>
      </c>
      <c r="E40" s="9" t="str">
        <f ca="1">_xll.DBR($C$28,$B40,E$30)</f>
        <v>*KEY_ERR</v>
      </c>
      <c r="F40" s="9" t="str">
        <f ca="1">_xll.DBR($C$28,$B40,F$30)</f>
        <v>*KEY_ERR</v>
      </c>
      <c r="G40" s="9" t="str">
        <f ca="1">_xll.DBR($C$28,$B40,G$30)</f>
        <v>*KEY_ERR</v>
      </c>
      <c r="H40" s="9" t="str">
        <f ca="1">_xll.DBR($C$28,$B40,H$30)</f>
        <v>*KEY_ERR</v>
      </c>
      <c r="L40"/>
      <c r="M40"/>
    </row>
    <row r="41" spans="2:13" hidden="1" outlineLevel="1" x14ac:dyDescent="0.25">
      <c r="B41" s="9"/>
      <c r="C41" s="9"/>
      <c r="L41"/>
      <c r="M41"/>
    </row>
    <row r="42" spans="2:13" hidden="1" outlineLevel="1" x14ac:dyDescent="0.25">
      <c r="B42" s="10" t="s">
        <v>35</v>
      </c>
      <c r="C42" s="11" t="s">
        <v>36</v>
      </c>
      <c r="L42"/>
      <c r="M42"/>
    </row>
    <row r="43" spans="2:13" ht="17.25" hidden="1" customHeight="1" outlineLevel="1" x14ac:dyDescent="0.25">
      <c r="L43"/>
      <c r="M43"/>
    </row>
    <row r="44" spans="2:13" hidden="1" outlineLevel="1" x14ac:dyDescent="0.25">
      <c r="B44" s="29" t="s">
        <v>37</v>
      </c>
      <c r="C44" s="30"/>
      <c r="D44" s="31"/>
      <c r="L44"/>
      <c r="M44"/>
    </row>
    <row r="45" spans="2:13" hidden="1" outlineLevel="1" x14ac:dyDescent="0.25">
      <c r="B45" s="5" t="s">
        <v>38</v>
      </c>
      <c r="C45" t="str">
        <f ca="1">_xll.TM1RPTVIEW(db_name&amp;":AE cash flow derivation:1", 1, _xll.TM1RPTTITLE(db_name&amp;":headline year",$K$64), _xll.TM1RPTTITLE(db_name&amp;":scenario",$K$65), _xll.TM1RPTTITLE(db_name&amp;":id",$C$53), _xll.TM1RPTTITLE(db_name&amp;":programme",$C$54), _xll.TM1RPTTITLE(db_name&amp;":related entity",$C$55), _xll.TM1RPTTITLE(db_name&amp;":cash flow measure",$C$52), _xll.TM1RPTTITLE(db_name&amp;":appropriation item",$C$56),TM1RPTFMTRNG,TM1RPTFMTIDCOL)</f>
        <v>dcceew_geus:AE cash flow derivation:1</v>
      </c>
      <c r="L45"/>
      <c r="M45"/>
    </row>
    <row r="46" spans="2:13" hidden="1" outlineLevel="1" x14ac:dyDescent="0.25">
      <c r="B46" s="5" t="s">
        <v>39</v>
      </c>
      <c r="C46" s="9" t="str">
        <f ca="1">_xll.VIEW(db_name&amp;":AE cash flow",$K$64,$K$65,"!","!","!","!","!","!","!","!")</f>
        <v>dcceew_geus:AE cash flow</v>
      </c>
      <c r="L46"/>
      <c r="M46"/>
    </row>
    <row r="47" spans="2:13" hidden="1" outlineLevel="1" x14ac:dyDescent="0.25">
      <c r="B47" s="5" t="s">
        <v>40</v>
      </c>
      <c r="C47" s="9" t="str">
        <f ca="1">IF($K$67="No",$C$48,$C$49)</f>
        <v>{TM1DRILLDOWNMEMBER( {[account_cf].[]}, ALL, RECURSIVE )}</v>
      </c>
      <c r="D47" s="7"/>
      <c r="L47"/>
      <c r="M47"/>
    </row>
    <row r="48" spans="2:13" hidden="1" outlineLevel="1" x14ac:dyDescent="0.25">
      <c r="B48" s="5" t="s">
        <v>49</v>
      </c>
      <c r="C48" s="9" t="s">
        <v>48</v>
      </c>
      <c r="L48"/>
      <c r="M48"/>
    </row>
    <row r="49" spans="2:13" hidden="1" outlineLevel="1" x14ac:dyDescent="0.25">
      <c r="B49" s="5" t="s">
        <v>41</v>
      </c>
      <c r="C49" s="9" t="str">
        <f ca="1">"{TM1DRILLDOWNMEMBER( {[account_cf].[" &amp; $K$66 &amp; "]}, ALL, RECURSIVE )}"</f>
        <v>{TM1DRILLDOWNMEMBER( {[account_cf].[]}, ALL, RECURSIVE )}</v>
      </c>
      <c r="L49"/>
      <c r="M49"/>
    </row>
    <row r="50" spans="2:13" ht="13.9" hidden="1" customHeight="1" outlineLevel="1" x14ac:dyDescent="0.25">
      <c r="B50" s="5" t="s">
        <v>50</v>
      </c>
      <c r="C50" s="9" t="str">
        <f>"{TM1FILTERBYLEVEL( {TM1SUBSETALL( [account_other] )}, 0)}"</f>
        <v>{TM1FILTERBYLEVEL( {TM1SUBSETALL( [account_other] )}, 0)}</v>
      </c>
      <c r="L50"/>
      <c r="M50"/>
    </row>
    <row r="51" spans="2:13" ht="13.9" hidden="1" customHeight="1" outlineLevel="1" x14ac:dyDescent="0.25">
      <c r="B51" s="5" t="s">
        <v>51</v>
      </c>
      <c r="C51" s="9" t="str">
        <f>"{TM1FILTERBYLEVEL( {TM1SUBSETALL( [movement account] )}, 0)}"</f>
        <v>{TM1FILTERBYLEVEL( {TM1SUBSETALL( [movement account] )}, 0)}</v>
      </c>
      <c r="L51"/>
      <c r="M51"/>
    </row>
    <row r="52" spans="2:13" ht="13.9" hidden="1" customHeight="1" outlineLevel="1" x14ac:dyDescent="0.25">
      <c r="B52" s="22" t="s">
        <v>44</v>
      </c>
      <c r="C52" s="18" t="str">
        <f ca="1">_xll.SUBNM(db_name&amp;":cash flow measure","","derivation weightings")</f>
        <v/>
      </c>
      <c r="L52"/>
      <c r="M52"/>
    </row>
    <row r="53" spans="2:13" ht="13.9" hidden="1" customHeight="1" outlineLevel="1" x14ac:dyDescent="0.25">
      <c r="B53" s="22" t="s">
        <v>45</v>
      </c>
      <c r="C53" s="18" t="str">
        <f ca="1">_xll.SUBNM(db_name&amp;":id","","cash flow")</f>
        <v/>
      </c>
      <c r="L53"/>
      <c r="M53"/>
    </row>
    <row r="54" spans="2:13" hidden="1" outlineLevel="1" x14ac:dyDescent="0.25">
      <c r="B54" s="22" t="s">
        <v>46</v>
      </c>
      <c r="C54" s="18" t="str">
        <f ca="1">_xll.SUBNM(db_name&amp;":programme","Default","cash flow")</f>
        <v/>
      </c>
      <c r="J54" s="12" t="s">
        <v>42</v>
      </c>
      <c r="K54" s="3" t="s">
        <v>6</v>
      </c>
      <c r="L54" s="3" t="s">
        <v>7</v>
      </c>
      <c r="M54" s="3" t="s">
        <v>1</v>
      </c>
    </row>
    <row r="55" spans="2:13" hidden="1" outlineLevel="1" x14ac:dyDescent="0.25">
      <c r="B55" s="22" t="s">
        <v>47</v>
      </c>
      <c r="C55" s="18" t="str">
        <f ca="1">_xll.SUBNM(db_name&amp;":related entity","","Cash flow")</f>
        <v/>
      </c>
    </row>
    <row r="56" spans="2:13" hidden="1" outlineLevel="1" x14ac:dyDescent="0.25">
      <c r="B56" s="12"/>
      <c r="C56" s="18" t="str">
        <f ca="1">_xll.SUBNM(db_name&amp;":appropriation item","","-")</f>
        <v/>
      </c>
    </row>
    <row r="57" spans="2:13" ht="39.75" customHeight="1" collapsed="1" x14ac:dyDescent="0.25">
      <c r="I57" s="14"/>
      <c r="J57" s="14"/>
      <c r="K57" s="14"/>
      <c r="L57" s="14"/>
      <c r="M57" s="14" t="s">
        <v>67</v>
      </c>
    </row>
    <row r="58" spans="2:13" ht="4.5" customHeight="1" x14ac:dyDescent="0.25">
      <c r="L58"/>
      <c r="M58"/>
    </row>
    <row r="59" spans="2:13" ht="24" customHeight="1" x14ac:dyDescent="0.25">
      <c r="J59" s="1"/>
      <c r="L59"/>
      <c r="M59"/>
    </row>
    <row r="60" spans="2:13" ht="1.5" customHeight="1" x14ac:dyDescent="0.25">
      <c r="I60" s="14"/>
      <c r="J60" s="14"/>
      <c r="K60" s="14"/>
      <c r="L60" s="14"/>
      <c r="M60" s="14"/>
    </row>
    <row r="61" spans="2:13" x14ac:dyDescent="0.25">
      <c r="J61" s="32" t="s">
        <v>57</v>
      </c>
      <c r="K61" s="32"/>
      <c r="L61" s="32"/>
      <c r="M61"/>
    </row>
    <row r="62" spans="2:13" ht="4.5" customHeight="1" x14ac:dyDescent="0.25">
      <c r="L62"/>
      <c r="M62"/>
    </row>
    <row r="63" spans="2:13" x14ac:dyDescent="0.25">
      <c r="K63" s="13" t="s">
        <v>43</v>
      </c>
    </row>
    <row r="64" spans="2:13" x14ac:dyDescent="0.25">
      <c r="J64" s="15" t="s">
        <v>53</v>
      </c>
      <c r="K64" s="19" t="str">
        <f ca="1">_xll.SUBNM(db_name&amp;":headline year","Default",$C$21)</f>
        <v/>
      </c>
    </row>
    <row r="65" spans="1:13" x14ac:dyDescent="0.25">
      <c r="J65" s="15" t="s">
        <v>54</v>
      </c>
      <c r="K65" s="19" t="str">
        <f ca="1">_xll.SUBNM(db_name&amp;":scenario","Default",$C$22)</f>
        <v/>
      </c>
    </row>
    <row r="66" spans="1:13" x14ac:dyDescent="0.25">
      <c r="J66" s="15" t="s">
        <v>55</v>
      </c>
      <c r="K66" s="19" t="str">
        <f ca="1">_xll.SUBNM(db_name&amp;":account_cf","","6212003","code and description")</f>
        <v/>
      </c>
    </row>
    <row r="67" spans="1:13" x14ac:dyDescent="0.25">
      <c r="J67" s="15" t="s">
        <v>52</v>
      </c>
      <c r="K67" s="20" t="str">
        <f ca="1">_xll.SUBNM(db_name&amp;":sys_YesNo","","Yes")</f>
        <v/>
      </c>
      <c r="L67"/>
    </row>
    <row r="68" spans="1:13" ht="4.5" customHeight="1" x14ac:dyDescent="0.25">
      <c r="J68" s="12"/>
    </row>
    <row r="69" spans="1:13" s="2" customFormat="1" x14ac:dyDescent="0.25">
      <c r="J69" s="21" t="s">
        <v>56</v>
      </c>
      <c r="K69" s="21" t="s">
        <v>58</v>
      </c>
      <c r="L69" s="21" t="s">
        <v>59</v>
      </c>
      <c r="M69" s="21" t="s">
        <v>60</v>
      </c>
    </row>
    <row r="70" spans="1:13" x14ac:dyDescent="0.25">
      <c r="A70" t="str">
        <f ca="1">IF(_xll.TM1RPTELISCONSOLIDATED($L$70,$L70),IF(_xll.TM1RPTELLEV($L$70,$L70)&lt;=3,_xll.TM1RPTELLEV($L$70,$L70),"D"),"N")</f>
        <v>N</v>
      </c>
      <c r="J70" s="16" t="str">
        <f ca="1">_xll.TM1RPTROW($C$45,db_name&amp;":account_cf","",,"code and description",0,$C$47)</f>
        <v/>
      </c>
      <c r="K70" s="17" t="str">
        <f ca="1">_xll.TM1RPTROW($C$45,db_name&amp;":account_other","",,"code and description",0,$C$50)</f>
        <v/>
      </c>
      <c r="L70" s="17" t="str">
        <f ca="1">_xll.TM1RPTROW($C$45,db_name&amp;":movement account","",,"code and description",0,$C$51)</f>
        <v/>
      </c>
      <c r="M70" s="24" t="str">
        <f ca="1">_xll.DBRW($C$45,$K$64,$K$65,$L70,$C$53,$J70,$C$54,$K70,$C$56,$C$55,M$54,$C$52)</f>
        <v/>
      </c>
    </row>
  </sheetData>
  <sheetProtection sheet="1" objects="1" scenarios="1"/>
  <mergeCells count="5">
    <mergeCell ref="B11:D11"/>
    <mergeCell ref="B19:D19"/>
    <mergeCell ref="B27:D27"/>
    <mergeCell ref="B44:D44"/>
    <mergeCell ref="J61:L6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IButton8">
          <controlPr defaultSize="0" print="0" autoLine="0" r:id="rId5">
            <anchor moveWithCells="1" sizeWithCells="1">
              <from>
                <xdr:col>12</xdr:col>
                <xdr:colOff>714375</xdr:colOff>
                <xdr:row>57</xdr:row>
                <xdr:rowOff>38100</xdr:rowOff>
              </from>
              <to>
                <xdr:col>13</xdr:col>
                <xdr:colOff>9525</xdr:colOff>
                <xdr:row>58</xdr:row>
                <xdr:rowOff>295275</xdr:rowOff>
              </to>
            </anchor>
          </controlPr>
        </control>
      </mc:Choice>
      <mc:Fallback>
        <control shapeId="1032" r:id="rId4" name="TIButton8"/>
      </mc:Fallback>
    </mc:AlternateContent>
    <mc:AlternateContent xmlns:mc="http://schemas.openxmlformats.org/markup-compatibility/2006">
      <mc:Choice Requires="x14">
        <control shapeId="1031" r:id="rId6" name="TIButton7">
          <controlPr defaultSize="0" print="0" autoLine="0" r:id="rId7">
            <anchor moveWithCells="1" sizeWithCells="1">
              <from>
                <xdr:col>10</xdr:col>
                <xdr:colOff>2695575</xdr:colOff>
                <xdr:row>58</xdr:row>
                <xdr:rowOff>9525</xdr:rowOff>
              </from>
              <to>
                <xdr:col>10</xdr:col>
                <xdr:colOff>4533900</xdr:colOff>
                <xdr:row>58</xdr:row>
                <xdr:rowOff>257175</xdr:rowOff>
              </to>
            </anchor>
          </controlPr>
        </control>
      </mc:Choice>
      <mc:Fallback>
        <control shapeId="1031" r:id="rId6" name="TIButton7"/>
      </mc:Fallback>
    </mc:AlternateContent>
    <mc:AlternateContent xmlns:mc="http://schemas.openxmlformats.org/markup-compatibility/2006">
      <mc:Choice Requires="x14">
        <control shapeId="1030" r:id="rId8" name="TIButton6">
          <controlPr defaultSize="0" print="0" autoLine="0" r:id="rId9">
            <anchor moveWithCells="1" sizeWithCells="1">
              <from>
                <xdr:col>10</xdr:col>
                <xdr:colOff>1419225</xdr:colOff>
                <xdr:row>58</xdr:row>
                <xdr:rowOff>9525</xdr:rowOff>
              </from>
              <to>
                <xdr:col>10</xdr:col>
                <xdr:colOff>2657475</xdr:colOff>
                <xdr:row>58</xdr:row>
                <xdr:rowOff>257175</xdr:rowOff>
              </to>
            </anchor>
          </controlPr>
        </control>
      </mc:Choice>
      <mc:Fallback>
        <control shapeId="1030" r:id="rId8" name="TIButton6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r:id="rId11">
            <anchor moveWithCells="1" sizeWithCells="1">
              <from>
                <xdr:col>9</xdr:col>
                <xdr:colOff>38100</xdr:colOff>
                <xdr:row>58</xdr:row>
                <xdr:rowOff>9525</xdr:rowOff>
              </from>
              <to>
                <xdr:col>9</xdr:col>
                <xdr:colOff>676275</xdr:colOff>
                <xdr:row>58</xdr:row>
                <xdr:rowOff>257175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r:id="rId13">
            <anchor moveWithCells="1" sizeWithCells="1">
              <from>
                <xdr:col>9</xdr:col>
                <xdr:colOff>714375</xdr:colOff>
                <xdr:row>58</xdr:row>
                <xdr:rowOff>9525</xdr:rowOff>
              </from>
              <to>
                <xdr:col>9</xdr:col>
                <xdr:colOff>2457450</xdr:colOff>
                <xdr:row>58</xdr:row>
                <xdr:rowOff>257175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7" r:id="rId14" name="TIButton4">
          <controlPr defaultSize="0" print="0" autoLine="0" r:id="rId15">
            <anchor moveWithCells="1" sizeWithCells="1">
              <from>
                <xdr:col>10</xdr:col>
                <xdr:colOff>4581525</xdr:colOff>
                <xdr:row>58</xdr:row>
                <xdr:rowOff>9525</xdr:rowOff>
              </from>
              <to>
                <xdr:col>11</xdr:col>
                <xdr:colOff>647700</xdr:colOff>
                <xdr:row>58</xdr:row>
                <xdr:rowOff>257175</xdr:rowOff>
              </to>
            </anchor>
          </controlPr>
        </control>
      </mc:Choice>
      <mc:Fallback>
        <control shapeId="1027" r:id="rId14" name="TIButton4"/>
      </mc:Fallback>
    </mc:AlternateContent>
    <mc:AlternateContent xmlns:mc="http://schemas.openxmlformats.org/markup-compatibility/2006">
      <mc:Choice Requires="x14">
        <control shapeId="1028" r:id="rId16" name="TIButton3">
          <controlPr defaultSize="0" print="0" autoLine="0" r:id="rId17">
            <anchor moveWithCells="1" sizeWithCells="1">
              <from>
                <xdr:col>9</xdr:col>
                <xdr:colOff>2495550</xdr:colOff>
                <xdr:row>58</xdr:row>
                <xdr:rowOff>9525</xdr:rowOff>
              </from>
              <to>
                <xdr:col>10</xdr:col>
                <xdr:colOff>28575</xdr:colOff>
                <xdr:row>58</xdr:row>
                <xdr:rowOff>257175</xdr:rowOff>
              </to>
            </anchor>
          </controlPr>
        </control>
      </mc:Choice>
      <mc:Fallback>
        <control shapeId="1028" r:id="rId16" name="TIButton3"/>
      </mc:Fallback>
    </mc:AlternateContent>
    <mc:AlternateContent xmlns:mc="http://schemas.openxmlformats.org/markup-compatibility/2006">
      <mc:Choice Requires="x14">
        <control shapeId="1029" r:id="rId18" name="TIButton5">
          <controlPr defaultSize="0" print="0" autoLine="0" r:id="rId19">
            <anchor moveWithCells="1" sizeWithCells="1">
              <from>
                <xdr:col>10</xdr:col>
                <xdr:colOff>85725</xdr:colOff>
                <xdr:row>58</xdr:row>
                <xdr:rowOff>9525</xdr:rowOff>
              </from>
              <to>
                <xdr:col>10</xdr:col>
                <xdr:colOff>1400175</xdr:colOff>
                <xdr:row>58</xdr:row>
                <xdr:rowOff>257175</xdr:rowOff>
              </to>
            </anchor>
          </controlPr>
        </control>
      </mc:Choice>
      <mc:Fallback>
        <control shapeId="1029" r:id="rId18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RDSMap</vt:lpstr>
      <vt:lpstr>db_name</vt:lpstr>
      <vt:lpstr>Freeze_here</vt:lpstr>
      <vt:lpstr>psApp</vt:lpstr>
      <vt:lpstr>psUser</vt:lpstr>
      <vt:lpstr>TM1AdminRDSAccountCAP</vt:lpstr>
      <vt:lpstr>TM1AdminRDSAccountWB</vt:lpstr>
      <vt:lpstr>TM1AdminRDSAccountWS</vt:lpstr>
      <vt:lpstr>TM1AdminRDSMACAP</vt:lpstr>
      <vt:lpstr>TM1AdminRDSMAWB</vt:lpstr>
      <vt:lpstr>TM1AdminRDSMAWS</vt:lpstr>
      <vt:lpstr>TM1HomeAdminCAP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RDSMap!TM1RPTDATARNG1</vt:lpstr>
      <vt:lpstr>RDSMap!TM1RPTFMTIDCOL</vt:lpstr>
      <vt:lpstr>RDSMap!TM1RPTFMTRNG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2019-04-16T03:01:42Z</dcterms:created>
  <dcterms:modified xsi:type="dcterms:W3CDTF">2025-08-05T04:52:10Z</dcterms:modified>
</cp:coreProperties>
</file>