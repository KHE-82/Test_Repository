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14D90E85-CD56-4C98-A942-3EAB14C4B040}" xr6:coauthVersionLast="47" xr6:coauthVersionMax="47" xr10:uidLastSave="{00000000-0000-0000-0000-000000000000}"/>
  <bookViews>
    <workbookView xWindow="29580" yWindow="780" windowWidth="21600" windowHeight="11385" xr2:uid="{D23E4CCB-5E32-4CCA-B899-1F9AF0631798}"/>
  </bookViews>
  <sheets>
    <sheet name="report" sheetId="1" r:id="rId1"/>
  </sheets>
  <definedNames>
    <definedName name="db_name">report!$C$12</definedName>
    <definedName name="Freeze_Here">report!#REF!</definedName>
    <definedName name="PL_progtype_list">report!$B$71:$B$72</definedName>
    <definedName name="PL_progtype_lookup">report!$B$71:$D$72</definedName>
    <definedName name="psApp">report!$C$27</definedName>
    <definedName name="psProgDimName">report!$C$23</definedName>
    <definedName name="psUser">report!$C$14</definedName>
    <definedName name="TargetCells">report!$N$108:$N$108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OthRprTBalDrillCAP">report!$D$34</definedName>
    <definedName name="TM1OthRprTBalDrillWB">report!$F$34</definedName>
    <definedName name="TM1OthRprTBalDrillWS">report!$H$34</definedName>
    <definedName name="TM1REBUILDOPTION">0</definedName>
    <definedName name="TM1RPTDATARNG1" localSheetId="0">report!$102:$102</definedName>
    <definedName name="TM1RPTDATARNGARPT1" localSheetId="0">report!$105:$105</definedName>
    <definedName name="TM1RPTDATARNGARPT1">report!$105:$105</definedName>
    <definedName name="TM1RPTDATARNGARPT2" localSheetId="0">report!$108:$108</definedName>
    <definedName name="TM1RPTFMTIDCOL" localSheetId="0">report!$A$1:$A$8</definedName>
    <definedName name="TM1RPTFMTRNG" localSheetId="0">report!$B$1:$BN$8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 a="1"/>
  <c r="C20" i="1"/>
  <c r="C23" i="1" a="1"/>
  <c r="C23" i="1"/>
  <c r="O92" i="1"/>
  <c r="C39" i="1"/>
  <c r="D66" i="1"/>
  <c r="N108" i="1"/>
  <c r="C38" i="1"/>
  <c r="D65" i="1"/>
  <c r="N105" i="1"/>
  <c r="C37" i="1"/>
  <c r="D64" i="1"/>
  <c r="N102" i="1"/>
  <c r="S91" i="1" a="1"/>
  <c r="S91" i="1"/>
  <c r="C71" i="1"/>
  <c r="C76" i="1"/>
  <c r="S90" i="1" a="1"/>
  <c r="S90" i="1"/>
  <c r="C75" i="1"/>
  <c r="C21" i="1" a="1"/>
  <c r="C21" i="1"/>
  <c r="O89" i="1" a="1"/>
  <c r="O89" i="1"/>
  <c r="C22" i="1" a="1"/>
  <c r="C22" i="1"/>
  <c r="O90" i="1" a="1"/>
  <c r="O90" i="1"/>
  <c r="O91" i="1"/>
  <c r="C44" i="1" a="1"/>
  <c r="C45" i="1" a="1"/>
  <c r="C46" i="1" a="1"/>
  <c r="C47" i="1" a="1"/>
  <c r="C48" i="1" a="1"/>
  <c r="O93" i="1"/>
  <c r="C50" i="1" a="1"/>
  <c r="C51" i="1" a="1"/>
  <c r="C52" i="1" a="1"/>
  <c r="C53" i="1" a="1"/>
  <c r="S89" i="1" a="1"/>
  <c r="S89" i="1"/>
  <c r="D76" i="1"/>
  <c r="O108" i="1" a="1"/>
  <c r="D63" i="1"/>
  <c r="C56" i="1" a="1"/>
  <c r="N20" i="1"/>
  <c r="BN20" i="1" a="1"/>
  <c r="C44" i="1"/>
  <c r="C45" i="1"/>
  <c r="C46" i="1"/>
  <c r="C47" i="1"/>
  <c r="C48" i="1"/>
  <c r="C50" i="1"/>
  <c r="C51" i="1"/>
  <c r="C52" i="1"/>
  <c r="C53" i="1"/>
  <c r="O108" i="1"/>
  <c r="C56" i="1"/>
  <c r="BN20" i="1"/>
  <c r="BN108" i="1"/>
  <c r="BM108" i="1"/>
  <c r="BL108" i="1"/>
  <c r="BK108" i="1"/>
  <c r="BJ108" i="1"/>
  <c r="BI108" i="1"/>
  <c r="BH108" i="1"/>
  <c r="BG108" i="1"/>
  <c r="BF108" i="1"/>
  <c r="D75" i="1"/>
  <c r="O105" i="1" a="1"/>
  <c r="O105" i="1"/>
  <c r="D62" i="1"/>
  <c r="BN105" i="1"/>
  <c r="BM105" i="1"/>
  <c r="BL105" i="1"/>
  <c r="BK105" i="1"/>
  <c r="BJ105" i="1"/>
  <c r="BI105" i="1"/>
  <c r="BH105" i="1"/>
  <c r="BG105" i="1"/>
  <c r="BF105" i="1"/>
  <c r="C74" i="1"/>
  <c r="D74" i="1"/>
  <c r="O102" i="1" a="1"/>
  <c r="O102" i="1"/>
  <c r="D61" i="1"/>
  <c r="BN102" i="1"/>
  <c r="BM102" i="1"/>
  <c r="BL102" i="1"/>
  <c r="BK102" i="1"/>
  <c r="BJ102" i="1"/>
  <c r="BI102" i="1"/>
  <c r="BH102" i="1"/>
  <c r="BG102" i="1"/>
  <c r="BF102" i="1"/>
  <c r="BF96" i="1"/>
  <c r="BD20" i="1" a="1"/>
  <c r="BD20" i="1"/>
  <c r="BD108" i="1"/>
  <c r="BC108" i="1"/>
  <c r="BB108" i="1"/>
  <c r="BA108" i="1"/>
  <c r="AZ108" i="1"/>
  <c r="AY108" i="1"/>
  <c r="AX108" i="1"/>
  <c r="AW108" i="1"/>
  <c r="AV108" i="1"/>
  <c r="BD105" i="1"/>
  <c r="BC105" i="1"/>
  <c r="BB105" i="1"/>
  <c r="BA105" i="1"/>
  <c r="AZ105" i="1"/>
  <c r="AY105" i="1"/>
  <c r="AX105" i="1"/>
  <c r="AW105" i="1"/>
  <c r="AV105" i="1"/>
  <c r="BD102" i="1"/>
  <c r="BC102" i="1"/>
  <c r="BB102" i="1"/>
  <c r="BA102" i="1"/>
  <c r="AZ102" i="1"/>
  <c r="AY102" i="1"/>
  <c r="AX102" i="1"/>
  <c r="AW102" i="1"/>
  <c r="AV102" i="1"/>
  <c r="AV96" i="1"/>
  <c r="AT20" i="1" a="1"/>
  <c r="AT20" i="1"/>
  <c r="AT108" i="1"/>
  <c r="AS108" i="1"/>
  <c r="AR108" i="1"/>
  <c r="AQ108" i="1"/>
  <c r="AP108" i="1"/>
  <c r="AO108" i="1"/>
  <c r="AN108" i="1"/>
  <c r="AM108" i="1"/>
  <c r="AL108" i="1"/>
  <c r="AT105" i="1"/>
  <c r="AS105" i="1"/>
  <c r="AR105" i="1"/>
  <c r="AQ105" i="1"/>
  <c r="AP105" i="1"/>
  <c r="AO105" i="1"/>
  <c r="AN105" i="1"/>
  <c r="AM105" i="1"/>
  <c r="AL105" i="1"/>
  <c r="AT102" i="1"/>
  <c r="AS102" i="1"/>
  <c r="AR102" i="1"/>
  <c r="AQ102" i="1"/>
  <c r="AP102" i="1"/>
  <c r="AO102" i="1"/>
  <c r="AN102" i="1"/>
  <c r="AM102" i="1"/>
  <c r="AL102" i="1"/>
  <c r="AL96" i="1"/>
  <c r="AJ20" i="1" a="1"/>
  <c r="AJ20" i="1"/>
  <c r="AB96" i="1"/>
  <c r="Z20" i="1" a="1"/>
  <c r="Z20" i="1"/>
  <c r="Z102" i="1"/>
  <c r="AJ108" i="1"/>
  <c r="AI108" i="1"/>
  <c r="AH108" i="1"/>
  <c r="AG108" i="1"/>
  <c r="AF108" i="1"/>
  <c r="AE108" i="1"/>
  <c r="AD108" i="1"/>
  <c r="AC108" i="1"/>
  <c r="AB108" i="1"/>
  <c r="AJ105" i="1"/>
  <c r="AI105" i="1"/>
  <c r="AH105" i="1"/>
  <c r="AG105" i="1"/>
  <c r="AF105" i="1"/>
  <c r="AE105" i="1"/>
  <c r="AD105" i="1"/>
  <c r="AC105" i="1"/>
  <c r="AB105" i="1"/>
  <c r="AJ102" i="1"/>
  <c r="AI102" i="1"/>
  <c r="AH102" i="1"/>
  <c r="AG102" i="1"/>
  <c r="AF102" i="1"/>
  <c r="AE102" i="1"/>
  <c r="AD102" i="1"/>
  <c r="AC102" i="1"/>
  <c r="AB102" i="1"/>
  <c r="Z108" i="1"/>
  <c r="Y108" i="1"/>
  <c r="X108" i="1"/>
  <c r="W108" i="1"/>
  <c r="V108" i="1"/>
  <c r="U108" i="1"/>
  <c r="T108" i="1"/>
  <c r="S108" i="1"/>
  <c r="R108" i="1"/>
  <c r="Z105" i="1"/>
  <c r="Y105" i="1"/>
  <c r="X105" i="1"/>
  <c r="W105" i="1"/>
  <c r="V105" i="1"/>
  <c r="U105" i="1"/>
  <c r="T105" i="1"/>
  <c r="S105" i="1"/>
  <c r="R105" i="1"/>
  <c r="R102" i="1"/>
  <c r="S102" i="1"/>
  <c r="T102" i="1"/>
  <c r="U102" i="1"/>
  <c r="V102" i="1"/>
  <c r="W102" i="1"/>
  <c r="X102" i="1"/>
  <c r="Y102" i="1"/>
  <c r="C57" i="1"/>
  <c r="R96" i="1"/>
  <c r="Z80" i="1"/>
  <c r="Y80" i="1"/>
  <c r="X80" i="1"/>
  <c r="W80" i="1"/>
  <c r="V80" i="1"/>
  <c r="U80" i="1"/>
  <c r="T80" i="1"/>
  <c r="S80" i="1"/>
  <c r="R80" i="1"/>
  <c r="Y94" i="1"/>
  <c r="C40" i="1"/>
  <c r="C26" i="1"/>
  <c r="C41" i="1" a="1"/>
  <c r="C41" i="1"/>
  <c r="K108" i="1" a="1"/>
  <c r="K108" i="1"/>
  <c r="A108" i="1" a="1"/>
  <c r="A108" i="1"/>
  <c r="K105" i="1" a="1"/>
  <c r="K105" i="1"/>
  <c r="A105" i="1" a="1"/>
  <c r="A105" i="1"/>
  <c r="K102" i="1" a="1"/>
  <c r="K102" i="1"/>
  <c r="A102" i="1" a="1"/>
  <c r="A102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C13" i="1" a="1"/>
  <c r="C13" i="1"/>
  <c r="C14" i="1" a="1"/>
  <c r="C14" i="1"/>
  <c r="C16" i="1" a="1"/>
  <c r="C16" i="1"/>
  <c r="C15" i="1" a="1"/>
  <c r="C15" i="1"/>
  <c r="C17" i="1"/>
  <c r="P108" i="1"/>
  <c r="P105" i="1"/>
  <c r="P102" i="1"/>
  <c r="C78" i="1"/>
  <c r="C77" i="1"/>
  <c r="C72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<sst xmlns="http://schemas.openxmlformats.org/spreadsheetml/2006/main" count="168" uniqueCount="112">
  <si>
    <t>headline year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</si>
  <si>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</si>
  <si>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</si>
  <si>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</si>
  <si>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</si>
  <si>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</si>
  <si>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</si>
  <si>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</si>
  <si>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</si>
  <si>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movement account</t>
  </si>
  <si>
    <t>appropriation item</t>
  </si>
  <si>
    <t>id</t>
  </si>
  <si>
    <t>jurisdiction</t>
  </si>
  <si>
    <t>D</t>
  </si>
  <si>
    <t>N</t>
  </si>
  <si>
    <t>[Begin Format Range]</t>
  </si>
  <si>
    <t>[End Format Range]</t>
  </si>
  <si>
    <t>System Parameters</t>
  </si>
  <si>
    <t>Dataabase Name</t>
  </si>
  <si>
    <t xml:space="preserve">System Variables </t>
  </si>
  <si>
    <t>Period Variables</t>
  </si>
  <si>
    <t>headline scenario</t>
  </si>
  <si>
    <t>current</t>
  </si>
  <si>
    <t>Report Variables</t>
  </si>
  <si>
    <t>IS AF RPTView</t>
  </si>
  <si>
    <t>BS AF RPTView</t>
  </si>
  <si>
    <t>CFS AF RPT View</t>
  </si>
  <si>
    <t>AE Adj Cube Slice</t>
  </si>
  <si>
    <t>DR/CR Slice View</t>
  </si>
  <si>
    <t xml:space="preserve">Headline year:    </t>
  </si>
  <si>
    <t>See Rreport Parameters</t>
  </si>
  <si>
    <t xml:space="preserve">Scenario:    </t>
  </si>
  <si>
    <t xml:space="preserve">Programme:    </t>
  </si>
  <si>
    <t>Account:</t>
  </si>
  <si>
    <t>See MDX</t>
  </si>
  <si>
    <t>Period</t>
  </si>
  <si>
    <t>See Period Variables</t>
  </si>
  <si>
    <t>Report MDX</t>
  </si>
  <si>
    <t>IS Account MDX</t>
  </si>
  <si>
    <t>BS Account MDX</t>
  </si>
  <si>
    <t>CFS Account MDX</t>
  </si>
  <si>
    <t>Programmes MDX</t>
  </si>
  <si>
    <t>Drill Function</t>
  </si>
  <si>
    <t>Report Parameters:</t>
  </si>
  <si>
    <t>Income</t>
  </si>
  <si>
    <t>Balance Sheet</t>
  </si>
  <si>
    <t>CashFlow</t>
  </si>
  <si>
    <t>Income Statement</t>
  </si>
  <si>
    <t>Cash Flow Statement</t>
  </si>
  <si>
    <t>MDX To Use</t>
  </si>
  <si>
    <t>Cash Flow</t>
  </si>
  <si>
    <t>REPORT PARAMETERS</t>
  </si>
  <si>
    <t>RB</t>
  </si>
  <si>
    <t>NB</t>
  </si>
  <si>
    <t>FE1</t>
  </si>
  <si>
    <t>FE2</t>
  </si>
  <si>
    <t>FE3</t>
  </si>
  <si>
    <t>ACCOUNT</t>
  </si>
  <si>
    <t>DR/CR</t>
  </si>
  <si>
    <t>$'000</t>
  </si>
  <si>
    <t>PROGRAM</t>
  </si>
  <si>
    <t>sys_application</t>
  </si>
  <si>
    <t>Slice View</t>
  </si>
  <si>
    <t>Current Workbook</t>
  </si>
  <si>
    <t>Reports - Primary Financial Statements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</si>
  <si>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</si>
  <si>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</si>
  <si>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</si>
  <si>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</si>
  <si>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</si>
  <si>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</si>
  <si>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</si>
  <si>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</si>
  <si>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</si>
  <si>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program dimension name</t>
  </si>
  <si>
    <t>VIEW</t>
  </si>
  <si>
    <t xml:space="preserve">Financial Statements </t>
  </si>
  <si>
    <t>DISPLAY SETTINGS</t>
  </si>
  <si>
    <t>Collapse</t>
  </si>
  <si>
    <t>Expand</t>
  </si>
  <si>
    <t>Homepage - Reports - Other</t>
  </si>
  <si>
    <t>As at</t>
  </si>
  <si>
    <t>}Clients</t>
  </si>
  <si>
    <t>TM1 User</t>
  </si>
  <si>
    <t>}TM1_DefaultDisplayValue</t>
  </si>
  <si>
    <t>GEUS User Name</t>
  </si>
  <si>
    <t>Current User</t>
  </si>
  <si>
    <t xml:space="preserve">Headline Year : </t>
  </si>
  <si>
    <t>Scenario :</t>
  </si>
  <si>
    <t>Status :</t>
  </si>
  <si>
    <t>Program :</t>
  </si>
  <si>
    <t>Homepage - Reports - Analytical</t>
  </si>
  <si>
    <t>Other Reports - Trial Balance Drill</t>
  </si>
  <si>
    <t>SPP :</t>
  </si>
  <si>
    <t>-</t>
  </si>
  <si>
    <t>ACT</t>
  </si>
  <si>
    <t>NSW</t>
  </si>
  <si>
    <t>QLD</t>
  </si>
  <si>
    <t>NT</t>
  </si>
  <si>
    <t>WA</t>
  </si>
  <si>
    <t>SA</t>
  </si>
  <si>
    <t>VIC</t>
  </si>
  <si>
    <t>TAS</t>
  </si>
  <si>
    <t>No_Jurisdiction</t>
  </si>
  <si>
    <t xml:space="preserve"> </t>
  </si>
  <si>
    <t>Double Quo</t>
  </si>
  <si>
    <t>"</t>
  </si>
  <si>
    <t>Account - Jur Required - IS</t>
  </si>
  <si>
    <t>Account - Jur Required - BC</t>
  </si>
  <si>
    <t>Account - Jur Required - CFS</t>
  </si>
  <si>
    <t>Note : It only displays accounts that require Jurisdiction and SPP codes.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</si>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</sst>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+ &quot;@"/>
    <numFmt numFmtId="165" formatCode="_(* #,##0.00_);_(* \(#,##0.00\);_(* &quot;-&quot;??_);_(@_)"/>
    <numFmt numFmtId="166" formatCode="_-* #,##0_-;[Red]* \(#,##0\)_-;_-* &quot;-&quot;??_-;_-@_-"/>
    <numFmt numFmtId="167" formatCode="dd\ mmmm\ yyyy\ h:mm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00426A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Arial"/>
      <family val="2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3F48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3" fillId="0" borderId="6" xfId="0" applyFont="1" applyBorder="1"/>
    <xf numFmtId="0" fontId="0" fillId="0" borderId="11" xfId="0" applyBorder="1"/>
    <xf numFmtId="0" fontId="0" fillId="0" borderId="12" xfId="0" applyBorder="1"/>
    <xf numFmtId="0" fontId="3" fillId="0" borderId="11" xfId="0" applyFont="1" applyBorder="1"/>
    <xf numFmtId="0" fontId="0" fillId="2" borderId="12" xfId="0" applyFill="1" applyBorder="1"/>
    <xf numFmtId="0" fontId="3" fillId="0" borderId="9" xfId="0" applyFont="1" applyBorder="1"/>
    <xf numFmtId="0" fontId="0" fillId="2" borderId="10" xfId="0" applyFill="1" applyBorder="1"/>
    <xf numFmtId="0" fontId="5" fillId="0" borderId="8" xfId="0" quotePrefix="1" applyFont="1" applyBorder="1"/>
    <xf numFmtId="0" fontId="6" fillId="0" borderId="7" xfId="0" applyFont="1" applyBorder="1"/>
    <xf numFmtId="0" fontId="5" fillId="0" borderId="8" xfId="0" applyFont="1" applyBorder="1"/>
    <xf numFmtId="0" fontId="6" fillId="0" borderId="0" xfId="0" applyFont="1"/>
    <xf numFmtId="0" fontId="3" fillId="2" borderId="2" xfId="0" applyFont="1" applyFill="1" applyBorder="1"/>
    <xf numFmtId="0" fontId="3" fillId="2" borderId="15" xfId="0" applyFont="1" applyFill="1" applyBorder="1"/>
    <xf numFmtId="0" fontId="7" fillId="2" borderId="16" xfId="0" applyFont="1" applyFill="1" applyBorder="1"/>
    <xf numFmtId="0" fontId="5" fillId="0" borderId="17" xfId="0" applyFont="1" applyBorder="1"/>
    <xf numFmtId="0" fontId="5" fillId="0" borderId="18" xfId="0" applyFont="1" applyBorder="1"/>
    <xf numFmtId="0" fontId="5" fillId="0" borderId="7" xfId="0" applyFont="1" applyBorder="1"/>
    <xf numFmtId="0" fontId="0" fillId="0" borderId="0" xfId="0" quotePrefix="1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21" xfId="0" applyBorder="1"/>
    <xf numFmtId="0" fontId="7" fillId="4" borderId="1" xfId="0" applyFont="1" applyFill="1" applyBorder="1"/>
    <xf numFmtId="0" fontId="5" fillId="0" borderId="1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6" fillId="0" borderId="8" xfId="0" applyFont="1" applyBorder="1"/>
    <xf numFmtId="0" fontId="0" fillId="0" borderId="0" xfId="0" applyProtection="1"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 indent="1"/>
    </xf>
    <xf numFmtId="0" fontId="2" fillId="5" borderId="8" xfId="0" applyFont="1" applyFill="1" applyBorder="1" applyAlignment="1">
      <alignment horizontal="center" wrapText="1"/>
    </xf>
    <xf numFmtId="0" fontId="3" fillId="0" borderId="1" xfId="0" applyFont="1" applyBorder="1"/>
    <xf numFmtId="0" fontId="0" fillId="0" borderId="1" xfId="0" applyBorder="1"/>
    <xf numFmtId="0" fontId="7" fillId="4" borderId="19" xfId="0" applyFont="1" applyFill="1" applyBorder="1"/>
    <xf numFmtId="0" fontId="7" fillId="4" borderId="1" xfId="0" applyFont="1" applyFill="1" applyBorder="1" applyAlignment="1">
      <alignment horizontal="center"/>
    </xf>
    <xf numFmtId="0" fontId="5" fillId="0" borderId="19" xfId="0" applyFont="1" applyBorder="1"/>
    <xf numFmtId="0" fontId="5" fillId="0" borderId="1" xfId="0" applyFont="1" applyBorder="1" applyAlignment="1">
      <alignment horizontal="center"/>
    </xf>
    <xf numFmtId="166" fontId="5" fillId="0" borderId="26" xfId="2" applyNumberFormat="1" applyFont="1" applyBorder="1"/>
    <xf numFmtId="164" fontId="5" fillId="0" borderId="19" xfId="0" applyNumberFormat="1" applyFont="1" applyBorder="1"/>
    <xf numFmtId="0" fontId="12" fillId="0" borderId="5" xfId="0" applyFont="1" applyBorder="1"/>
    <xf numFmtId="0" fontId="11" fillId="0" borderId="5" xfId="0" applyFont="1" applyBorder="1"/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3" fillId="0" borderId="8" xfId="0" applyFont="1" applyBorder="1"/>
    <xf numFmtId="0" fontId="0" fillId="0" borderId="14" xfId="0" applyBorder="1"/>
    <xf numFmtId="0" fontId="0" fillId="0" borderId="22" xfId="0" applyBorder="1"/>
    <xf numFmtId="0" fontId="0" fillId="0" borderId="8" xfId="0" quotePrefix="1" applyBorder="1"/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right" vertical="center"/>
    </xf>
    <xf numFmtId="0" fontId="0" fillId="0" borderId="8" xfId="0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0" fillId="0" borderId="8" xfId="0" applyBorder="1" applyAlignment="1">
      <alignment horizontal="left"/>
    </xf>
    <xf numFmtId="0" fontId="0" fillId="0" borderId="8" xfId="0" applyBorder="1" applyAlignment="1" applyProtection="1">
      <alignment horizontal="left" indent="1"/>
      <protection locked="0"/>
    </xf>
    <xf numFmtId="0" fontId="2" fillId="3" borderId="0" xfId="0" applyFont="1" applyFill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13" fillId="0" borderId="0" xfId="0" applyFont="1"/>
    <xf numFmtId="166" fontId="9" fillId="0" borderId="0" xfId="2" applyNumberFormat="1" applyFont="1" applyFill="1" applyBorder="1"/>
    <xf numFmtId="166" fontId="14" fillId="0" borderId="0" xfId="2" applyNumberFormat="1" applyFont="1" applyFill="1" applyBorder="1"/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4" fillId="0" borderId="0" xfId="0" applyFont="1"/>
    <xf numFmtId="0" fontId="2" fillId="0" borderId="0" xfId="0" applyFont="1" applyAlignment="1">
      <alignment horizontal="center" vertical="center"/>
    </xf>
    <xf numFmtId="0" fontId="13" fillId="0" borderId="21" xfId="0" applyFont="1" applyBorder="1"/>
    <xf numFmtId="0" fontId="13" fillId="0" borderId="1" xfId="0" applyFont="1" applyBorder="1" applyAlignment="1">
      <alignment horizontal="center"/>
    </xf>
    <xf numFmtId="0" fontId="0" fillId="2" borderId="20" xfId="0" applyFill="1" applyBorder="1" applyAlignment="1">
      <alignment horizontal="center"/>
    </xf>
    <xf numFmtId="166" fontId="7" fillId="4" borderId="19" xfId="2" applyNumberFormat="1" applyFont="1" applyFill="1" applyBorder="1" applyAlignment="1">
      <alignment horizontal="right"/>
    </xf>
    <xf numFmtId="166" fontId="5" fillId="0" borderId="26" xfId="0" applyNumberFormat="1" applyFont="1" applyBorder="1"/>
    <xf numFmtId="166" fontId="5" fillId="0" borderId="0" xfId="0" applyNumberFormat="1" applyFont="1"/>
    <xf numFmtId="166" fontId="5" fillId="0" borderId="19" xfId="2" applyNumberFormat="1" applyFont="1" applyBorder="1" applyAlignment="1"/>
    <xf numFmtId="166" fontId="7" fillId="4" borderId="26" xfId="0" applyNumberFormat="1" applyFont="1" applyFill="1" applyBorder="1" applyAlignment="1">
      <alignment horizontal="right"/>
    </xf>
    <xf numFmtId="166" fontId="7" fillId="4" borderId="0" xfId="0" applyNumberFormat="1" applyFont="1" applyFill="1" applyAlignment="1">
      <alignment horizontal="right"/>
    </xf>
    <xf numFmtId="0" fontId="15" fillId="0" borderId="0" xfId="0" applyFont="1"/>
    <xf numFmtId="0" fontId="5" fillId="0" borderId="1" xfId="0" applyFont="1" applyBorder="1" applyAlignment="1">
      <alignment horizontal="left" indent="7"/>
    </xf>
    <xf numFmtId="0" fontId="5" fillId="0" borderId="1" xfId="0" applyFont="1" applyBorder="1" applyAlignment="1">
      <alignment horizontal="left" indent="6"/>
    </xf>
    <xf numFmtId="0" fontId="5" fillId="0" borderId="1" xfId="0" applyFont="1" applyBorder="1" applyAlignment="1">
      <alignment horizontal="left" indent="2"/>
    </xf>
    <xf numFmtId="0" fontId="16" fillId="0" borderId="0" xfId="0" applyFont="1" applyAlignment="1" applyProtection="1">
      <alignment horizontal="left" indent="1"/>
      <protection locked="0"/>
    </xf>
    <xf numFmtId="0" fontId="2" fillId="3" borderId="3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7" fontId="3" fillId="0" borderId="0" xfId="0" applyNumberFormat="1" applyFont="1" applyAlignment="1">
      <alignment horizontal="left" indent="1"/>
    </xf>
    <xf numFmtId="0" fontId="2" fillId="5" borderId="26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/>
    </xf>
    <xf numFmtId="0" fontId="4" fillId="3" borderId="27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</cellXfs>
  <cellStyles count="3">
    <cellStyle name="Comma 4" xfId="2" xr:uid="{06906776-0D6D-4496-8F37-C8AE0AC44E8D}"/>
    <cellStyle name="Normal" xfId="0" builtinId="0"/>
    <cellStyle name="Normal 3" xfId="1" xr:uid="{494BE47B-15C7-4454-878E-EB9C91A5A9B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82</xdr:row>
      <xdr:rowOff>28575</xdr:rowOff>
    </xdr:from>
    <xdr:to>
      <xdr:col>13</xdr:col>
      <xdr:colOff>1845522</xdr:colOff>
      <xdr:row>82</xdr:row>
      <xdr:rowOff>474345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864572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28575</xdr:colOff>
          <xdr:row>84</xdr:row>
          <xdr:rowOff>0</xdr:rowOff>
        </xdr:from>
        <xdr:to>
          <xdr:col>13</xdr:col>
          <xdr:colOff>666750</xdr:colOff>
          <xdr:row>84</xdr:row>
          <xdr:rowOff>247650</xdr:rowOff>
        </xdr:to>
        <xdr:sp macro="" textlink="">
          <xdr:nvSpPr>
            <xdr:cNvPr id="1034" name="TIButton2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2686050</xdr:colOff>
          <xdr:row>84</xdr:row>
          <xdr:rowOff>0</xdr:rowOff>
        </xdr:from>
        <xdr:to>
          <xdr:col>15</xdr:col>
          <xdr:colOff>85725</xdr:colOff>
          <xdr:row>84</xdr:row>
          <xdr:rowOff>247650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704850</xdr:colOff>
          <xdr:row>84</xdr:row>
          <xdr:rowOff>0</xdr:rowOff>
        </xdr:from>
        <xdr:to>
          <xdr:col>13</xdr:col>
          <xdr:colOff>1828800</xdr:colOff>
          <xdr:row>84</xdr:row>
          <xdr:rowOff>247650</xdr:rowOff>
        </xdr:to>
        <xdr:sp macro="" textlink="">
          <xdr:nvSpPr>
            <xdr:cNvPr id="1036" name="TIButton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65</xdr:col>
          <xdr:colOff>552450</xdr:colOff>
          <xdr:row>83</xdr:row>
          <xdr:rowOff>38100</xdr:rowOff>
        </xdr:from>
        <xdr:to>
          <xdr:col>65</xdr:col>
          <xdr:colOff>876300</xdr:colOff>
          <xdr:row>84</xdr:row>
          <xdr:rowOff>285750</xdr:rowOff>
        </xdr:to>
        <xdr:sp macro="" textlink="">
          <xdr:nvSpPr>
            <xdr:cNvPr id="1037" name="TIButton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1857375</xdr:colOff>
          <xdr:row>84</xdr:row>
          <xdr:rowOff>0</xdr:rowOff>
        </xdr:from>
        <xdr:to>
          <xdr:col>13</xdr:col>
          <xdr:colOff>3209925</xdr:colOff>
          <xdr:row>84</xdr:row>
          <xdr:rowOff>247650</xdr:rowOff>
        </xdr:to>
        <xdr:sp macro="" textlink="">
          <xdr:nvSpPr>
            <xdr:cNvPr id="1038" name="TIButton5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3228975</xdr:colOff>
          <xdr:row>84</xdr:row>
          <xdr:rowOff>0</xdr:rowOff>
        </xdr:from>
        <xdr:to>
          <xdr:col>14</xdr:col>
          <xdr:colOff>1400175</xdr:colOff>
          <xdr:row>84</xdr:row>
          <xdr:rowOff>247650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1428750</xdr:colOff>
          <xdr:row>84</xdr:row>
          <xdr:rowOff>0</xdr:rowOff>
        </xdr:from>
        <xdr:to>
          <xdr:col>14</xdr:col>
          <xdr:colOff>2638425</xdr:colOff>
          <xdr:row>84</xdr:row>
          <xdr:rowOff>247650</xdr:rowOff>
        </xdr:to>
        <xdr:sp macro="" textlink="">
          <xdr:nvSpPr>
            <xdr:cNvPr id="1040" name="TIButton7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689E-463C-4E3C-A9ED-D00C7FCCF1BB}">
  <sheetPr codeName="Sheet1">
    <outlinePr showOutlineSymbols="0"/>
    <pageSetUpPr fitToPage="1"/>
  </sheetPr>
  <dimension ref="A1:BP109"/>
  <sheetViews>
    <sheetView showGridLines="0" showRowColHeaders="0" tabSelected="1" showOutlineSymbols="0" topLeftCell="A83" workbookViewId="0">
      <pane xSplit="17" ySplit="19" topLeftCell="R102" activePane="bottomRight" state="frozen"/>
      <selection activeCell="M83" sqref="M83"/>
      <selection pane="topRight" activeCell="R83" sqref="R83"/>
      <selection pane="bottomLeft" activeCell="M102" sqref="M102"/>
      <selection pane="bottomRight"/>
    </sheetView>
  </sheetViews>
  <sheetFormatPr defaultColWidth="15.7109375" defaultRowHeight="15" outlineLevelRow="1" outlineLevelCol="1" x14ac:dyDescent="0.25"/>
  <cols>
    <col min="1" max="1" width="20.28515625" hidden="1" customWidth="1" outlineLevel="1"/>
    <col min="2" max="2" width="15.7109375" hidden="1" customWidth="1" outlineLevel="1"/>
    <col min="3" max="3" width="33.7109375" hidden="1" customWidth="1" outlineLevel="1"/>
    <col min="4" max="12" width="15.7109375" hidden="1" customWidth="1" outlineLevel="1"/>
    <col min="13" max="13" width="0.85546875" customWidth="1" collapsed="1"/>
    <col min="14" max="15" width="50.7109375" customWidth="1"/>
    <col min="16" max="16" width="6.7109375" customWidth="1"/>
    <col min="17" max="17" width="1.28515625" style="70" customWidth="1"/>
    <col min="18" max="25" width="15.7109375" customWidth="1"/>
    <col min="27" max="27" width="1.28515625" style="70" customWidth="1"/>
    <col min="28" max="35" width="15.7109375" customWidth="1"/>
    <col min="37" max="37" width="1.28515625" style="70" customWidth="1"/>
    <col min="47" max="47" width="1.28515625" style="70" customWidth="1"/>
    <col min="57" max="57" width="1.28515625" style="70" customWidth="1"/>
  </cols>
  <sheetData>
    <row r="1" spans="1:66" hidden="1" outlineLevel="1" x14ac:dyDescent="0.25">
      <c r="A1" t="s">
        <v>15</v>
      </c>
      <c r="AU1" s="70" t="s">
        <v>104</v>
      </c>
      <c r="BE1" s="70" t="s">
        <v>104</v>
      </c>
    </row>
    <row r="2" spans="1:66" hidden="1" outlineLevel="1" x14ac:dyDescent="0.25">
      <c r="A2">
        <f>0</f>
        <v>0</v>
      </c>
      <c r="B2" s="43"/>
      <c r="D2" s="2"/>
      <c r="E2" s="2"/>
      <c r="F2" s="2"/>
      <c r="G2" s="2"/>
      <c r="H2" s="2"/>
      <c r="I2" s="2"/>
      <c r="J2" s="2"/>
      <c r="K2" s="18"/>
      <c r="L2" s="2"/>
      <c r="M2" s="2"/>
      <c r="N2" s="32"/>
      <c r="O2" s="45"/>
      <c r="P2" s="46"/>
      <c r="Q2" s="71"/>
      <c r="R2" s="84">
        <v>100</v>
      </c>
      <c r="S2" s="85">
        <v>100.01</v>
      </c>
      <c r="T2" s="85"/>
      <c r="U2" s="85"/>
      <c r="V2" s="85"/>
      <c r="W2" s="85"/>
      <c r="X2" s="85"/>
      <c r="Y2" s="85"/>
      <c r="Z2" s="80">
        <v>100</v>
      </c>
      <c r="AA2" s="71"/>
      <c r="AB2" s="84">
        <v>100</v>
      </c>
      <c r="AC2" s="85">
        <v>100.01</v>
      </c>
      <c r="AD2" s="85"/>
      <c r="AE2" s="85"/>
      <c r="AF2" s="85"/>
      <c r="AG2" s="85"/>
      <c r="AH2" s="85"/>
      <c r="AI2" s="85"/>
      <c r="AJ2" s="80">
        <v>100</v>
      </c>
      <c r="AK2" s="71"/>
      <c r="AL2" s="84">
        <v>100</v>
      </c>
      <c r="AM2" s="85">
        <v>100.01</v>
      </c>
      <c r="AN2" s="85"/>
      <c r="AO2" s="85"/>
      <c r="AP2" s="85"/>
      <c r="AQ2" s="85"/>
      <c r="AR2" s="85"/>
      <c r="AS2" s="85"/>
      <c r="AT2" s="80">
        <v>100</v>
      </c>
      <c r="AU2" s="71"/>
      <c r="AV2" s="84">
        <v>100</v>
      </c>
      <c r="AW2" s="85">
        <v>100.01</v>
      </c>
      <c r="AX2" s="85"/>
      <c r="AY2" s="85"/>
      <c r="AZ2" s="85"/>
      <c r="BA2" s="85"/>
      <c r="BB2" s="85"/>
      <c r="BC2" s="85"/>
      <c r="BD2" s="80">
        <v>100</v>
      </c>
      <c r="BE2" s="71"/>
      <c r="BF2" s="84">
        <v>100</v>
      </c>
      <c r="BG2" s="85">
        <v>100.01</v>
      </c>
      <c r="BH2" s="85"/>
      <c r="BI2" s="85"/>
      <c r="BJ2" s="85"/>
      <c r="BK2" s="85"/>
      <c r="BL2" s="85"/>
      <c r="BM2" s="85"/>
      <c r="BN2" s="80">
        <v>100</v>
      </c>
    </row>
    <row r="3" spans="1:66" hidden="1" outlineLevel="1" x14ac:dyDescent="0.25">
      <c r="A3">
        <f>1</f>
        <v>1</v>
      </c>
      <c r="B3" s="44"/>
      <c r="D3" s="2"/>
      <c r="E3" s="2"/>
      <c r="F3" s="2"/>
      <c r="G3" s="2"/>
      <c r="H3" s="2"/>
      <c r="I3" s="2"/>
      <c r="J3" s="2"/>
      <c r="K3" s="18"/>
      <c r="L3" s="2"/>
      <c r="M3" s="2"/>
      <c r="N3" s="32"/>
      <c r="O3" s="45"/>
      <c r="P3" s="46"/>
      <c r="Q3" s="71"/>
      <c r="R3" s="84"/>
      <c r="S3" s="85"/>
      <c r="T3" s="85"/>
      <c r="U3" s="85"/>
      <c r="V3" s="85"/>
      <c r="W3" s="85"/>
      <c r="X3" s="85"/>
      <c r="Y3" s="85"/>
      <c r="Z3" s="80"/>
      <c r="AA3" s="71"/>
      <c r="AB3" s="84"/>
      <c r="AC3" s="85"/>
      <c r="AD3" s="85"/>
      <c r="AE3" s="85"/>
      <c r="AF3" s="85"/>
      <c r="AG3" s="85"/>
      <c r="AH3" s="85"/>
      <c r="AI3" s="85"/>
      <c r="AJ3" s="80"/>
      <c r="AK3" s="71"/>
      <c r="AL3" s="84"/>
      <c r="AM3" s="85"/>
      <c r="AN3" s="85"/>
      <c r="AO3" s="85"/>
      <c r="AP3" s="85"/>
      <c r="AQ3" s="85"/>
      <c r="AR3" s="85"/>
      <c r="AS3" s="85"/>
      <c r="AT3" s="80"/>
      <c r="AU3" s="71"/>
      <c r="AV3" s="84"/>
      <c r="AW3" s="85"/>
      <c r="AX3" s="85"/>
      <c r="AY3" s="85"/>
      <c r="AZ3" s="85"/>
      <c r="BA3" s="85"/>
      <c r="BB3" s="85"/>
      <c r="BC3" s="85"/>
      <c r="BD3" s="80"/>
      <c r="BE3" s="71"/>
      <c r="BF3" s="84"/>
      <c r="BG3" s="85"/>
      <c r="BH3" s="85"/>
      <c r="BI3" s="85"/>
      <c r="BJ3" s="85"/>
      <c r="BK3" s="85"/>
      <c r="BL3" s="85"/>
      <c r="BM3" s="85"/>
      <c r="BN3" s="80"/>
    </row>
    <row r="4" spans="1:66" hidden="1" outlineLevel="1" x14ac:dyDescent="0.25">
      <c r="A4">
        <f>2</f>
        <v>2</v>
      </c>
      <c r="B4" s="44"/>
      <c r="D4" s="2"/>
      <c r="E4" s="2"/>
      <c r="F4" s="2"/>
      <c r="G4" s="2"/>
      <c r="H4" s="2"/>
      <c r="I4" s="2"/>
      <c r="J4" s="2"/>
      <c r="K4" s="18"/>
      <c r="L4" s="2"/>
      <c r="M4" s="2"/>
      <c r="N4" s="32"/>
      <c r="O4" s="45"/>
      <c r="P4" s="46"/>
      <c r="Q4" s="71"/>
      <c r="R4" s="84"/>
      <c r="S4" s="85"/>
      <c r="T4" s="85"/>
      <c r="U4" s="85"/>
      <c r="V4" s="85"/>
      <c r="W4" s="85"/>
      <c r="X4" s="85"/>
      <c r="Y4" s="85"/>
      <c r="Z4" s="80"/>
      <c r="AA4" s="71"/>
      <c r="AB4" s="84"/>
      <c r="AC4" s="85"/>
      <c r="AD4" s="85"/>
      <c r="AE4" s="85"/>
      <c r="AF4" s="85"/>
      <c r="AG4" s="85"/>
      <c r="AH4" s="85"/>
      <c r="AI4" s="85"/>
      <c r="AJ4" s="80"/>
      <c r="AK4" s="71"/>
      <c r="AL4" s="84"/>
      <c r="AM4" s="85"/>
      <c r="AN4" s="85"/>
      <c r="AO4" s="85"/>
      <c r="AP4" s="85"/>
      <c r="AQ4" s="85"/>
      <c r="AR4" s="85"/>
      <c r="AS4" s="85"/>
      <c r="AT4" s="80"/>
      <c r="AU4" s="71"/>
      <c r="AV4" s="84"/>
      <c r="AW4" s="85"/>
      <c r="AX4" s="85"/>
      <c r="AY4" s="85"/>
      <c r="AZ4" s="85"/>
      <c r="BA4" s="85"/>
      <c r="BB4" s="85"/>
      <c r="BC4" s="85"/>
      <c r="BD4" s="80"/>
      <c r="BE4" s="71"/>
      <c r="BF4" s="84"/>
      <c r="BG4" s="85"/>
      <c r="BH4" s="85"/>
      <c r="BI4" s="85"/>
      <c r="BJ4" s="85"/>
      <c r="BK4" s="85"/>
      <c r="BL4" s="85"/>
      <c r="BM4" s="85"/>
      <c r="BN4" s="80"/>
    </row>
    <row r="5" spans="1:66" hidden="1" outlineLevel="1" x14ac:dyDescent="0.25">
      <c r="A5">
        <f>3</f>
        <v>3</v>
      </c>
      <c r="B5" s="44"/>
      <c r="D5" s="2"/>
      <c r="E5" s="2"/>
      <c r="F5" s="2"/>
      <c r="G5" s="2"/>
      <c r="H5" s="2"/>
      <c r="I5" s="2"/>
      <c r="J5" s="2"/>
      <c r="K5" s="18"/>
      <c r="L5" s="2"/>
      <c r="M5" s="2"/>
      <c r="N5" s="32"/>
      <c r="O5" s="45"/>
      <c r="P5" s="46"/>
      <c r="Q5" s="71"/>
      <c r="R5" s="84"/>
      <c r="S5" s="85"/>
      <c r="T5" s="85"/>
      <c r="U5" s="85"/>
      <c r="V5" s="85"/>
      <c r="W5" s="85"/>
      <c r="X5" s="85"/>
      <c r="Y5" s="85"/>
      <c r="Z5" s="80"/>
      <c r="AA5" s="71"/>
      <c r="AB5" s="84"/>
      <c r="AC5" s="85"/>
      <c r="AD5" s="85"/>
      <c r="AE5" s="85"/>
      <c r="AF5" s="85"/>
      <c r="AG5" s="85"/>
      <c r="AH5" s="85"/>
      <c r="AI5" s="85"/>
      <c r="AJ5" s="80"/>
      <c r="AK5" s="71"/>
      <c r="AL5" s="84"/>
      <c r="AM5" s="85"/>
      <c r="AN5" s="85"/>
      <c r="AO5" s="85"/>
      <c r="AP5" s="85"/>
      <c r="AQ5" s="85"/>
      <c r="AR5" s="85"/>
      <c r="AS5" s="85"/>
      <c r="AT5" s="80"/>
      <c r="AU5" s="71"/>
      <c r="AV5" s="84"/>
      <c r="AW5" s="85"/>
      <c r="AX5" s="85"/>
      <c r="AY5" s="85"/>
      <c r="AZ5" s="85"/>
      <c r="BA5" s="85"/>
      <c r="BB5" s="85"/>
      <c r="BC5" s="85"/>
      <c r="BD5" s="80"/>
      <c r="BE5" s="71"/>
      <c r="BF5" s="84"/>
      <c r="BG5" s="85"/>
      <c r="BH5" s="85"/>
      <c r="BI5" s="85"/>
      <c r="BJ5" s="85"/>
      <c r="BK5" s="85"/>
      <c r="BL5" s="85"/>
      <c r="BM5" s="85"/>
      <c r="BN5" s="80"/>
    </row>
    <row r="6" spans="1:66" hidden="1" outlineLevel="1" x14ac:dyDescent="0.25">
      <c r="A6" t="s">
        <v>13</v>
      </c>
      <c r="B6" s="44"/>
      <c r="D6" s="2"/>
      <c r="E6" s="2"/>
      <c r="F6" s="2"/>
      <c r="G6" s="2"/>
      <c r="H6" s="2"/>
      <c r="I6" s="2"/>
      <c r="J6" s="2"/>
      <c r="K6" s="18"/>
      <c r="L6" s="2"/>
      <c r="M6" s="2"/>
      <c r="N6" s="32"/>
      <c r="O6" s="45"/>
      <c r="P6" s="46"/>
      <c r="Q6" s="71"/>
      <c r="R6" s="84"/>
      <c r="S6" s="85"/>
      <c r="T6" s="85"/>
      <c r="U6" s="85"/>
      <c r="V6" s="85"/>
      <c r="W6" s="85"/>
      <c r="X6" s="85"/>
      <c r="Y6" s="85"/>
      <c r="Z6" s="80"/>
      <c r="AA6" s="71"/>
      <c r="AB6" s="84"/>
      <c r="AC6" s="85"/>
      <c r="AD6" s="85"/>
      <c r="AE6" s="85"/>
      <c r="AF6" s="85"/>
      <c r="AG6" s="85"/>
      <c r="AH6" s="85"/>
      <c r="AI6" s="85"/>
      <c r="AJ6" s="80"/>
      <c r="AK6" s="71"/>
      <c r="AL6" s="84"/>
      <c r="AM6" s="85"/>
      <c r="AN6" s="85"/>
      <c r="AO6" s="85"/>
      <c r="AP6" s="85"/>
      <c r="AQ6" s="85"/>
      <c r="AR6" s="85"/>
      <c r="AS6" s="85"/>
      <c r="AT6" s="80"/>
      <c r="AU6" s="71"/>
      <c r="AV6" s="84"/>
      <c r="AW6" s="85"/>
      <c r="AX6" s="85"/>
      <c r="AY6" s="85"/>
      <c r="AZ6" s="85"/>
      <c r="BA6" s="85"/>
      <c r="BB6" s="85"/>
      <c r="BC6" s="85"/>
      <c r="BD6" s="80"/>
      <c r="BE6" s="71"/>
      <c r="BF6" s="84"/>
      <c r="BG6" s="85"/>
      <c r="BH6" s="85"/>
      <c r="BI6" s="85"/>
      <c r="BJ6" s="85"/>
      <c r="BK6" s="85"/>
      <c r="BL6" s="85"/>
      <c r="BM6" s="85"/>
      <c r="BN6" s="80"/>
    </row>
    <row r="7" spans="1:66" hidden="1" outlineLevel="1" x14ac:dyDescent="0.25">
      <c r="A7" t="s">
        <v>14</v>
      </c>
      <c r="B7" s="44"/>
      <c r="D7" s="2"/>
      <c r="E7" s="2"/>
      <c r="F7" s="2"/>
      <c r="G7" s="2"/>
      <c r="H7" s="2"/>
      <c r="I7" s="2"/>
      <c r="J7" s="2"/>
      <c r="K7" s="18"/>
      <c r="L7" s="2"/>
      <c r="M7" s="2"/>
      <c r="N7" s="33"/>
      <c r="O7" s="47"/>
      <c r="P7" s="48"/>
      <c r="Q7" s="72"/>
      <c r="R7" s="81">
        <v>100.01</v>
      </c>
      <c r="S7" s="82"/>
      <c r="T7" s="82"/>
      <c r="U7" s="82"/>
      <c r="V7" s="82"/>
      <c r="W7" s="82"/>
      <c r="X7" s="82"/>
      <c r="Y7" s="82"/>
      <c r="Z7" s="83">
        <v>200</v>
      </c>
      <c r="AA7" s="72"/>
      <c r="AB7" s="81">
        <v>100.01</v>
      </c>
      <c r="AC7" s="82"/>
      <c r="AD7" s="82"/>
      <c r="AE7" s="82"/>
      <c r="AF7" s="82"/>
      <c r="AG7" s="82"/>
      <c r="AH7" s="82"/>
      <c r="AI7" s="82"/>
      <c r="AJ7" s="83">
        <v>200</v>
      </c>
      <c r="AK7" s="72"/>
      <c r="AL7" s="81">
        <v>100.01</v>
      </c>
      <c r="AM7" s="82"/>
      <c r="AN7" s="82"/>
      <c r="AO7" s="82"/>
      <c r="AP7" s="82"/>
      <c r="AQ7" s="82"/>
      <c r="AR7" s="82"/>
      <c r="AS7" s="82"/>
      <c r="AT7" s="83">
        <v>200</v>
      </c>
      <c r="AU7" s="72"/>
      <c r="AV7" s="81">
        <v>100.01</v>
      </c>
      <c r="AW7" s="82"/>
      <c r="AX7" s="82"/>
      <c r="AY7" s="82"/>
      <c r="AZ7" s="82"/>
      <c r="BA7" s="82"/>
      <c r="BB7" s="82"/>
      <c r="BC7" s="82"/>
      <c r="BD7" s="83">
        <v>200</v>
      </c>
      <c r="BE7" s="72"/>
      <c r="BF7" s="81">
        <v>100.01</v>
      </c>
      <c r="BG7" s="82"/>
      <c r="BH7" s="82"/>
      <c r="BI7" s="82"/>
      <c r="BJ7" s="82"/>
      <c r="BK7" s="82"/>
      <c r="BL7" s="82"/>
      <c r="BM7" s="82"/>
      <c r="BN7" s="83">
        <v>200</v>
      </c>
    </row>
    <row r="8" spans="1:66" hidden="1" outlineLevel="1" x14ac:dyDescent="0.25">
      <c r="A8" t="s">
        <v>16</v>
      </c>
      <c r="Q8" s="73"/>
      <c r="Z8" s="3"/>
      <c r="AA8" s="73"/>
      <c r="AJ8" s="3"/>
      <c r="AK8" s="73"/>
      <c r="AT8" s="3"/>
      <c r="AU8" s="73"/>
      <c r="BD8" s="3"/>
      <c r="BE8" s="73"/>
      <c r="BN8" s="3"/>
    </row>
    <row r="9" spans="1:66" hidden="1" outlineLevel="1" x14ac:dyDescent="0.25"/>
    <row r="10" spans="1:66" hidden="1" outlineLevel="1" x14ac:dyDescent="0.25"/>
    <row r="11" spans="1:66" hidden="1" outlineLevel="1" x14ac:dyDescent="0.25">
      <c r="B11" s="97" t="s">
        <v>17</v>
      </c>
      <c r="C11" s="97"/>
    </row>
    <row r="12" spans="1:66" hidden="1" outlineLevel="1" x14ac:dyDescent="0.25">
      <c r="B12" s="56" t="s">
        <v>18</v>
      </c>
      <c r="C12" s="8" t="s">
        <v>111</v>
      </c>
    </row>
    <row r="13" spans="1:66" hidden="1" outlineLevel="1" x14ac:dyDescent="0.25">
      <c r="B13" s="56" t="s">
        <v>82</v>
      </c>
      <c r="C13" s="64" t="str" cm="1">
        <f t="array" aca="1" ref="C13" ca="1">_xll.VIEW(db_name&amp;":}ElementAttributes_}Clients","!","!")</f>
        <v>dcceew_geus:}ElementAttributes_}Clients</v>
      </c>
    </row>
    <row r="14" spans="1:66" hidden="1" outlineLevel="1" x14ac:dyDescent="0.25">
      <c r="B14" s="56" t="s">
        <v>83</v>
      </c>
      <c r="C14" s="8" t="str" cm="1">
        <f t="array" aca="1" ref="C14" ca="1">_xll.TM1USER(db_name)</f>
        <v/>
      </c>
    </row>
    <row r="15" spans="1:66" hidden="1" outlineLevel="1" x14ac:dyDescent="0.25">
      <c r="B15" s="56" t="s">
        <v>84</v>
      </c>
      <c r="C15" s="8" t="str" cm="1">
        <f t="array" aca="1" ref="C15" ca="1">_xll.DBR($C$13,$C$14,$B15)</f>
        <v>*KEY_ERR</v>
      </c>
    </row>
    <row r="16" spans="1:66" hidden="1" outlineLevel="1" x14ac:dyDescent="0.25">
      <c r="B16" s="56" t="s">
        <v>85</v>
      </c>
      <c r="C16" s="8" t="str" cm="1">
        <f t="array" aca="1" ref="C16" ca="1">_xll.DBR($C$13,$C$14,$B16)</f>
        <v>*KEY_ERR</v>
      </c>
    </row>
    <row r="17" spans="2:66" hidden="1" outlineLevel="1" x14ac:dyDescent="0.25">
      <c r="B17" s="56" t="s">
        <v>86</v>
      </c>
      <c r="C17" s="8" t="str">
        <f ca="1">IF(LEFT($C$15,6)="CAM_AD",$C$16,$C$15)</f>
        <v>*KEY_ERR</v>
      </c>
    </row>
    <row r="18" spans="2:66" hidden="1" outlineLevel="1" x14ac:dyDescent="0.25">
      <c r="B18" s="1"/>
      <c r="C18" s="3"/>
      <c r="D18" s="3"/>
      <c r="Q18" s="73"/>
      <c r="Z18" s="3"/>
      <c r="AA18" s="73"/>
      <c r="AJ18" s="3"/>
      <c r="AK18" s="73"/>
      <c r="AT18" s="3"/>
      <c r="AU18" s="73"/>
      <c r="BD18" s="3"/>
      <c r="BE18" s="73"/>
      <c r="BN18" s="3"/>
    </row>
    <row r="19" spans="2:66" hidden="1" outlineLevel="1" x14ac:dyDescent="0.25">
      <c r="B19" s="97" t="s">
        <v>19</v>
      </c>
      <c r="C19" s="97"/>
      <c r="D19" s="3"/>
      <c r="N19" s="5" t="s">
        <v>20</v>
      </c>
      <c r="O19" s="6"/>
      <c r="P19" s="6"/>
      <c r="Q19" s="73"/>
      <c r="R19" s="6"/>
      <c r="S19" s="6"/>
      <c r="T19" s="6"/>
      <c r="U19" s="6"/>
      <c r="V19" s="6"/>
      <c r="W19" s="6"/>
      <c r="X19" s="6"/>
      <c r="Y19" s="6"/>
      <c r="Z19" s="79"/>
      <c r="AA19" s="73"/>
      <c r="AB19" s="6"/>
      <c r="AC19" s="6"/>
      <c r="AD19" s="6"/>
      <c r="AE19" s="6"/>
      <c r="AF19" s="6"/>
      <c r="AG19" s="6"/>
      <c r="AH19" s="6"/>
      <c r="AI19" s="6"/>
      <c r="AJ19" s="79"/>
      <c r="AK19" s="73"/>
      <c r="AL19" s="6"/>
      <c r="AM19" s="6"/>
      <c r="AN19" s="6"/>
      <c r="AO19" s="6"/>
      <c r="AP19" s="6"/>
      <c r="AQ19" s="6"/>
      <c r="AR19" s="6"/>
      <c r="AS19" s="6"/>
      <c r="AT19" s="79"/>
      <c r="AU19" s="73"/>
      <c r="AV19" s="6"/>
      <c r="AW19" s="6"/>
      <c r="AX19" s="6"/>
      <c r="AY19" s="6"/>
      <c r="AZ19" s="6"/>
      <c r="BA19" s="6"/>
      <c r="BB19" s="6"/>
      <c r="BC19" s="6"/>
      <c r="BD19" s="79"/>
      <c r="BE19" s="73"/>
      <c r="BF19" s="6"/>
      <c r="BG19" s="6"/>
      <c r="BH19" s="6"/>
      <c r="BI19" s="6"/>
      <c r="BJ19" s="6"/>
      <c r="BK19" s="6"/>
      <c r="BL19" s="6"/>
      <c r="BM19" s="6"/>
      <c r="BN19" s="79"/>
    </row>
    <row r="20" spans="2:66" hidden="1" outlineLevel="1" x14ac:dyDescent="0.25">
      <c r="B20" t="s">
        <v>75</v>
      </c>
      <c r="C20" t="str" cm="1">
        <f t="array" aca="1" ref="C20" ca="1">_xll.VIEW(db_name&amp;":}ElementAttributes_variables","!","!")</f>
        <v>dcceew_geus:}ElementAttributes_variables</v>
      </c>
      <c r="N20" s="7" t="str">
        <f ca="1">RIGHT($O$89,9)</f>
        <v/>
      </c>
      <c r="O20" s="7"/>
      <c r="P20" s="7"/>
      <c r="Q20" s="78"/>
      <c r="R20" s="7"/>
      <c r="S20" s="7"/>
      <c r="T20" s="7"/>
      <c r="U20" s="7"/>
      <c r="V20" s="7"/>
      <c r="W20" s="7"/>
      <c r="X20" s="7"/>
      <c r="Y20" s="7"/>
      <c r="Z20" s="8" t="str" cm="1">
        <f t="array" aca="1" ref="Z20" ca="1">_xll.DIMNM(db_name&amp;":period",_xll.DIMIX(db_name&amp;":period",$N$20)+Z$21)</f>
        <v/>
      </c>
      <c r="AA20" s="78"/>
      <c r="AB20" s="7"/>
      <c r="AC20" s="7"/>
      <c r="AD20" s="7"/>
      <c r="AE20" s="7"/>
      <c r="AF20" s="7"/>
      <c r="AG20" s="7"/>
      <c r="AH20" s="7"/>
      <c r="AI20" s="7"/>
      <c r="AJ20" s="8" t="str" cm="1">
        <f t="array" aca="1" ref="AJ20" ca="1">_xll.DIMNM(db_name&amp;":period",_xll.DIMIX(db_name&amp;":period",$N$20)+AJ$21)</f>
        <v/>
      </c>
      <c r="AK20" s="78"/>
      <c r="AL20" s="7"/>
      <c r="AM20" s="7"/>
      <c r="AN20" s="7"/>
      <c r="AO20" s="7"/>
      <c r="AP20" s="7"/>
      <c r="AQ20" s="7"/>
      <c r="AR20" s="7"/>
      <c r="AS20" s="7"/>
      <c r="AT20" s="8" t="str" cm="1">
        <f t="array" aca="1" ref="AT20" ca="1">_xll.DIMNM(db_name&amp;":period",_xll.DIMIX(db_name&amp;":period",$N$20)+AT$21)</f>
        <v/>
      </c>
      <c r="AU20" s="78"/>
      <c r="AV20" s="7"/>
      <c r="AW20" s="7"/>
      <c r="AX20" s="7"/>
      <c r="AY20" s="7"/>
      <c r="AZ20" s="7"/>
      <c r="BA20" s="7"/>
      <c r="BB20" s="7"/>
      <c r="BC20" s="7"/>
      <c r="BD20" s="8" t="str" cm="1">
        <f t="array" aca="1" ref="BD20" ca="1">_xll.DIMNM(db_name&amp;":period",_xll.DIMIX(db_name&amp;":period",$N$20)+BD$21)</f>
        <v/>
      </c>
      <c r="BE20" s="78"/>
      <c r="BF20" s="7"/>
      <c r="BG20" s="7"/>
      <c r="BH20" s="7"/>
      <c r="BI20" s="7"/>
      <c r="BJ20" s="7"/>
      <c r="BK20" s="7"/>
      <c r="BL20" s="7"/>
      <c r="BM20" s="7"/>
      <c r="BN20" s="8" t="str" cm="1">
        <f t="array" aca="1" ref="BN20" ca="1">_xll.DIMNM(db_name&amp;":period",_xll.DIMIX(db_name&amp;":period",$N$20)+BN$21)</f>
        <v/>
      </c>
    </row>
    <row r="21" spans="2:66" hidden="1" outlineLevel="1" x14ac:dyDescent="0.25">
      <c r="B21" s="7" t="s">
        <v>0</v>
      </c>
      <c r="C21" s="7" t="str" cm="1">
        <f t="array" aca="1" ref="C21" ca="1">_xll.DBR($C$20,$B21,"value")</f>
        <v>*KEY_ERR</v>
      </c>
      <c r="N21" s="7" t="s">
        <v>22</v>
      </c>
      <c r="O21" s="7"/>
      <c r="P21" s="7"/>
      <c r="Q21" s="78"/>
      <c r="R21" s="7"/>
      <c r="S21" s="7"/>
      <c r="T21" s="7"/>
      <c r="U21" s="7"/>
      <c r="V21" s="7"/>
      <c r="W21" s="7"/>
      <c r="X21" s="7"/>
      <c r="Y21" s="7"/>
      <c r="Z21" s="8">
        <v>-1</v>
      </c>
      <c r="AA21" s="78"/>
      <c r="AB21" s="7"/>
      <c r="AC21" s="7"/>
      <c r="AD21" s="7"/>
      <c r="AE21" s="7"/>
      <c r="AF21" s="7"/>
      <c r="AG21" s="7"/>
      <c r="AH21" s="7"/>
      <c r="AI21" s="7"/>
      <c r="AJ21" s="8">
        <v>0</v>
      </c>
      <c r="AK21" s="78"/>
      <c r="AL21" s="7"/>
      <c r="AM21" s="7"/>
      <c r="AN21" s="7"/>
      <c r="AO21" s="7"/>
      <c r="AP21" s="7"/>
      <c r="AQ21" s="7"/>
      <c r="AR21" s="7"/>
      <c r="AS21" s="7"/>
      <c r="AT21" s="8">
        <v>1</v>
      </c>
      <c r="AU21" s="78"/>
      <c r="AV21" s="7"/>
      <c r="AW21" s="7"/>
      <c r="AX21" s="7"/>
      <c r="AY21" s="7"/>
      <c r="AZ21" s="7"/>
      <c r="BA21" s="7"/>
      <c r="BB21" s="7"/>
      <c r="BC21" s="7"/>
      <c r="BD21" s="8">
        <v>2</v>
      </c>
      <c r="BE21" s="78"/>
      <c r="BF21" s="7"/>
      <c r="BG21" s="7"/>
      <c r="BH21" s="7"/>
      <c r="BI21" s="7"/>
      <c r="BJ21" s="7"/>
      <c r="BK21" s="7"/>
      <c r="BL21" s="7"/>
      <c r="BM21" s="7"/>
      <c r="BN21" s="8">
        <v>3</v>
      </c>
    </row>
    <row r="22" spans="2:66" hidden="1" outlineLevel="1" x14ac:dyDescent="0.25">
      <c r="B22" s="7" t="s">
        <v>21</v>
      </c>
      <c r="C22" s="7" t="str" cm="1">
        <f t="array" aca="1" ref="C22" ca="1">_xll.DBR($C$20,$B22,"value")</f>
        <v>*KEY_ERR</v>
      </c>
      <c r="Q22" s="73"/>
      <c r="Z22" s="3"/>
      <c r="AA22" s="73"/>
      <c r="AJ22" s="3"/>
      <c r="AK22" s="73"/>
      <c r="AT22" s="3"/>
      <c r="AU22" s="73"/>
      <c r="BD22" s="3"/>
      <c r="BE22" s="73"/>
      <c r="BN22" s="3"/>
    </row>
    <row r="23" spans="2:66" hidden="1" outlineLevel="1" x14ac:dyDescent="0.25">
      <c r="B23" s="7" t="s">
        <v>74</v>
      </c>
      <c r="C23" s="7" t="str" cm="1">
        <f t="array" aca="1" ref="C23" ca="1">_xll.DBR($C$20,$B23,"value")</f>
        <v>*KEY_ERR</v>
      </c>
      <c r="Q23" s="73"/>
      <c r="Z23" s="3"/>
      <c r="AA23" s="73"/>
      <c r="AJ23" s="3"/>
      <c r="AK23" s="73"/>
      <c r="AT23" s="3"/>
      <c r="AU23" s="73"/>
      <c r="BD23" s="3"/>
      <c r="BE23" s="73"/>
      <c r="BN23" s="3"/>
    </row>
    <row r="24" spans="2:66" hidden="1" outlineLevel="1" x14ac:dyDescent="0.25">
      <c r="Q24" s="73"/>
      <c r="Z24" s="3"/>
      <c r="AA24" s="73"/>
      <c r="AJ24" s="3"/>
      <c r="AK24" s="73"/>
      <c r="AT24" s="3"/>
      <c r="AU24" s="73"/>
      <c r="BD24" s="3"/>
      <c r="BE24" s="73"/>
      <c r="BN24" s="3"/>
    </row>
    <row r="25" spans="2:66" hidden="1" outlineLevel="1" x14ac:dyDescent="0.25">
      <c r="B25" s="94" t="s">
        <v>61</v>
      </c>
      <c r="C25" s="95"/>
      <c r="D25" s="96"/>
      <c r="E25" s="4"/>
      <c r="F25" s="4"/>
      <c r="G25" s="4"/>
      <c r="H25" s="4"/>
      <c r="Q25" s="73"/>
      <c r="Z25" s="3"/>
      <c r="AA25" s="73"/>
      <c r="AJ25" s="3"/>
      <c r="AK25" s="73"/>
      <c r="AT25" s="3"/>
      <c r="AU25" s="73"/>
      <c r="BD25" s="3"/>
      <c r="BE25" s="73"/>
      <c r="BN25" s="3"/>
    </row>
    <row r="26" spans="2:66" hidden="1" outlineLevel="1" x14ac:dyDescent="0.25">
      <c r="B26" s="56" t="s">
        <v>62</v>
      </c>
      <c r="C26" s="7" t="str">
        <f ca="1">_xll.VIEW(db_name&amp;":sys_application","!","!")</f>
        <v>dcceew_geus:sys_application</v>
      </c>
      <c r="D26" s="7"/>
      <c r="Q26" s="73"/>
      <c r="Z26" s="3"/>
      <c r="AA26" s="73"/>
      <c r="AJ26" s="3"/>
      <c r="AK26" s="73"/>
      <c r="AT26" s="3"/>
      <c r="AU26" s="73"/>
      <c r="BD26" s="3"/>
      <c r="BE26" s="73"/>
      <c r="BN26" s="3"/>
    </row>
    <row r="27" spans="2:66" hidden="1" outlineLevel="1" x14ac:dyDescent="0.25">
      <c r="B27" s="56" t="s">
        <v>63</v>
      </c>
      <c r="C27" t="s">
        <v>64</v>
      </c>
      <c r="D27" s="7"/>
      <c r="Q27" s="73"/>
      <c r="Z27" s="3"/>
      <c r="AA27" s="73"/>
      <c r="AJ27" s="3"/>
      <c r="AK27" s="73"/>
      <c r="AT27" s="3"/>
      <c r="AU27" s="73"/>
      <c r="BD27" s="3"/>
      <c r="BE27" s="73"/>
      <c r="BN27" s="3"/>
    </row>
    <row r="28" spans="2:66" hidden="1" outlineLevel="1" x14ac:dyDescent="0.25">
      <c r="B28" s="7"/>
      <c r="C28" s="56" t="s">
        <v>65</v>
      </c>
      <c r="D28" s="56" t="s">
        <v>66</v>
      </c>
      <c r="E28" s="56" t="s">
        <v>67</v>
      </c>
      <c r="F28" s="56" t="s">
        <v>68</v>
      </c>
      <c r="G28" s="56" t="s">
        <v>69</v>
      </c>
      <c r="H28" s="56" t="s">
        <v>70</v>
      </c>
      <c r="Q28" s="73"/>
      <c r="Z28" s="3"/>
      <c r="AA28" s="73"/>
      <c r="AJ28" s="3"/>
      <c r="AK28" s="73"/>
      <c r="AT28" s="3"/>
      <c r="AU28" s="73"/>
      <c r="BD28" s="3"/>
      <c r="BE28" s="73"/>
      <c r="BN28" s="3"/>
    </row>
    <row r="29" spans="2:66" hidden="1" outlineLevel="1" x14ac:dyDescent="0.25">
      <c r="B29" s="7" t="s">
        <v>71</v>
      </c>
      <c r="C29" s="7" t="str" cm="1">
        <f t="array" aca="1" ref="C29" ca="1">_xll.DBR($C$26,$B29,C$28)</f>
        <v>*KEY_ERR</v>
      </c>
      <c r="D29" s="7" t="str" cm="1">
        <f t="array" aca="1" ref="D29" ca="1">_xll.DBR($C$26,$B29,D$28)</f>
        <v>*KEY_ERR</v>
      </c>
      <c r="E29" s="7" t="str" cm="1">
        <f t="array" aca="1" ref="E29" ca="1">_xll.DBR($C$26,$B29,E$28)</f>
        <v>*KEY_ERR</v>
      </c>
      <c r="F29" s="7" t="str" cm="1">
        <f t="array" aca="1" ref="F29" ca="1">_xll.DBR($C$26,$B29,F$28)</f>
        <v>*KEY_ERR</v>
      </c>
      <c r="G29" s="7" t="str" cm="1">
        <f t="array" aca="1" ref="G29" ca="1">_xll.DBR($C$26,$B29,G$28)</f>
        <v>*KEY_ERR</v>
      </c>
      <c r="H29" s="7" t="str" cm="1">
        <f t="array" aca="1" ref="H29" ca="1">_xll.DBR($C$26,$B29,H$28)</f>
        <v>*KEY_ERR</v>
      </c>
      <c r="Q29" s="73"/>
      <c r="Z29" s="3"/>
      <c r="AA29" s="73"/>
      <c r="AJ29" s="3"/>
      <c r="AK29" s="73"/>
      <c r="AT29" s="3"/>
      <c r="AU29" s="73"/>
      <c r="BD29" s="3"/>
      <c r="BE29" s="73"/>
      <c r="BN29" s="3"/>
    </row>
    <row r="30" spans="2:66" hidden="1" outlineLevel="1" x14ac:dyDescent="0.25">
      <c r="B30" s="7" t="s">
        <v>72</v>
      </c>
      <c r="C30" s="7" t="str" cm="1">
        <f t="array" aca="1" ref="C30" ca="1">_xll.DBR($C$26,$B30,C$28)</f>
        <v>*KEY_ERR</v>
      </c>
      <c r="D30" s="7" t="str" cm="1">
        <f t="array" aca="1" ref="D30" ca="1">_xll.DBR($C$26,$B30,D$28)</f>
        <v>*KEY_ERR</v>
      </c>
      <c r="E30" s="7" t="str" cm="1">
        <f t="array" aca="1" ref="E30" ca="1">_xll.DBR($C$26,$B30,E$28)</f>
        <v>*KEY_ERR</v>
      </c>
      <c r="F30" s="7" t="str" cm="1">
        <f t="array" aca="1" ref="F30" ca="1">_xll.DBR($C$26,$B30,F$28)</f>
        <v>*KEY_ERR</v>
      </c>
      <c r="G30" s="7" t="str" cm="1">
        <f t="array" aca="1" ref="G30" ca="1">_xll.DBR($C$26,$B30,G$28)</f>
        <v>*KEY_ERR</v>
      </c>
      <c r="H30" s="7" t="str" cm="1">
        <f t="array" aca="1" ref="H30" ca="1">_xll.DBR($C$26,$B30,H$28)</f>
        <v>*KEY_ERR</v>
      </c>
      <c r="Q30" s="73"/>
      <c r="Z30" s="3"/>
      <c r="AA30" s="73"/>
      <c r="AJ30" s="3"/>
      <c r="AK30" s="73"/>
      <c r="AT30" s="3"/>
      <c r="AU30" s="73"/>
      <c r="BD30" s="3"/>
      <c r="BE30" s="73"/>
      <c r="BN30" s="3"/>
    </row>
    <row r="31" spans="2:66" hidden="1" outlineLevel="1" x14ac:dyDescent="0.25">
      <c r="B31" s="7" t="s">
        <v>73</v>
      </c>
      <c r="C31" s="7" t="str" cm="1">
        <f t="array" aca="1" ref="C31" ca="1">_xll.DBR($C$26,$B31,C$28)</f>
        <v>*KEY_ERR</v>
      </c>
      <c r="D31" s="7" t="str" cm="1">
        <f t="array" aca="1" ref="D31" ca="1">_xll.DBR($C$26,$B31,D$28)</f>
        <v>*KEY_ERR</v>
      </c>
      <c r="E31" s="7" t="str" cm="1">
        <f t="array" aca="1" ref="E31" ca="1">_xll.DBR($C$26,$B31,E$28)</f>
        <v>*KEY_ERR</v>
      </c>
      <c r="F31" s="7" t="str" cm="1">
        <f t="array" aca="1" ref="F31" ca="1">_xll.DBR($C$26,$B31,F$28)</f>
        <v>*KEY_ERR</v>
      </c>
      <c r="G31" s="7" t="str" cm="1">
        <f t="array" aca="1" ref="G31" ca="1">_xll.DBR($C$26,$B31,G$28)</f>
        <v>*KEY_ERR</v>
      </c>
      <c r="H31" s="7" t="str" cm="1">
        <f t="array" aca="1" ref="H31" ca="1">_xll.DBR($C$26,$B31,H$28)</f>
        <v>*KEY_ERR</v>
      </c>
      <c r="Q31" s="73"/>
      <c r="Z31" s="3"/>
      <c r="AA31" s="73"/>
      <c r="AJ31" s="3"/>
      <c r="AK31" s="73"/>
      <c r="AT31" s="3"/>
      <c r="AU31" s="73"/>
      <c r="BD31" s="3"/>
      <c r="BE31" s="73"/>
      <c r="BN31" s="3"/>
    </row>
    <row r="32" spans="2:66" hidden="1" outlineLevel="1" x14ac:dyDescent="0.25">
      <c r="B32" s="7" t="s">
        <v>80</v>
      </c>
      <c r="C32" s="7" t="str" cm="1">
        <f t="array" aca="1" ref="C32" ca="1">_xll.DBR($C$26,$B32,C$28)</f>
        <v>*KEY_ERR</v>
      </c>
      <c r="D32" s="7" t="str" cm="1">
        <f t="array" aca="1" ref="D32" ca="1">_xll.DBR($C$26,$B32,D$28)</f>
        <v>*KEY_ERR</v>
      </c>
      <c r="E32" s="7" t="str" cm="1">
        <f t="array" aca="1" ref="E32" ca="1">_xll.DBR($C$26,$B32,E$28)</f>
        <v>*KEY_ERR</v>
      </c>
      <c r="F32" s="7" t="str" cm="1">
        <f t="array" aca="1" ref="F32" ca="1">_xll.DBR($C$26,$B32,F$28)</f>
        <v>*KEY_ERR</v>
      </c>
      <c r="G32" s="7" t="str" cm="1">
        <f t="array" aca="1" ref="G32" ca="1">_xll.DBR($C$26,$B32,G$28)</f>
        <v>*KEY_ERR</v>
      </c>
      <c r="H32" s="7" t="str" cm="1">
        <f t="array" aca="1" ref="H32" ca="1">_xll.DBR($C$26,$B32,H$28)</f>
        <v>*KEY_ERR</v>
      </c>
      <c r="Q32" s="73"/>
      <c r="Z32" s="3"/>
      <c r="AA32" s="73"/>
      <c r="AJ32" s="3"/>
      <c r="AK32" s="73"/>
      <c r="AT32" s="3"/>
      <c r="AU32" s="73"/>
      <c r="BD32" s="3"/>
      <c r="BE32" s="73"/>
      <c r="BN32" s="3"/>
    </row>
    <row r="33" spans="2:66" hidden="1" outlineLevel="1" x14ac:dyDescent="0.25">
      <c r="B33" s="7" t="s">
        <v>91</v>
      </c>
      <c r="C33" s="7" t="str" cm="1">
        <f t="array" aca="1" ref="C33" ca="1">_xll.DBR($C$26,$B33,C$28)</f>
        <v>*KEY_ERR</v>
      </c>
      <c r="D33" s="7" t="str" cm="1">
        <f t="array" aca="1" ref="D33" ca="1">_xll.DBR($C$26,$B33,D$28)</f>
        <v>*KEY_ERR</v>
      </c>
      <c r="E33" s="7" t="str" cm="1">
        <f t="array" aca="1" ref="E33" ca="1">_xll.DBR($C$26,$B33,E$28)</f>
        <v>*KEY_ERR</v>
      </c>
      <c r="F33" s="7" t="str" cm="1">
        <f t="array" aca="1" ref="F33" ca="1">_xll.DBR($C$26,$B33,F$28)</f>
        <v>*KEY_ERR</v>
      </c>
      <c r="G33" s="7" t="str" cm="1">
        <f t="array" aca="1" ref="G33" ca="1">_xll.DBR($C$26,$B33,G$28)</f>
        <v>*KEY_ERR</v>
      </c>
      <c r="H33" s="7" t="str" cm="1">
        <f t="array" aca="1" ref="H33" ca="1">_xll.DBR($C$26,$B33,H$28)</f>
        <v>*KEY_ERR</v>
      </c>
      <c r="Q33" s="73"/>
      <c r="Z33" s="3"/>
      <c r="AA33" s="73"/>
      <c r="AJ33" s="3"/>
      <c r="AK33" s="73"/>
      <c r="AT33" s="3"/>
      <c r="AU33" s="73"/>
      <c r="BD33" s="3"/>
      <c r="BE33" s="73"/>
      <c r="BN33" s="3"/>
    </row>
    <row r="34" spans="2:66" hidden="1" outlineLevel="1" x14ac:dyDescent="0.25">
      <c r="B34" s="7" t="s">
        <v>92</v>
      </c>
      <c r="C34" s="7" t="str" cm="1">
        <f t="array" aca="1" ref="C34" ca="1">_xll.DBR($C$26,$B34,C$28)</f>
        <v>*KEY_ERR</v>
      </c>
      <c r="D34" s="7" t="str" cm="1">
        <f t="array" aca="1" ref="D34" ca="1">_xll.DBR($C$26,$B34,D$28)</f>
        <v>*KEY_ERR</v>
      </c>
      <c r="E34" s="7" t="str" cm="1">
        <f t="array" aca="1" ref="E34" ca="1">_xll.DBR($C$26,$B34,E$28)</f>
        <v>*KEY_ERR</v>
      </c>
      <c r="F34" s="7" t="str" cm="1">
        <f t="array" aca="1" ref="F34" ca="1">_xll.DBR($C$26,$B34,F$28)</f>
        <v>*KEY_ERR</v>
      </c>
      <c r="G34" s="7" t="str" cm="1">
        <f t="array" aca="1" ref="G34" ca="1">_xll.DBR($C$26,$B34,G$28)</f>
        <v>*KEY_ERR</v>
      </c>
      <c r="H34" s="7" t="str" cm="1">
        <f t="array" aca="1" ref="H34" ca="1">_xll.DBR($C$26,$B34,H$28)</f>
        <v>*KEY_ERR</v>
      </c>
      <c r="Q34" s="73"/>
      <c r="Z34" s="3"/>
      <c r="AA34" s="73"/>
      <c r="AJ34" s="3"/>
      <c r="AK34" s="73"/>
      <c r="AT34" s="3"/>
      <c r="AU34" s="73"/>
      <c r="BD34" s="3"/>
      <c r="BE34" s="73"/>
      <c r="BN34" s="3"/>
    </row>
    <row r="35" spans="2:66" ht="15.75" hidden="1" outlineLevel="1" thickBot="1" x14ac:dyDescent="0.3">
      <c r="Q35" s="73"/>
      <c r="Z35" s="3"/>
      <c r="AA35" s="73"/>
      <c r="AJ35" s="3"/>
      <c r="AK35" s="73"/>
      <c r="AT35" s="3"/>
      <c r="AU35" s="73"/>
      <c r="BD35" s="3"/>
      <c r="BE35" s="73"/>
      <c r="BN35" s="3"/>
    </row>
    <row r="36" spans="2:66" ht="15.75" hidden="1" outlineLevel="1" thickBot="1" x14ac:dyDescent="0.3">
      <c r="B36" s="98" t="s">
        <v>23</v>
      </c>
      <c r="C36" s="99"/>
      <c r="Q36" s="73"/>
      <c r="Z36" s="3"/>
      <c r="AA36" s="73"/>
      <c r="AJ36" s="3"/>
      <c r="AK36" s="73"/>
      <c r="AT36" s="3"/>
      <c r="AU36" s="73"/>
      <c r="BD36" s="3"/>
      <c r="BE36" s="73"/>
      <c r="BN36" s="3"/>
    </row>
    <row r="37" spans="2:66" hidden="1" outlineLevel="1" x14ac:dyDescent="0.25">
      <c r="B37" s="9" t="s">
        <v>24</v>
      </c>
      <c r="C37" s="57" t="str">
        <f ca="1">_xll.TM1RPTVIEW(db_name&amp;":AE adjustments:1", 1, _xll.TM1RPTTITLE(db_name&amp;":headline year",$O$89), _xll.TM1RPTTITLE(db_name&amp;":scenario",$O$90), _xll.TM1RPTTITLE(db_name&amp;":status",$O$91), _xll.TM1RPTTITLE(db_name&amp;":outcome",$C$45), _xll.TM1RPTTITLE(db_name&amp;":related entity",$C$46), _xll.TM1RPTTITLE(db_name&amp;":function",$C$47), _xll.TM1RPTTITLE(db_name&amp;":reason",$C$48), _xll.TM1RPTTITLE(db_name&amp;":spp",$O$93), _xll.TM1RPTTITLE(db_name&amp;":measure code",$C$50), _xll.TM1RPTTITLE(db_name&amp;":appropriation type",$C$51), _xll.TM1RPTTITLE(db_name&amp;":movement account",$C$52), _xll.TM1RPTTITLE(db_name&amp;":appropriation item",$C$53), _xll.TM1RPTTITLE(db_name&amp;":id",$C$56), TM1RPTFMTRNG,TM1RPTFMTIDCOL)</f>
        <v>dcceew_geus:AE adjustments:1</v>
      </c>
      <c r="Q37" s="73"/>
      <c r="Z37" s="3"/>
      <c r="AA37" s="73"/>
      <c r="AJ37" s="3"/>
      <c r="AK37" s="73"/>
      <c r="AT37" s="3"/>
      <c r="AU37" s="73"/>
      <c r="BD37" s="3"/>
      <c r="BE37" s="73"/>
      <c r="BN37" s="3"/>
    </row>
    <row r="38" spans="2:66" hidden="1" outlineLevel="1" x14ac:dyDescent="0.25">
      <c r="B38" s="10" t="s">
        <v>25</v>
      </c>
      <c r="C38" s="58" t="str">
        <f ca="1">_xll.TM1RPTVIEW(db_name&amp;":AE adjustments:ARPT1", 1, _xll.TM1RPTTITLE(db_name&amp;":headline year",$O$89), _xll.TM1RPTTITLE(db_name&amp;":scenario",$O$90), _xll.TM1RPTTITLE(db_name&amp;":status",$O$91), _xll.TM1RPTTITLE(db_name&amp;":outcome",$C$45), _xll.TM1RPTTITLE(db_name&amp;":related entity",$C$46), _xll.TM1RPTTITLE(db_name&amp;":function",$C$47), _xll.TM1RPTTITLE(db_name&amp;":reason",$C$48), _xll.TM1RPTTITLE(db_name&amp;":spp",$O$93), _xll.TM1RPTTITLE(db_name&amp;":measure code",$C$50), _xll.TM1RPTTITLE(db_name&amp;":appropriation type",$C$51), _xll.TM1RPTTITLE(db_name&amp;":movement account",$C$52), _xll.TM1RPTTITLE(db_name&amp;":appropriation item",$C$53), _xll.TM1RPTTITLE(db_name&amp;":id",$C$56), TM1RPTFMTRNG,TM1RPTFMTIDCOL)</f>
        <v>dcceew_geus:AE adjustments:ARPT1</v>
      </c>
      <c r="Q38" s="73"/>
      <c r="Z38" s="3"/>
      <c r="AA38" s="73"/>
      <c r="AJ38" s="3"/>
      <c r="AK38" s="73"/>
      <c r="AT38" s="3"/>
      <c r="AU38" s="73"/>
      <c r="BD38" s="3"/>
      <c r="BE38" s="73"/>
      <c r="BN38" s="3"/>
    </row>
    <row r="39" spans="2:66" hidden="1" outlineLevel="1" x14ac:dyDescent="0.25">
      <c r="B39" s="10" t="s">
        <v>26</v>
      </c>
      <c r="C39" s="58" t="str">
        <f ca="1">_xll.TM1RPTVIEW(db_name&amp;":AE adjustments:ARPT2", 1, _xll.TM1RPTTITLE(db_name&amp;":headline year",$O$89), _xll.TM1RPTTITLE(db_name&amp;":scenario",$O$90), _xll.TM1RPTTITLE(db_name&amp;":status",$O$91), _xll.TM1RPTTITLE(db_name&amp;":outcome",$C$45), _xll.TM1RPTTITLE(db_name&amp;":related entity",$C$46), _xll.TM1RPTTITLE(db_name&amp;":function",$C$47), _xll.TM1RPTTITLE(db_name&amp;":reason",$C$48), _xll.TM1RPTTITLE(db_name&amp;":spp",$O$93), _xll.TM1RPTTITLE(db_name&amp;":measure code",$C$50), _xll.TM1RPTTITLE(db_name&amp;":appropriation type",$C$51), _xll.TM1RPTTITLE(db_name&amp;":movement account",$C$52), _xll.TM1RPTTITLE(db_name&amp;":appropriation item",$C$53), _xll.TM1RPTTITLE(db_name&amp;":id",$C$56), TM1RPTFMTRNG,TM1RPTFMTIDCOL)</f>
        <v>dcceew_geus:AE adjustments:ARPT2</v>
      </c>
      <c r="Q39" s="73"/>
      <c r="Z39" s="3"/>
      <c r="AA39" s="73"/>
      <c r="AJ39" s="3"/>
      <c r="AK39" s="73"/>
      <c r="AT39" s="3"/>
      <c r="AU39" s="73"/>
      <c r="BD39" s="3"/>
      <c r="BE39" s="73"/>
      <c r="BN39" s="3"/>
    </row>
    <row r="40" spans="2:66" hidden="1" outlineLevel="1" x14ac:dyDescent="0.25">
      <c r="B40" s="10" t="s">
        <v>27</v>
      </c>
      <c r="C40" s="11" t="str">
        <f ca="1">_xll.VIEW(db_name&amp;":AE adjustments",#REF!,#REF!,#REF!,#REF!,#REF!,#REF!,#REF!,#REF!,#REF!,#REF!,"!",#REF!,#REF!,"!",#REF!,#REF!,"!")</f>
        <v>dcceew_geus:AE adjustments</v>
      </c>
      <c r="Q40" s="73"/>
      <c r="Z40" s="3"/>
      <c r="AA40" s="73"/>
      <c r="AJ40" s="3"/>
      <c r="AK40" s="73"/>
      <c r="AT40" s="3"/>
      <c r="AU40" s="73"/>
      <c r="BD40" s="3"/>
      <c r="BE40" s="73"/>
      <c r="BN40" s="3"/>
    </row>
    <row r="41" spans="2:66" hidden="1" outlineLevel="1" x14ac:dyDescent="0.25">
      <c r="B41" s="12" t="s">
        <v>28</v>
      </c>
      <c r="C41" s="11" t="str" cm="1">
        <f t="array" aca="1" ref="C41" ca="1">_xll.VIEW(db_name&amp;":}ElementAttributes_account","!","!")</f>
        <v>dcceew_geus:}ElementAttributes_account</v>
      </c>
      <c r="Q41" s="73"/>
      <c r="Z41" s="3"/>
      <c r="AA41" s="73"/>
      <c r="AJ41" s="3"/>
      <c r="AK41" s="73"/>
      <c r="AT41" s="3"/>
      <c r="AU41" s="73"/>
      <c r="BD41" s="3"/>
      <c r="BE41" s="73"/>
      <c r="BN41" s="3"/>
    </row>
    <row r="42" spans="2:66" hidden="1" outlineLevel="1" x14ac:dyDescent="0.25">
      <c r="B42" s="12" t="s">
        <v>29</v>
      </c>
      <c r="C42" s="13" t="s">
        <v>30</v>
      </c>
      <c r="Q42" s="73"/>
      <c r="Z42" s="3"/>
      <c r="AA42" s="73"/>
      <c r="AJ42" s="3"/>
      <c r="AK42" s="73"/>
      <c r="AT42" s="3"/>
      <c r="AU42" s="73"/>
      <c r="BD42" s="3"/>
      <c r="BE42" s="73"/>
      <c r="BN42" s="3"/>
    </row>
    <row r="43" spans="2:66" hidden="1" outlineLevel="1" x14ac:dyDescent="0.25">
      <c r="B43" s="12" t="s">
        <v>31</v>
      </c>
      <c r="C43" s="13" t="s">
        <v>30</v>
      </c>
      <c r="Q43" s="73"/>
      <c r="Z43" s="3"/>
      <c r="AA43" s="73"/>
      <c r="AJ43" s="3"/>
      <c r="AK43" s="73"/>
      <c r="AT43" s="3"/>
      <c r="AU43" s="73"/>
      <c r="BD43" s="3"/>
      <c r="BE43" s="73"/>
      <c r="BN43" s="3"/>
    </row>
    <row r="44" spans="2:66" hidden="1" outlineLevel="1" x14ac:dyDescent="0.25">
      <c r="B44" s="12" t="s">
        <v>1</v>
      </c>
      <c r="C44" s="58" t="str" cm="1">
        <f t="array" aca="1" ref="C44" ca="1">_xll.SUBNM(db_name&amp;":status","",$O$91)</f>
        <v/>
      </c>
      <c r="Q44" s="73"/>
      <c r="Z44" s="3"/>
      <c r="AA44" s="73"/>
      <c r="AJ44" s="3"/>
      <c r="AK44" s="73"/>
      <c r="AT44" s="3"/>
      <c r="AU44" s="73"/>
      <c r="BD44" s="3"/>
      <c r="BE44" s="73"/>
      <c r="BN44" s="3"/>
    </row>
    <row r="45" spans="2:66" hidden="1" outlineLevel="1" x14ac:dyDescent="0.25">
      <c r="B45" s="12" t="s">
        <v>2</v>
      </c>
      <c r="C45" s="58" t="str" cm="1">
        <f t="array" aca="1" ref="C45" ca="1">_xll.SUBNM(db_name&amp;":outcome","","Total outcomes")</f>
        <v/>
      </c>
      <c r="Q45" s="73"/>
      <c r="Z45" s="3"/>
      <c r="AA45" s="73"/>
      <c r="AJ45" s="3"/>
      <c r="AK45" s="73"/>
      <c r="AT45" s="3"/>
      <c r="AU45" s="73"/>
      <c r="BD45" s="3"/>
      <c r="BE45" s="73"/>
      <c r="BN45" s="3"/>
    </row>
    <row r="46" spans="2:66" hidden="1" outlineLevel="1" x14ac:dyDescent="0.25">
      <c r="B46" s="12" t="s">
        <v>3</v>
      </c>
      <c r="C46" s="58" t="str" cm="1">
        <f t="array" aca="1" ref="C46" ca="1">_xll.SUBNM(db_name&amp;":related entity","","Total related entity")</f>
        <v/>
      </c>
      <c r="Q46" s="73"/>
      <c r="Z46" s="3"/>
      <c r="AA46" s="73"/>
      <c r="AJ46" s="3"/>
      <c r="AK46" s="73"/>
      <c r="AT46" s="3"/>
      <c r="AU46" s="73"/>
      <c r="BD46" s="3"/>
      <c r="BE46" s="73"/>
      <c r="BN46" s="3"/>
    </row>
    <row r="47" spans="2:66" hidden="1" outlineLevel="1" x14ac:dyDescent="0.25">
      <c r="B47" s="12" t="s">
        <v>4</v>
      </c>
      <c r="C47" s="58" t="str" cm="1">
        <f t="array" aca="1" ref="C47" ca="1">_xll.SUBNM(db_name&amp;":function","","Total functions")</f>
        <v/>
      </c>
      <c r="Q47" s="73"/>
      <c r="Z47" s="3"/>
      <c r="AA47" s="73"/>
      <c r="AJ47" s="3"/>
      <c r="AK47" s="73"/>
      <c r="AT47" s="3"/>
      <c r="AU47" s="73"/>
      <c r="BD47" s="3"/>
      <c r="BE47" s="73"/>
      <c r="BN47" s="3"/>
    </row>
    <row r="48" spans="2:66" hidden="1" outlineLevel="1" x14ac:dyDescent="0.25">
      <c r="B48" s="12" t="s">
        <v>5</v>
      </c>
      <c r="C48" s="58" t="str" cm="1">
        <f t="array" aca="1" ref="C48" ca="1">_xll.SUBNM(db_name&amp;":reason","","Total reason")</f>
        <v/>
      </c>
      <c r="Q48" s="73"/>
      <c r="Z48" s="3"/>
      <c r="AA48" s="73"/>
      <c r="AJ48" s="3"/>
      <c r="AK48" s="73"/>
      <c r="AT48" s="3"/>
      <c r="AU48" s="73"/>
      <c r="BD48" s="3"/>
      <c r="BE48" s="73"/>
      <c r="BN48" s="3"/>
    </row>
    <row r="49" spans="2:66" hidden="1" outlineLevel="1" x14ac:dyDescent="0.25">
      <c r="B49" s="12" t="s">
        <v>6</v>
      </c>
      <c r="Q49" s="73"/>
      <c r="Z49" s="3"/>
      <c r="AA49" s="73"/>
      <c r="AJ49" s="3"/>
      <c r="AK49" s="73"/>
      <c r="AT49" s="3"/>
      <c r="AU49" s="73"/>
      <c r="BD49" s="3"/>
      <c r="BE49" s="73"/>
      <c r="BN49" s="3"/>
    </row>
    <row r="50" spans="2:66" hidden="1" outlineLevel="1" x14ac:dyDescent="0.25">
      <c r="B50" s="12" t="s">
        <v>7</v>
      </c>
      <c r="C50" s="58" t="str" cm="1">
        <f t="array" aca="1" ref="C50" ca="1">_xll.SUBNM(db_name&amp;":measure code","","Total Measures","CBMS")</f>
        <v/>
      </c>
      <c r="Q50" s="73"/>
      <c r="Z50" s="3"/>
      <c r="AA50" s="73"/>
      <c r="AJ50" s="3"/>
      <c r="AK50" s="73"/>
      <c r="AT50" s="3"/>
      <c r="AU50" s="73"/>
      <c r="BD50" s="3"/>
      <c r="BE50" s="73"/>
      <c r="BN50" s="3"/>
    </row>
    <row r="51" spans="2:66" hidden="1" outlineLevel="1" x14ac:dyDescent="0.25">
      <c r="B51" s="12" t="s">
        <v>8</v>
      </c>
      <c r="C51" s="58" t="str" cm="1">
        <f t="array" aca="1" ref="C51" ca="1">_xll.SUBNM(db_name&amp;":appropriation type","","Total approp types")</f>
        <v/>
      </c>
      <c r="Q51" s="73"/>
      <c r="Z51" s="3"/>
      <c r="AA51" s="73"/>
      <c r="AJ51" s="3"/>
      <c r="AK51" s="73"/>
      <c r="AT51" s="3"/>
      <c r="AU51" s="73"/>
      <c r="BD51" s="3"/>
      <c r="BE51" s="73"/>
      <c r="BN51" s="3"/>
    </row>
    <row r="52" spans="2:66" hidden="1" outlineLevel="1" x14ac:dyDescent="0.25">
      <c r="B52" s="12" t="s">
        <v>9</v>
      </c>
      <c r="C52" s="58" t="str" cm="1">
        <f t="array" aca="1" ref="C52" ca="1">_xll.SUBNM(db_name&amp;":movement account","","Total movement","code and description")</f>
        <v/>
      </c>
      <c r="Q52" s="73"/>
      <c r="Z52" s="3"/>
      <c r="AA52" s="73"/>
      <c r="AJ52" s="3"/>
      <c r="AK52" s="73"/>
      <c r="AT52" s="3"/>
      <c r="AU52" s="73"/>
      <c r="BD52" s="3"/>
      <c r="BE52" s="73"/>
      <c r="BN52" s="3"/>
    </row>
    <row r="53" spans="2:66" hidden="1" outlineLevel="1" x14ac:dyDescent="0.25">
      <c r="B53" s="12" t="s">
        <v>10</v>
      </c>
      <c r="C53" s="58" t="str" cm="1">
        <f t="array" aca="1" ref="C53" ca="1">_xll.SUBNM(db_name&amp;":appropriation item","","Total approp item")</f>
        <v/>
      </c>
      <c r="Q53" s="73"/>
      <c r="Z53" s="3"/>
      <c r="AA53" s="73"/>
      <c r="AJ53" s="3"/>
      <c r="AK53" s="73"/>
      <c r="AT53" s="3"/>
      <c r="AU53" s="73"/>
      <c r="BD53" s="3"/>
      <c r="BE53" s="73"/>
      <c r="BN53" s="3"/>
    </row>
    <row r="54" spans="2:66" hidden="1" outlineLevel="1" x14ac:dyDescent="0.25">
      <c r="B54" s="12" t="s">
        <v>32</v>
      </c>
      <c r="C54" s="13" t="s">
        <v>30</v>
      </c>
      <c r="Q54" s="73"/>
      <c r="Z54" s="3"/>
      <c r="AA54" s="73"/>
      <c r="AJ54" s="3"/>
      <c r="AK54" s="73"/>
      <c r="AT54" s="3"/>
      <c r="AU54" s="73"/>
      <c r="BD54" s="3"/>
      <c r="BE54" s="73"/>
      <c r="BN54" s="3"/>
    </row>
    <row r="55" spans="2:66" hidden="1" outlineLevel="1" x14ac:dyDescent="0.25">
      <c r="B55" s="12" t="s">
        <v>33</v>
      </c>
      <c r="C55" s="13" t="s">
        <v>34</v>
      </c>
      <c r="Q55" s="73"/>
      <c r="Z55" s="3"/>
      <c r="AA55" s="73"/>
      <c r="AJ55" s="3"/>
      <c r="AK55" s="73"/>
      <c r="AT55" s="3"/>
      <c r="AU55" s="73"/>
      <c r="BD55" s="3"/>
      <c r="BE55" s="73"/>
      <c r="BN55" s="3"/>
    </row>
    <row r="56" spans="2:66" hidden="1" outlineLevel="1" x14ac:dyDescent="0.25">
      <c r="B56" s="12" t="s">
        <v>11</v>
      </c>
      <c r="C56" s="58" t="str" cm="1">
        <f t="array" aca="1" ref="C56" ca="1">_xll.SUBNM(db_name&amp;":id","","Total IDs")</f>
        <v/>
      </c>
      <c r="Q56" s="73"/>
      <c r="Z56" s="3"/>
      <c r="AA56" s="73"/>
      <c r="AJ56" s="3"/>
      <c r="AK56" s="73"/>
      <c r="AT56" s="3"/>
      <c r="AU56" s="73"/>
      <c r="BD56" s="3"/>
      <c r="BE56" s="73"/>
      <c r="BN56" s="3"/>
    </row>
    <row r="57" spans="2:66" hidden="1" outlineLevel="1" x14ac:dyDescent="0.25">
      <c r="B57" s="12" t="s">
        <v>12</v>
      </c>
      <c r="C57" s="65" t="str">
        <f ca="1">_xll.SUBNM(db_name&amp;":jurisdiction","","Total jurisdictions","code and description")</f>
        <v/>
      </c>
      <c r="Q57" s="73"/>
      <c r="Z57" s="3"/>
      <c r="AA57" s="73"/>
      <c r="AJ57" s="3"/>
      <c r="AK57" s="73"/>
      <c r="AT57" s="3"/>
      <c r="AU57" s="73"/>
      <c r="BD57" s="3"/>
      <c r="BE57" s="73"/>
      <c r="BN57" s="3"/>
    </row>
    <row r="58" spans="2:66" ht="15.75" hidden="1" outlineLevel="1" thickBot="1" x14ac:dyDescent="0.3">
      <c r="B58" s="14" t="s">
        <v>35</v>
      </c>
      <c r="C58" s="15" t="s">
        <v>36</v>
      </c>
      <c r="Q58" s="73"/>
      <c r="Z58" s="3"/>
      <c r="AA58" s="73"/>
      <c r="AJ58" s="3"/>
      <c r="AK58" s="73"/>
      <c r="AT58" s="3"/>
      <c r="AU58" s="73"/>
      <c r="BD58" s="3"/>
      <c r="BE58" s="73"/>
      <c r="BN58" s="3"/>
    </row>
    <row r="59" spans="2:66" ht="15.75" hidden="1" outlineLevel="1" thickBot="1" x14ac:dyDescent="0.3">
      <c r="B59" s="1"/>
      <c r="Q59" s="73"/>
      <c r="Z59" s="3"/>
      <c r="AA59" s="73"/>
      <c r="AJ59" s="3"/>
      <c r="AK59" s="73"/>
      <c r="AT59" s="3"/>
      <c r="AU59" s="73"/>
      <c r="BD59" s="3"/>
      <c r="BE59" s="73"/>
      <c r="BN59" s="3"/>
    </row>
    <row r="60" spans="2:66" ht="15.75" hidden="1" outlineLevel="1" thickBot="1" x14ac:dyDescent="0.3">
      <c r="B60" s="100" t="s">
        <v>37</v>
      </c>
      <c r="C60" s="101"/>
      <c r="D60" s="86"/>
      <c r="Q60" s="73"/>
      <c r="Z60" s="3"/>
      <c r="AA60" s="73"/>
      <c r="AJ60" s="3"/>
      <c r="AK60" s="73"/>
      <c r="AT60" s="3"/>
      <c r="AU60" s="73"/>
      <c r="BD60" s="3"/>
      <c r="BE60" s="73"/>
      <c r="BN60" s="3"/>
    </row>
    <row r="61" spans="2:66" ht="15.75" hidden="1" outlineLevel="1" thickBot="1" x14ac:dyDescent="0.3">
      <c r="B61" s="9" t="s">
        <v>38</v>
      </c>
      <c r="C61" s="16">
        <v>9000140</v>
      </c>
      <c r="D61" s="17" t="str">
        <f ca="1">"{DESCENDANTS(ACCOUNT.["&amp;C61&amp;"]) }"</f>
        <v>{DESCENDANTS(ACCOUNT.[9000140]) }</v>
      </c>
      <c r="G61" s="86"/>
      <c r="O61" t="s">
        <v>94</v>
      </c>
      <c r="Q61" s="73"/>
      <c r="Z61" s="3"/>
      <c r="AA61" s="73"/>
      <c r="AJ61" s="3"/>
      <c r="AK61" s="73"/>
      <c r="AT61" s="3"/>
      <c r="AU61" s="73"/>
      <c r="BD61" s="3"/>
      <c r="BE61" s="73"/>
      <c r="BN61" s="3"/>
    </row>
    <row r="62" spans="2:66" ht="15.75" hidden="1" outlineLevel="1" thickBot="1" x14ac:dyDescent="0.3">
      <c r="B62" s="12" t="s">
        <v>39</v>
      </c>
      <c r="C62" s="18">
        <v>3800001</v>
      </c>
      <c r="D62" s="17" t="str">
        <f ca="1">"{DESCENDANTS(ACCOUNT.["&amp;C62&amp;"]) }"</f>
        <v>{DESCENDANTS(ACCOUNT.[3800001]) }</v>
      </c>
      <c r="O62" t="s">
        <v>95</v>
      </c>
      <c r="Q62" s="73"/>
      <c r="Z62" s="3"/>
      <c r="AA62" s="73"/>
      <c r="AJ62" s="3"/>
      <c r="AK62" s="73"/>
      <c r="AT62" s="3"/>
      <c r="AU62" s="73"/>
      <c r="BD62" s="3"/>
      <c r="BE62" s="73"/>
      <c r="BN62" s="3"/>
    </row>
    <row r="63" spans="2:66" ht="15.75" hidden="1" outlineLevel="1" thickBot="1" x14ac:dyDescent="0.3">
      <c r="B63" s="14" t="s">
        <v>40</v>
      </c>
      <c r="C63" s="18">
        <v>9000003</v>
      </c>
      <c r="D63" s="17" t="str">
        <f ca="1">"{DESCENDANTS(ACCOUNT.["&amp;C63&amp;"]) }"</f>
        <v>{DESCENDANTS(ACCOUNT.[9000003]) }</v>
      </c>
      <c r="O63" t="s">
        <v>96</v>
      </c>
      <c r="Q63" s="73"/>
      <c r="Z63" s="3"/>
      <c r="AA63" s="73"/>
      <c r="AJ63" s="3"/>
      <c r="AK63" s="73"/>
      <c r="AT63" s="3"/>
      <c r="AU63" s="73"/>
      <c r="BD63" s="3"/>
      <c r="BE63" s="73"/>
      <c r="BN63" s="3"/>
    </row>
    <row r="64" spans="2:66" ht="15.75" hidden="1" outlineLevel="1" thickBot="1" x14ac:dyDescent="0.3">
      <c r="B64" s="9" t="s">
        <v>107</v>
      </c>
      <c r="D64" s="16" t="str">
        <f ca="1">"{FILTER( {TM1FILTERBYLEVEL( {TM1DRILLDOWNMEMBER( {[account].["&amp;$C$61&amp;"]}, ALL, RECURSIVE )}, 0)}, [account].[jurisdiction required] = "&amp;$C$67&amp;"Y"&amp;$C$67&amp;")}"</f>
        <v>{FILTER( {TM1FILTERBYLEVEL( {TM1DRILLDOWNMEMBER( {[account].[9000140]}, ALL, RECURSIVE )}, 0)}, [account].[jurisdiction required] = "Y")}</v>
      </c>
      <c r="Q64" s="73"/>
      <c r="Z64" s="3"/>
      <c r="AA64" s="73"/>
      <c r="AJ64" s="3"/>
      <c r="AK64" s="73"/>
      <c r="AT64" s="3"/>
      <c r="AU64" s="73"/>
      <c r="BD64" s="3"/>
      <c r="BE64" s="73"/>
      <c r="BN64" s="3"/>
    </row>
    <row r="65" spans="2:68" ht="15.75" hidden="1" outlineLevel="1" thickBot="1" x14ac:dyDescent="0.3">
      <c r="B65" s="9" t="s">
        <v>108</v>
      </c>
      <c r="C65" s="16"/>
      <c r="D65" s="16" t="str">
        <f ca="1">"{FILTER( {TM1FILTERBYLEVEL( {TM1DRILLDOWNMEMBER( {[account].["&amp;$C$62&amp;"]}, ALL, RECURSIVE )}, 0)}, [account].[jurisdiction required] = "&amp;$C$67&amp;"Y"&amp;$C$67&amp;")}"</f>
        <v>{FILTER( {TM1FILTERBYLEVEL( {TM1DRILLDOWNMEMBER( {[account].[3800001]}, ALL, RECURSIVE )}, 0)}, [account].[jurisdiction required] = "Y")}</v>
      </c>
      <c r="Q65" s="73"/>
      <c r="Z65" s="3"/>
      <c r="AA65" s="73"/>
      <c r="AJ65" s="3"/>
      <c r="AK65" s="73"/>
      <c r="AT65" s="3"/>
      <c r="AU65" s="73"/>
      <c r="BD65" s="3"/>
      <c r="BE65" s="73"/>
      <c r="BN65" s="3"/>
    </row>
    <row r="66" spans="2:68" ht="15.75" hidden="1" outlineLevel="1" thickBot="1" x14ac:dyDescent="0.3">
      <c r="B66" s="9" t="s">
        <v>109</v>
      </c>
      <c r="C66" s="16"/>
      <c r="D66" s="16" t="str">
        <f ca="1">"{FILTER( {TM1FILTERBYLEVEL( {TM1DRILLDOWNMEMBER( {[account].["&amp;$C$63&amp;"]}, ALL, RECURSIVE )}, 0)}, [account].[jurisdiction required] = "&amp;$C$67&amp;"Y"&amp;$C$67&amp;")}"</f>
        <v>{FILTER( {TM1FILTERBYLEVEL( {TM1DRILLDOWNMEMBER( {[account].[9000003]}, ALL, RECURSIVE )}, 0)}, [account].[jurisdiction required] = "Y")}</v>
      </c>
      <c r="Q66" s="73"/>
      <c r="Z66" s="3"/>
      <c r="AA66" s="73"/>
      <c r="AJ66" s="3"/>
      <c r="AK66" s="73"/>
      <c r="AT66" s="3"/>
      <c r="AU66" s="73"/>
      <c r="BD66" s="3"/>
      <c r="BE66" s="73"/>
      <c r="BN66" s="3"/>
    </row>
    <row r="67" spans="2:68" hidden="1" outlineLevel="1" x14ac:dyDescent="0.25">
      <c r="B67" s="9" t="s">
        <v>105</v>
      </c>
      <c r="C67" s="16" t="s">
        <v>106</v>
      </c>
      <c r="D67" s="17"/>
      <c r="Q67" s="73"/>
      <c r="Z67" s="3"/>
      <c r="AA67" s="73"/>
      <c r="AJ67" s="3"/>
      <c r="AK67" s="73"/>
      <c r="AT67" s="3"/>
      <c r="AU67" s="73"/>
      <c r="BD67" s="3"/>
      <c r="BE67" s="73"/>
      <c r="BN67" s="3"/>
    </row>
    <row r="68" spans="2:68" hidden="1" outlineLevel="1" x14ac:dyDescent="0.25">
      <c r="B68" s="1"/>
      <c r="C68" s="2"/>
      <c r="D68" s="19"/>
      <c r="Q68" s="73"/>
      <c r="Z68" s="3"/>
      <c r="AA68" s="73"/>
      <c r="AJ68" s="3"/>
      <c r="AK68" s="73"/>
      <c r="AT68" s="3"/>
      <c r="AU68" s="73"/>
      <c r="BD68" s="3"/>
      <c r="BE68" s="73"/>
      <c r="BN68" s="3"/>
    </row>
    <row r="69" spans="2:68" ht="15.75" hidden="1" outlineLevel="1" thickBot="1" x14ac:dyDescent="0.3">
      <c r="B69" s="1"/>
      <c r="C69" s="19"/>
      <c r="D69" s="19"/>
      <c r="O69" t="s">
        <v>97</v>
      </c>
      <c r="Q69" s="73"/>
      <c r="Z69" s="3"/>
      <c r="AA69" s="73"/>
      <c r="AJ69" s="3"/>
      <c r="AK69" s="73"/>
      <c r="AT69" s="3"/>
      <c r="AU69" s="73"/>
      <c r="BD69" s="3"/>
      <c r="BE69" s="73"/>
      <c r="BN69" s="3"/>
    </row>
    <row r="70" spans="2:68" ht="15.75" hidden="1" outlineLevel="1" thickBot="1" x14ac:dyDescent="0.3">
      <c r="B70" s="20"/>
      <c r="C70" s="21" t="s">
        <v>41</v>
      </c>
      <c r="D70" s="22" t="s">
        <v>42</v>
      </c>
      <c r="O70" t="s">
        <v>98</v>
      </c>
      <c r="Q70" s="73"/>
      <c r="Z70" s="3"/>
      <c r="AA70" s="73"/>
      <c r="AJ70" s="3"/>
      <c r="AK70" s="73"/>
      <c r="AT70" s="3"/>
      <c r="AU70" s="73"/>
      <c r="BD70" s="3"/>
      <c r="BE70" s="73"/>
      <c r="BN70" s="3"/>
    </row>
    <row r="71" spans="2:68" hidden="1" outlineLevel="1" x14ac:dyDescent="0.25">
      <c r="B71" s="23" t="s">
        <v>78</v>
      </c>
      <c r="C71" s="24" t="str">
        <f ca="1">"{HIERARCHIZE ({[" &amp; psProgDimName &amp;"].["&amp;$O$92&amp;"]})}"</f>
        <v>{HIERARCHIZE ({[*KEY_ERR].[]})}</v>
      </c>
      <c r="D71" s="25">
        <v>1</v>
      </c>
      <c r="O71" t="s">
        <v>99</v>
      </c>
      <c r="Q71" s="73"/>
      <c r="Z71" s="3"/>
      <c r="AA71" s="73"/>
      <c r="AJ71" s="3"/>
      <c r="AK71" s="73"/>
      <c r="AT71" s="3"/>
      <c r="AU71" s="73"/>
      <c r="BD71" s="3"/>
      <c r="BE71" s="73"/>
      <c r="BN71" s="3"/>
    </row>
    <row r="72" spans="2:68" hidden="1" outlineLevel="1" x14ac:dyDescent="0.25">
      <c r="B72" s="34" t="s">
        <v>79</v>
      </c>
      <c r="C72" s="35" t="str">
        <f ca="1">"{TM1FILTERBYLEVEL( {TM1DRILLDOWNMEMBER( {[" &amp; psProgDimName &amp; "].[" &amp;$O$92 &amp; "]}, ALL, RECURSIVE )}, 0)}"</f>
        <v>{TM1FILTERBYLEVEL( {TM1DRILLDOWNMEMBER( {[*KEY_ERR].[]}, ALL, RECURSIVE )}, 0)}</v>
      </c>
      <c r="D72" s="36">
        <v>0</v>
      </c>
      <c r="O72" t="s">
        <v>100</v>
      </c>
      <c r="Q72" s="73"/>
      <c r="Z72" s="3"/>
      <c r="AA72" s="73"/>
      <c r="AJ72" s="3"/>
      <c r="AK72" s="73"/>
      <c r="AT72" s="3"/>
      <c r="AU72" s="73"/>
      <c r="BD72" s="3"/>
      <c r="BE72" s="73"/>
      <c r="BN72" s="3"/>
    </row>
    <row r="73" spans="2:68" hidden="1" outlineLevel="1" x14ac:dyDescent="0.25">
      <c r="B73" s="7"/>
      <c r="C73" s="7" t="s">
        <v>49</v>
      </c>
      <c r="D73" s="37" t="s">
        <v>42</v>
      </c>
      <c r="O73" s="26" t="s">
        <v>101</v>
      </c>
      <c r="P73" s="26"/>
      <c r="Q73" s="73"/>
      <c r="R73" s="26"/>
      <c r="S73" s="26"/>
      <c r="T73" s="26"/>
      <c r="U73" s="26"/>
      <c r="V73" s="26"/>
      <c r="W73" s="26"/>
      <c r="X73" s="26"/>
      <c r="Y73" s="26"/>
      <c r="Z73" s="3"/>
      <c r="AA73" s="73"/>
      <c r="AB73" s="26"/>
      <c r="AC73" s="26"/>
      <c r="AD73" s="26"/>
      <c r="AE73" s="26"/>
      <c r="AF73" s="26"/>
      <c r="AG73" s="26"/>
      <c r="AH73" s="26"/>
      <c r="AI73" s="26"/>
      <c r="AJ73" s="3"/>
      <c r="AK73" s="73"/>
      <c r="AL73" s="26"/>
      <c r="AM73" s="26"/>
      <c r="AN73" s="26"/>
      <c r="AO73" s="26"/>
      <c r="AP73" s="26"/>
      <c r="AQ73" s="26"/>
      <c r="AR73" s="26"/>
      <c r="AS73" s="26"/>
      <c r="AT73" s="3"/>
      <c r="AU73" s="73"/>
      <c r="AV73" s="26"/>
      <c r="AW73" s="26"/>
      <c r="AX73" s="26"/>
      <c r="AY73" s="26"/>
      <c r="AZ73" s="26"/>
      <c r="BA73" s="26"/>
      <c r="BB73" s="26"/>
      <c r="BC73" s="26"/>
      <c r="BD73" s="3"/>
      <c r="BE73" s="73"/>
      <c r="BF73" s="26"/>
      <c r="BG73" s="26"/>
      <c r="BH73" s="26"/>
      <c r="BI73" s="26"/>
      <c r="BJ73" s="26"/>
      <c r="BK73" s="26"/>
      <c r="BL73" s="26"/>
      <c r="BM73" s="26"/>
      <c r="BN73" s="3"/>
    </row>
    <row r="74" spans="2:68" hidden="1" outlineLevel="1" x14ac:dyDescent="0.25">
      <c r="B74" s="7" t="s">
        <v>44</v>
      </c>
      <c r="C74" s="37" t="e">
        <f ca="1">VLOOKUP($S$89,PL_progtype_lookup,2,FALSE)</f>
        <v>#N/A</v>
      </c>
      <c r="D74" s="37" t="e">
        <f ca="1">VLOOKUP($S$89,PL_progtype_lookup,3,FALSE)</f>
        <v>#N/A</v>
      </c>
      <c r="O74" s="26" t="s">
        <v>102</v>
      </c>
      <c r="P74" s="26"/>
      <c r="Q74" s="73"/>
      <c r="R74" s="26"/>
      <c r="S74" s="26"/>
      <c r="T74" s="26"/>
      <c r="U74" s="26"/>
      <c r="V74" s="26"/>
      <c r="W74" s="26"/>
      <c r="X74" s="26"/>
      <c r="Y74" s="26"/>
      <c r="Z74" s="3"/>
      <c r="AA74" s="73"/>
      <c r="AB74" s="26"/>
      <c r="AC74" s="26"/>
      <c r="AD74" s="26"/>
      <c r="AE74" s="26"/>
      <c r="AF74" s="26"/>
      <c r="AG74" s="26"/>
      <c r="AH74" s="26"/>
      <c r="AI74" s="26"/>
      <c r="AJ74" s="3"/>
      <c r="AK74" s="73"/>
      <c r="AL74" s="26"/>
      <c r="AM74" s="26"/>
      <c r="AN74" s="26"/>
      <c r="AO74" s="26"/>
      <c r="AP74" s="26"/>
      <c r="AQ74" s="26"/>
      <c r="AR74" s="26"/>
      <c r="AS74" s="26"/>
      <c r="AT74" s="3"/>
      <c r="AU74" s="73"/>
      <c r="AV74" s="26"/>
      <c r="AW74" s="26"/>
      <c r="AX74" s="26"/>
      <c r="AY74" s="26"/>
      <c r="AZ74" s="26"/>
      <c r="BA74" s="26"/>
      <c r="BB74" s="26"/>
      <c r="BC74" s="26"/>
      <c r="BD74" s="3"/>
      <c r="BE74" s="73"/>
      <c r="BF74" s="26"/>
      <c r="BG74" s="26"/>
      <c r="BH74" s="26"/>
      <c r="BI74" s="26"/>
      <c r="BJ74" s="26"/>
      <c r="BK74" s="26"/>
      <c r="BL74" s="26"/>
      <c r="BM74" s="26"/>
      <c r="BN74" s="3"/>
    </row>
    <row r="75" spans="2:68" hidden="1" outlineLevel="1" x14ac:dyDescent="0.25">
      <c r="B75" s="7" t="s">
        <v>45</v>
      </c>
      <c r="C75" s="37" t="e">
        <f ca="1">VLOOKUP($S$90,PL_progtype_lookup,2,FALSE)</f>
        <v>#N/A</v>
      </c>
      <c r="D75" s="37" t="e">
        <f ca="1">VLOOKUP($S$89,PL_progtype_lookup,3,FALSE)</f>
        <v>#N/A</v>
      </c>
      <c r="O75" s="26"/>
      <c r="P75" s="26"/>
      <c r="Q75" s="73"/>
      <c r="R75" s="26"/>
      <c r="S75" s="26"/>
      <c r="T75" s="26"/>
      <c r="U75" s="26"/>
      <c r="V75" s="26"/>
      <c r="W75" s="26"/>
      <c r="X75" s="26"/>
      <c r="Y75" s="26"/>
      <c r="Z75" s="3"/>
      <c r="AA75" s="73"/>
      <c r="AB75" s="26"/>
      <c r="AC75" s="26"/>
      <c r="AD75" s="26"/>
      <c r="AE75" s="26"/>
      <c r="AF75" s="26"/>
      <c r="AG75" s="26"/>
      <c r="AH75" s="26"/>
      <c r="AI75" s="26"/>
      <c r="AJ75" s="3"/>
      <c r="AK75" s="73"/>
      <c r="AL75" s="26"/>
      <c r="AM75" s="26"/>
      <c r="AN75" s="26"/>
      <c r="AO75" s="26"/>
      <c r="AP75" s="26"/>
      <c r="AQ75" s="26"/>
      <c r="AR75" s="26"/>
      <c r="AS75" s="26"/>
      <c r="AT75" s="3"/>
      <c r="AU75" s="73"/>
      <c r="AV75" s="26"/>
      <c r="AW75" s="26"/>
      <c r="AX75" s="26"/>
      <c r="AY75" s="26"/>
      <c r="AZ75" s="26"/>
      <c r="BA75" s="26"/>
      <c r="BB75" s="26"/>
      <c r="BC75" s="26"/>
      <c r="BD75" s="3"/>
      <c r="BE75" s="73"/>
      <c r="BF75" s="26"/>
      <c r="BG75" s="26"/>
      <c r="BH75" s="26"/>
      <c r="BI75" s="26"/>
      <c r="BJ75" s="26"/>
      <c r="BK75" s="26"/>
      <c r="BL75" s="26"/>
      <c r="BM75" s="26"/>
      <c r="BN75" s="3"/>
    </row>
    <row r="76" spans="2:68" hidden="1" outlineLevel="1" x14ac:dyDescent="0.25">
      <c r="B76" s="7" t="s">
        <v>50</v>
      </c>
      <c r="C76" s="37" t="e">
        <f ca="1">VLOOKUP($S$91,PL_progtype_lookup,2,FALSE)</f>
        <v>#N/A</v>
      </c>
      <c r="D76" s="37" t="e">
        <f ca="1">VLOOKUP($S$89,PL_progtype_lookup,3,FALSE)</f>
        <v>#N/A</v>
      </c>
      <c r="O76" s="26"/>
      <c r="P76" s="26"/>
      <c r="Q76" s="73"/>
      <c r="R76" s="26"/>
      <c r="S76" s="26"/>
      <c r="T76" s="26"/>
      <c r="U76" s="26"/>
      <c r="V76" s="26"/>
      <c r="W76" s="26"/>
      <c r="X76" s="26"/>
      <c r="Y76" s="26"/>
      <c r="Z76" s="3"/>
      <c r="AA76" s="73"/>
      <c r="AB76" s="26"/>
      <c r="AC76" s="26"/>
      <c r="AD76" s="26"/>
      <c r="AE76" s="26"/>
      <c r="AF76" s="26"/>
      <c r="AG76" s="26"/>
      <c r="AH76" s="26"/>
      <c r="AI76" s="26"/>
      <c r="AJ76" s="3"/>
      <c r="AK76" s="73"/>
      <c r="AL76" s="26"/>
      <c r="AM76" s="26"/>
      <c r="AN76" s="26"/>
      <c r="AO76" s="26"/>
      <c r="AP76" s="26"/>
      <c r="AQ76" s="26"/>
      <c r="AR76" s="26"/>
      <c r="AS76" s="26"/>
      <c r="AT76" s="3"/>
      <c r="AU76" s="73"/>
      <c r="AV76" s="26"/>
      <c r="AW76" s="26"/>
      <c r="AX76" s="26"/>
      <c r="AY76" s="26"/>
      <c r="AZ76" s="26"/>
      <c r="BA76" s="26"/>
      <c r="BB76" s="26"/>
      <c r="BC76" s="26"/>
      <c r="BD76" s="3"/>
      <c r="BE76" s="73"/>
      <c r="BF76" s="26"/>
      <c r="BG76" s="26"/>
      <c r="BH76" s="26"/>
      <c r="BI76" s="26"/>
      <c r="BJ76" s="26"/>
      <c r="BK76" s="26"/>
      <c r="BL76" s="26"/>
      <c r="BM76" s="26"/>
      <c r="BN76" s="3"/>
    </row>
    <row r="77" spans="2:68" hidden="1" outlineLevel="1" x14ac:dyDescent="0.25">
      <c r="B77" s="56"/>
      <c r="C77" s="59" t="str">
        <f ca="1">"{TM1SORTBYINDEX( {TM1FILTERBYLEVEL( {TM1DRILLDOWNMEMBER( {[" &amp; psProgDimName &amp; "].["&amp;$O$92&amp;"]}, ALL, RECURSIVE )}, 0,4)}, DESC)}"</f>
        <v>{TM1SORTBYINDEX( {TM1FILTERBYLEVEL( {TM1DRILLDOWNMEMBER( {[*KEY_ERR].[]}, ALL, RECURSIVE )}, 0,4)}, DESC)}</v>
      </c>
      <c r="D77" s="37"/>
      <c r="Q77" s="73"/>
      <c r="Z77" s="3"/>
      <c r="AA77" s="73"/>
      <c r="AJ77" s="3"/>
      <c r="AK77" s="73"/>
      <c r="AT77" s="3"/>
      <c r="AU77" s="73"/>
      <c r="BD77" s="3"/>
      <c r="BE77" s="73"/>
      <c r="BN77" s="3"/>
    </row>
    <row r="78" spans="2:68" hidden="1" outlineLevel="1" x14ac:dyDescent="0.25">
      <c r="B78" s="56"/>
      <c r="C78" s="37" t="str">
        <f ca="1">"{TM1FILTERBYLEVEL( {TM1DRILLDOWNMEMBER( {[" &amp; psProgDimName &amp; "].[" &amp;$O$92 &amp; "]}, ALL, RECURSIVE )}, 0)}"</f>
        <v>{TM1FILTERBYLEVEL( {TM1DRILLDOWNMEMBER( {[*KEY_ERR].[]}, ALL, RECURSIVE )}, 0)}</v>
      </c>
      <c r="D78" s="37"/>
      <c r="Q78" s="73"/>
      <c r="Z78" s="3"/>
      <c r="AA78" s="73"/>
      <c r="AJ78" s="3"/>
      <c r="AK78" s="73"/>
      <c r="AT78" s="3"/>
      <c r="AU78" s="73"/>
      <c r="BD78" s="3"/>
      <c r="BE78" s="73"/>
      <c r="BN78" s="3"/>
    </row>
    <row r="79" spans="2:68" ht="36" hidden="1" outlineLevel="1" x14ac:dyDescent="0.25">
      <c r="B79" s="1"/>
      <c r="C79" s="19"/>
      <c r="D79" s="19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3"/>
      <c r="BP79" s="3"/>
    </row>
    <row r="80" spans="2:68" hidden="1" outlineLevel="1" x14ac:dyDescent="0.25">
      <c r="B80" s="1"/>
      <c r="C80" s="19"/>
      <c r="D80" s="19"/>
      <c r="Q80" s="74"/>
      <c r="R80" s="29" t="str">
        <f ca="1">$Z$20</f>
        <v/>
      </c>
      <c r="S80" s="29" t="str">
        <f t="shared" ref="S80:Z80" ca="1" si="0">$Z$20</f>
        <v/>
      </c>
      <c r="T80" s="29" t="str">
        <f t="shared" ca="1" si="0"/>
        <v/>
      </c>
      <c r="U80" s="29" t="str">
        <f t="shared" ca="1" si="0"/>
        <v/>
      </c>
      <c r="V80" s="29" t="str">
        <f t="shared" ca="1" si="0"/>
        <v/>
      </c>
      <c r="W80" s="29" t="str">
        <f t="shared" ca="1" si="0"/>
        <v/>
      </c>
      <c r="X80" s="29" t="str">
        <f t="shared" ca="1" si="0"/>
        <v/>
      </c>
      <c r="Y80" s="29" t="str">
        <f t="shared" ca="1" si="0"/>
        <v/>
      </c>
      <c r="Z80" s="29" t="str">
        <f t="shared" ca="1" si="0"/>
        <v/>
      </c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</row>
    <row r="81" spans="2:66" hidden="1" outlineLevel="1" x14ac:dyDescent="0.25">
      <c r="B81" s="1"/>
      <c r="C81" s="19"/>
      <c r="D81" s="19"/>
      <c r="Q81" s="73"/>
      <c r="Z81" s="3"/>
      <c r="AA81"/>
      <c r="AJ81" s="3"/>
      <c r="AK81"/>
      <c r="AT81" s="3"/>
      <c r="AU81"/>
      <c r="BD81" s="3"/>
      <c r="BE81"/>
      <c r="BN81" s="3"/>
    </row>
    <row r="82" spans="2:66" hidden="1" outlineLevel="1" x14ac:dyDescent="0.25">
      <c r="B82" s="1"/>
      <c r="C82" s="19"/>
      <c r="D82" s="19"/>
      <c r="Q82" s="73"/>
      <c r="Z82" s="3"/>
      <c r="AA82"/>
      <c r="AJ82" s="3"/>
      <c r="AK82"/>
      <c r="AT82" s="3"/>
      <c r="AU82"/>
      <c r="BD82" s="3"/>
      <c r="BE82"/>
      <c r="BN82" s="3"/>
    </row>
    <row r="83" spans="2:66" ht="39.950000000000003" customHeight="1" collapsed="1" x14ac:dyDescent="0.25">
      <c r="M83" s="61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1" t="s">
        <v>76</v>
      </c>
    </row>
    <row r="84" spans="2:66" ht="4.5" customHeight="1" x14ac:dyDescent="0.25"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</row>
    <row r="85" spans="2:66" ht="24" customHeight="1" x14ac:dyDescent="0.25">
      <c r="N85" s="1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</row>
    <row r="86" spans="2:66" ht="1.5" customHeight="1" x14ac:dyDescent="0.25"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</row>
    <row r="87" spans="2:66" ht="4.5" customHeight="1" x14ac:dyDescent="0.25">
      <c r="N87" s="1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</row>
    <row r="88" spans="2:66" s="2" customFormat="1" x14ac:dyDescent="0.25">
      <c r="N88" s="40" t="s">
        <v>43</v>
      </c>
      <c r="O88" s="42" t="s">
        <v>51</v>
      </c>
      <c r="P88" s="40"/>
      <c r="Q88" s="75"/>
      <c r="R88" s="103" t="s">
        <v>77</v>
      </c>
      <c r="S88" s="104"/>
      <c r="T88" s="40"/>
      <c r="U88" s="40"/>
      <c r="V88" s="40"/>
      <c r="W88" s="40"/>
      <c r="X88" s="40"/>
      <c r="Y88" s="40"/>
      <c r="AA88" s="40"/>
      <c r="AB88" s="40"/>
      <c r="AC88" s="40"/>
      <c r="AD88" s="40"/>
      <c r="AE88" s="40"/>
      <c r="AF88" s="40"/>
      <c r="AG88" s="40"/>
      <c r="AH88" s="40"/>
      <c r="AI88" s="40"/>
      <c r="AK88" s="40"/>
      <c r="AL88" s="40"/>
      <c r="AM88" s="40"/>
      <c r="AN88" s="40"/>
      <c r="AO88" s="40"/>
      <c r="AP88" s="40"/>
      <c r="AQ88" s="40"/>
      <c r="AR88" s="40"/>
      <c r="AS88" s="40"/>
      <c r="AU88" s="40"/>
      <c r="AV88" s="40"/>
      <c r="AW88" s="40"/>
      <c r="AX88" s="40"/>
      <c r="AY88" s="40"/>
      <c r="AZ88" s="40"/>
      <c r="BA88" s="40"/>
      <c r="BB88" s="40"/>
      <c r="BC88" s="40"/>
      <c r="BE88" s="40"/>
      <c r="BF88" s="40"/>
      <c r="BG88" s="40"/>
      <c r="BH88" s="40"/>
      <c r="BI88" s="40"/>
      <c r="BJ88" s="40"/>
      <c r="BK88" s="40"/>
      <c r="BL88" s="40"/>
      <c r="BM88" s="40"/>
    </row>
    <row r="89" spans="2:66" s="2" customFormat="1" x14ac:dyDescent="0.25">
      <c r="N89" s="41" t="s">
        <v>87</v>
      </c>
      <c r="O89" s="65" t="str" cm="1">
        <f t="array" aca="1" ref="O89" ca="1">_xll.SUBNM(db_name&amp;":headline year","",$C$21)</f>
        <v/>
      </c>
      <c r="P89" s="38"/>
      <c r="Q89" s="75"/>
      <c r="R89" s="41" t="s">
        <v>44</v>
      </c>
      <c r="S89" s="62" t="str" cm="1">
        <f t="array" aca="1" ref="S89" ca="1">_xll.SUBNM(db_name&amp;":sys_ReportDisplay","","Collapse")</f>
        <v/>
      </c>
      <c r="U89" s="38"/>
      <c r="V89" s="39"/>
      <c r="W89" s="38"/>
      <c r="X89" s="38"/>
      <c r="Y89" s="38"/>
      <c r="AA89" s="40"/>
      <c r="AB89" s="40"/>
      <c r="AC89" s="40"/>
      <c r="AE89" s="38"/>
      <c r="AF89" s="39"/>
      <c r="AG89" s="38"/>
      <c r="AH89" s="38"/>
      <c r="AI89" s="38"/>
      <c r="AK89" s="40"/>
      <c r="AL89" s="40"/>
      <c r="AM89" s="40"/>
      <c r="AO89" s="38"/>
      <c r="AP89" s="39"/>
      <c r="AQ89" s="38"/>
      <c r="AR89" s="38"/>
      <c r="AS89" s="38"/>
      <c r="AU89" s="40"/>
      <c r="AV89" s="40"/>
      <c r="AW89" s="40"/>
      <c r="AY89" s="38"/>
      <c r="AZ89" s="39"/>
      <c r="BA89" s="38"/>
      <c r="BB89" s="38"/>
      <c r="BC89" s="38"/>
      <c r="BE89" s="40"/>
      <c r="BF89" s="40"/>
      <c r="BG89" s="40"/>
      <c r="BI89" s="38"/>
      <c r="BJ89" s="39"/>
      <c r="BK89" s="38"/>
      <c r="BL89" s="38"/>
      <c r="BM89" s="38"/>
    </row>
    <row r="90" spans="2:66" s="2" customFormat="1" x14ac:dyDescent="0.25">
      <c r="N90" s="41" t="s">
        <v>88</v>
      </c>
      <c r="O90" s="65" t="str" cm="1">
        <f t="array" aca="1" ref="O90" ca="1">_xll.SUBNM(db_name&amp;":scenario","",$C$22)</f>
        <v/>
      </c>
      <c r="P90" s="38"/>
      <c r="Q90" s="75"/>
      <c r="R90" s="41" t="s">
        <v>45</v>
      </c>
      <c r="S90" s="62" t="str" cm="1">
        <f t="array" aca="1" ref="S90" ca="1">_xll.SUBNM(db_name&amp;":sys_ReportDisplay","","Collapse")</f>
        <v/>
      </c>
      <c r="T90" s="39"/>
      <c r="U90" s="39"/>
      <c r="V90" s="39"/>
      <c r="W90" s="38"/>
      <c r="X90" s="38"/>
      <c r="Y90" s="38"/>
      <c r="AA90" s="40"/>
      <c r="AB90" s="40"/>
      <c r="AC90" s="40"/>
      <c r="AD90" s="39"/>
      <c r="AE90" s="39"/>
      <c r="AF90" s="39"/>
      <c r="AG90" s="38"/>
      <c r="AH90" s="38"/>
      <c r="AI90" s="38"/>
      <c r="AK90" s="40"/>
      <c r="AL90" s="40"/>
      <c r="AM90" s="40"/>
      <c r="AN90" s="39"/>
      <c r="AO90" s="39"/>
      <c r="AP90" s="39"/>
      <c r="AQ90" s="38"/>
      <c r="AR90" s="38"/>
      <c r="AS90" s="38"/>
      <c r="AU90" s="40"/>
      <c r="AV90" s="40"/>
      <c r="AW90" s="40"/>
      <c r="AX90" s="39"/>
      <c r="AY90" s="39"/>
      <c r="AZ90" s="39"/>
      <c r="BA90" s="38"/>
      <c r="BB90" s="38"/>
      <c r="BC90" s="38"/>
      <c r="BE90" s="40"/>
      <c r="BF90" s="40"/>
      <c r="BG90" s="40"/>
      <c r="BH90" s="39"/>
      <c r="BI90" s="39"/>
      <c r="BJ90" s="39"/>
      <c r="BK90" s="38"/>
      <c r="BL90" s="38"/>
      <c r="BM90" s="38"/>
    </row>
    <row r="91" spans="2:66" s="2" customFormat="1" x14ac:dyDescent="0.25">
      <c r="N91" s="41" t="s">
        <v>89</v>
      </c>
      <c r="O91" s="65" t="str">
        <f ca="1">_xll.SUBNM(db_name&amp;":status","","Total approved")</f>
        <v/>
      </c>
      <c r="P91" s="38"/>
      <c r="Q91" s="75"/>
      <c r="R91" s="41" t="s">
        <v>46</v>
      </c>
      <c r="S91" s="62" t="str" cm="1">
        <f t="array" aca="1" ref="S91" ca="1">_xll.SUBNM(db_name&amp;":sys_ReportDisplay","","Collapse")</f>
        <v/>
      </c>
      <c r="T91" s="39"/>
      <c r="U91" s="39"/>
      <c r="V91" s="39"/>
      <c r="W91" s="38"/>
      <c r="X91" s="38"/>
      <c r="Y91" s="38"/>
      <c r="AA91" s="75"/>
      <c r="AB91" s="40"/>
      <c r="AC91" s="40"/>
      <c r="AD91" s="39"/>
      <c r="AE91" s="39"/>
      <c r="AF91" s="39"/>
      <c r="AG91" s="38"/>
      <c r="AH91" s="38"/>
      <c r="AI91" s="38"/>
      <c r="AK91" s="75"/>
      <c r="AL91" s="40"/>
      <c r="AM91" s="40"/>
      <c r="AN91" s="39"/>
      <c r="AO91" s="39"/>
      <c r="AP91" s="39"/>
      <c r="AQ91" s="38"/>
      <c r="AR91" s="38"/>
      <c r="AS91" s="38"/>
      <c r="AU91" s="75"/>
      <c r="AV91" s="40"/>
      <c r="AW91" s="40"/>
      <c r="AX91" s="39"/>
      <c r="AY91" s="39"/>
      <c r="AZ91" s="39"/>
      <c r="BA91" s="38"/>
      <c r="BB91" s="38"/>
      <c r="BC91" s="38"/>
      <c r="BE91" s="75"/>
      <c r="BF91" s="40"/>
      <c r="BG91" s="40"/>
      <c r="BH91" s="39"/>
      <c r="BI91" s="39"/>
      <c r="BJ91" s="39"/>
      <c r="BK91" s="38"/>
      <c r="BL91" s="38"/>
      <c r="BM91" s="38"/>
    </row>
    <row r="92" spans="2:66" s="2" customFormat="1" x14ac:dyDescent="0.25">
      <c r="N92" s="41" t="s">
        <v>90</v>
      </c>
      <c r="O92" s="65" t="str">
        <f ca="1">_xll.SUBNM(db_name&amp;":" &amp; psProgDimName,"","Administered Programmes","code and description")</f>
        <v/>
      </c>
      <c r="P92" s="38"/>
      <c r="Q92" s="75"/>
      <c r="R92" s="38"/>
      <c r="S92" s="38"/>
      <c r="T92" s="63"/>
      <c r="U92" s="102"/>
      <c r="V92" s="102"/>
      <c r="W92" s="38"/>
      <c r="X92" s="38"/>
      <c r="Y92" s="38"/>
      <c r="AA92" s="75"/>
      <c r="AB92" s="38"/>
      <c r="AC92" s="38"/>
      <c r="AD92" s="63"/>
      <c r="AE92" s="102"/>
      <c r="AF92" s="102"/>
      <c r="AG92" s="38"/>
      <c r="AH92" s="38"/>
      <c r="AI92" s="38"/>
      <c r="AK92" s="75"/>
      <c r="AL92" s="38"/>
      <c r="AM92" s="38"/>
      <c r="AN92" s="63"/>
      <c r="AO92" s="102"/>
      <c r="AP92" s="102"/>
      <c r="AQ92" s="38"/>
      <c r="AR92" s="38"/>
      <c r="AS92" s="38"/>
      <c r="AU92" s="75"/>
      <c r="AV92" s="38"/>
      <c r="AW92" s="38"/>
      <c r="AX92" s="63"/>
      <c r="AY92" s="102"/>
      <c r="AZ92" s="102"/>
      <c r="BA92" s="38"/>
      <c r="BB92" s="38"/>
      <c r="BC92" s="38"/>
      <c r="BE92" s="75"/>
      <c r="BF92" s="38"/>
      <c r="BG92" s="38"/>
      <c r="BH92" s="63"/>
      <c r="BI92" s="102"/>
      <c r="BJ92" s="102"/>
      <c r="BK92" s="38"/>
      <c r="BL92" s="38"/>
      <c r="BM92" s="38"/>
    </row>
    <row r="93" spans="2:66" s="2" customFormat="1" x14ac:dyDescent="0.25">
      <c r="N93" s="41" t="s">
        <v>93</v>
      </c>
      <c r="O93" s="65" t="str">
        <f ca="1">_xll.SUBNM(db_name&amp;":spp","","Total SPP","Code and description")</f>
        <v/>
      </c>
      <c r="P93" s="38"/>
      <c r="Q93" s="75"/>
      <c r="R93" s="38"/>
      <c r="S93" s="38"/>
      <c r="T93" s="63"/>
      <c r="U93" s="102"/>
      <c r="V93" s="102"/>
      <c r="W93" s="38"/>
      <c r="X93" s="38"/>
      <c r="Y93" s="38"/>
      <c r="AA93" s="75"/>
      <c r="AB93" s="38"/>
      <c r="AC93" s="38"/>
      <c r="AD93" s="63"/>
      <c r="AE93" s="102"/>
      <c r="AF93" s="102"/>
      <c r="AG93" s="38"/>
      <c r="AH93" s="38"/>
      <c r="AI93" s="38"/>
      <c r="AK93" s="75"/>
      <c r="AL93" s="38"/>
      <c r="AM93" s="38"/>
      <c r="AN93" s="63"/>
      <c r="AO93" s="102"/>
      <c r="AP93" s="102"/>
      <c r="AQ93" s="38"/>
      <c r="AR93" s="38"/>
      <c r="AS93" s="38"/>
      <c r="AU93" s="75"/>
      <c r="AV93" s="38"/>
      <c r="AW93" s="38"/>
      <c r="AX93" s="63"/>
      <c r="AY93" s="102"/>
      <c r="AZ93" s="102"/>
      <c r="BA93" s="38"/>
      <c r="BB93" s="38"/>
      <c r="BC93" s="38"/>
      <c r="BE93" s="75"/>
      <c r="BF93" s="38"/>
      <c r="BG93" s="38"/>
      <c r="BH93" s="63"/>
      <c r="BI93" s="102"/>
      <c r="BJ93" s="102"/>
      <c r="BK93" s="38"/>
      <c r="BL93" s="38"/>
      <c r="BM93" s="38"/>
    </row>
    <row r="94" spans="2:66" s="2" customFormat="1" x14ac:dyDescent="0.25">
      <c r="N94" s="41"/>
      <c r="P94" s="38"/>
      <c r="Q94" s="75"/>
      <c r="R94" s="90" t="s">
        <v>110</v>
      </c>
      <c r="S94" s="38"/>
      <c r="W94" s="38"/>
      <c r="X94" s="63" t="s">
        <v>81</v>
      </c>
      <c r="Y94" s="102">
        <f ca="1">NOW()</f>
        <v>44972.397998263892</v>
      </c>
      <c r="Z94" s="102"/>
      <c r="AA94" s="75"/>
      <c r="AB94" s="38"/>
      <c r="AC94" s="38"/>
      <c r="AD94" s="63"/>
      <c r="AE94" s="102"/>
      <c r="AF94" s="102"/>
      <c r="AG94" s="38"/>
      <c r="AH94" s="38"/>
      <c r="AI94" s="38"/>
      <c r="AK94" s="75"/>
      <c r="AL94" s="38"/>
      <c r="AM94" s="38"/>
      <c r="AN94" s="63"/>
      <c r="AO94" s="102"/>
      <c r="AP94" s="102"/>
      <c r="AQ94" s="38"/>
      <c r="AR94" s="38"/>
      <c r="AS94" s="38"/>
      <c r="AU94" s="75"/>
      <c r="AV94" s="38"/>
      <c r="AW94" s="38"/>
      <c r="AX94" s="63"/>
      <c r="AY94" s="102"/>
      <c r="AZ94" s="102"/>
      <c r="BA94" s="38"/>
      <c r="BB94" s="38"/>
      <c r="BC94" s="38"/>
      <c r="BE94" s="75"/>
      <c r="BF94" s="38"/>
      <c r="BG94" s="38"/>
      <c r="BH94" s="63"/>
      <c r="BI94" s="102"/>
      <c r="BJ94" s="102"/>
      <c r="BK94" s="38"/>
      <c r="BL94" s="38"/>
      <c r="BM94" s="38"/>
    </row>
    <row r="95" spans="2:66" ht="3" customHeight="1" x14ac:dyDescent="0.25">
      <c r="N95" s="28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</row>
    <row r="96" spans="2:66" x14ac:dyDescent="0.25">
      <c r="N96" s="105" t="s">
        <v>57</v>
      </c>
      <c r="O96" s="105" t="s">
        <v>60</v>
      </c>
      <c r="P96" s="105" t="s">
        <v>58</v>
      </c>
      <c r="Q96" s="74"/>
      <c r="R96" s="106" t="str">
        <f ca="1">$Z$20</f>
        <v/>
      </c>
      <c r="S96" s="107"/>
      <c r="T96" s="107"/>
      <c r="U96" s="107"/>
      <c r="V96" s="107"/>
      <c r="W96" s="107"/>
      <c r="X96" s="107"/>
      <c r="Y96" s="107"/>
      <c r="Z96" s="108"/>
      <c r="AA96" s="74"/>
      <c r="AB96" s="106" t="str">
        <f ca="1">$AJ$20</f>
        <v/>
      </c>
      <c r="AC96" s="107"/>
      <c r="AD96" s="107"/>
      <c r="AE96" s="107"/>
      <c r="AF96" s="107"/>
      <c r="AG96" s="107"/>
      <c r="AH96" s="107"/>
      <c r="AI96" s="107"/>
      <c r="AJ96" s="108"/>
      <c r="AK96" s="74"/>
      <c r="AL96" s="106" t="str">
        <f ca="1">$AT$20</f>
        <v/>
      </c>
      <c r="AM96" s="107"/>
      <c r="AN96" s="107"/>
      <c r="AO96" s="107"/>
      <c r="AP96" s="107"/>
      <c r="AQ96" s="107"/>
      <c r="AR96" s="107"/>
      <c r="AS96" s="107"/>
      <c r="AT96" s="108"/>
      <c r="AU96" s="74"/>
      <c r="AV96" s="106" t="str">
        <f ca="1">$BD$20</f>
        <v/>
      </c>
      <c r="AW96" s="107"/>
      <c r="AX96" s="107"/>
      <c r="AY96" s="107"/>
      <c r="AZ96" s="107"/>
      <c r="BA96" s="107"/>
      <c r="BB96" s="107"/>
      <c r="BC96" s="107"/>
      <c r="BD96" s="108"/>
      <c r="BE96" s="74"/>
      <c r="BF96" s="106" t="str">
        <f ca="1">$BN$20</f>
        <v/>
      </c>
      <c r="BG96" s="107"/>
      <c r="BH96" s="107"/>
      <c r="BI96" s="107"/>
      <c r="BJ96" s="107"/>
      <c r="BK96" s="107"/>
      <c r="BL96" s="107"/>
      <c r="BM96" s="107"/>
      <c r="BN96" s="108"/>
    </row>
    <row r="97" spans="1:66" x14ac:dyDescent="0.25">
      <c r="N97" s="105"/>
      <c r="O97" s="105"/>
      <c r="P97" s="105"/>
      <c r="Q97" s="74"/>
      <c r="R97" s="91" t="s">
        <v>52</v>
      </c>
      <c r="S97" s="92"/>
      <c r="T97" s="92"/>
      <c r="U97" s="92"/>
      <c r="V97" s="92"/>
      <c r="W97" s="92"/>
      <c r="X97" s="92"/>
      <c r="Y97" s="92"/>
      <c r="Z97" s="93"/>
      <c r="AA97" s="74"/>
      <c r="AB97" s="91" t="s">
        <v>53</v>
      </c>
      <c r="AC97" s="92"/>
      <c r="AD97" s="92"/>
      <c r="AE97" s="92"/>
      <c r="AF97" s="92"/>
      <c r="AG97" s="92"/>
      <c r="AH97" s="92"/>
      <c r="AI97" s="92"/>
      <c r="AJ97" s="93"/>
      <c r="AK97" s="74"/>
      <c r="AL97" s="91" t="s">
        <v>54</v>
      </c>
      <c r="AM97" s="92"/>
      <c r="AN97" s="92"/>
      <c r="AO97" s="92"/>
      <c r="AP97" s="92"/>
      <c r="AQ97" s="92"/>
      <c r="AR97" s="92"/>
      <c r="AS97" s="92"/>
      <c r="AT97" s="93"/>
      <c r="AU97" s="74"/>
      <c r="AV97" s="91" t="s">
        <v>55</v>
      </c>
      <c r="AW97" s="92"/>
      <c r="AX97" s="92"/>
      <c r="AY97" s="92"/>
      <c r="AZ97" s="92"/>
      <c r="BA97" s="92"/>
      <c r="BB97" s="92"/>
      <c r="BC97" s="92"/>
      <c r="BD97" s="93"/>
      <c r="BE97" s="74"/>
      <c r="BF97" s="91" t="s">
        <v>56</v>
      </c>
      <c r="BG97" s="92"/>
      <c r="BH97" s="92"/>
      <c r="BI97" s="92"/>
      <c r="BJ97" s="92"/>
      <c r="BK97" s="92"/>
      <c r="BL97" s="92"/>
      <c r="BM97" s="92"/>
      <c r="BN97" s="93"/>
    </row>
    <row r="98" spans="1:66" x14ac:dyDescent="0.25">
      <c r="K98" s="55" t="s">
        <v>58</v>
      </c>
      <c r="N98" s="105"/>
      <c r="O98" s="105"/>
      <c r="P98" s="105"/>
      <c r="Q98" s="74"/>
      <c r="R98" s="91" t="s">
        <v>59</v>
      </c>
      <c r="S98" s="92"/>
      <c r="T98" s="92"/>
      <c r="U98" s="92"/>
      <c r="V98" s="92"/>
      <c r="W98" s="92"/>
      <c r="X98" s="92"/>
      <c r="Y98" s="92"/>
      <c r="Z98" s="93"/>
      <c r="AA98" s="74"/>
      <c r="AB98" s="91" t="s">
        <v>59</v>
      </c>
      <c r="AC98" s="92"/>
      <c r="AD98" s="92"/>
      <c r="AE98" s="92"/>
      <c r="AF98" s="92"/>
      <c r="AG98" s="92"/>
      <c r="AH98" s="92"/>
      <c r="AI98" s="92"/>
      <c r="AJ98" s="93"/>
      <c r="AK98" s="74"/>
      <c r="AL98" s="91" t="s">
        <v>59</v>
      </c>
      <c r="AM98" s="92"/>
      <c r="AN98" s="92"/>
      <c r="AO98" s="92"/>
      <c r="AP98" s="92"/>
      <c r="AQ98" s="92"/>
      <c r="AR98" s="92"/>
      <c r="AS98" s="92"/>
      <c r="AT98" s="93"/>
      <c r="AU98" s="74"/>
      <c r="AV98" s="91" t="s">
        <v>59</v>
      </c>
      <c r="AW98" s="92"/>
      <c r="AX98" s="92"/>
      <c r="AY98" s="92"/>
      <c r="AZ98" s="92"/>
      <c r="BA98" s="92"/>
      <c r="BB98" s="92"/>
      <c r="BC98" s="92"/>
      <c r="BD98" s="93"/>
      <c r="BE98" s="74"/>
      <c r="BF98" s="91" t="s">
        <v>59</v>
      </c>
      <c r="BG98" s="92"/>
      <c r="BH98" s="92"/>
      <c r="BI98" s="92"/>
      <c r="BJ98" s="92"/>
      <c r="BK98" s="92"/>
      <c r="BL98" s="92"/>
      <c r="BM98" s="92"/>
      <c r="BN98" s="93"/>
    </row>
    <row r="99" spans="1:66" x14ac:dyDescent="0.25">
      <c r="K99" s="55"/>
      <c r="N99" s="66"/>
      <c r="O99" s="66"/>
      <c r="P99" s="66"/>
      <c r="Q99" s="76"/>
      <c r="R99" s="67" t="s">
        <v>103</v>
      </c>
      <c r="S99" s="68" t="s">
        <v>95</v>
      </c>
      <c r="T99" s="68" t="s">
        <v>96</v>
      </c>
      <c r="U99" s="68" t="s">
        <v>97</v>
      </c>
      <c r="V99" s="68" t="s">
        <v>98</v>
      </c>
      <c r="W99" s="68" t="s">
        <v>99</v>
      </c>
      <c r="X99" s="68" t="s">
        <v>100</v>
      </c>
      <c r="Y99" s="68" t="s">
        <v>101</v>
      </c>
      <c r="Z99" s="69" t="s">
        <v>102</v>
      </c>
      <c r="AA99" s="76"/>
      <c r="AB99" s="67" t="s">
        <v>103</v>
      </c>
      <c r="AC99" s="68" t="s">
        <v>95</v>
      </c>
      <c r="AD99" s="68" t="s">
        <v>96</v>
      </c>
      <c r="AE99" s="68" t="s">
        <v>97</v>
      </c>
      <c r="AF99" s="68" t="s">
        <v>98</v>
      </c>
      <c r="AG99" s="68" t="s">
        <v>99</v>
      </c>
      <c r="AH99" s="68" t="s">
        <v>100</v>
      </c>
      <c r="AI99" s="68" t="s">
        <v>101</v>
      </c>
      <c r="AJ99" s="69" t="s">
        <v>102</v>
      </c>
      <c r="AK99" s="76"/>
      <c r="AL99" s="67" t="s">
        <v>103</v>
      </c>
      <c r="AM99" s="68" t="s">
        <v>95</v>
      </c>
      <c r="AN99" s="68" t="s">
        <v>96</v>
      </c>
      <c r="AO99" s="68" t="s">
        <v>97</v>
      </c>
      <c r="AP99" s="68" t="s">
        <v>98</v>
      </c>
      <c r="AQ99" s="68" t="s">
        <v>99</v>
      </c>
      <c r="AR99" s="68" t="s">
        <v>100</v>
      </c>
      <c r="AS99" s="68" t="s">
        <v>101</v>
      </c>
      <c r="AT99" s="69" t="s">
        <v>102</v>
      </c>
      <c r="AU99" s="76"/>
      <c r="AV99" s="67" t="s">
        <v>103</v>
      </c>
      <c r="AW99" s="68" t="s">
        <v>95</v>
      </c>
      <c r="AX99" s="68" t="s">
        <v>96</v>
      </c>
      <c r="AY99" s="68" t="s">
        <v>97</v>
      </c>
      <c r="AZ99" s="68" t="s">
        <v>98</v>
      </c>
      <c r="BA99" s="68" t="s">
        <v>99</v>
      </c>
      <c r="BB99" s="68" t="s">
        <v>100</v>
      </c>
      <c r="BC99" s="68" t="s">
        <v>101</v>
      </c>
      <c r="BD99" s="69" t="s">
        <v>102</v>
      </c>
      <c r="BE99" s="76"/>
      <c r="BF99" s="67" t="s">
        <v>103</v>
      </c>
      <c r="BG99" s="68" t="s">
        <v>95</v>
      </c>
      <c r="BH99" s="68" t="s">
        <v>96</v>
      </c>
      <c r="BI99" s="68" t="s">
        <v>97</v>
      </c>
      <c r="BJ99" s="68" t="s">
        <v>98</v>
      </c>
      <c r="BK99" s="68" t="s">
        <v>99</v>
      </c>
      <c r="BL99" s="68" t="s">
        <v>100</v>
      </c>
      <c r="BM99" s="68" t="s">
        <v>101</v>
      </c>
      <c r="BN99" s="69" t="s">
        <v>102</v>
      </c>
    </row>
    <row r="100" spans="1:66" ht="3" customHeight="1" x14ac:dyDescent="0.25">
      <c r="Q100" s="74"/>
      <c r="Z100" s="30"/>
      <c r="AA100" s="74"/>
      <c r="AJ100" s="30"/>
      <c r="AK100" s="74"/>
      <c r="AT100" s="30"/>
      <c r="AU100" s="74"/>
      <c r="BD100" s="30"/>
      <c r="BE100" s="74"/>
      <c r="BN100" s="30"/>
    </row>
    <row r="101" spans="1:66" ht="18.75" x14ac:dyDescent="0.3">
      <c r="N101" s="51" t="s">
        <v>47</v>
      </c>
      <c r="O101" s="52"/>
      <c r="P101" s="53"/>
      <c r="Q101" s="54"/>
      <c r="R101" s="53"/>
      <c r="S101" s="53"/>
      <c r="T101" s="53"/>
      <c r="U101" s="53"/>
      <c r="V101" s="53"/>
      <c r="W101" s="53"/>
      <c r="X101" s="53"/>
      <c r="Y101" s="53"/>
      <c r="Z101" s="54"/>
      <c r="AA101" s="54"/>
      <c r="AB101" s="53"/>
      <c r="AC101" s="53"/>
      <c r="AD101" s="53"/>
      <c r="AE101" s="53"/>
      <c r="AF101" s="53"/>
      <c r="AG101" s="53"/>
      <c r="AH101" s="53"/>
      <c r="AI101" s="53"/>
      <c r="AJ101" s="54"/>
      <c r="AK101" s="54"/>
      <c r="AL101" s="53"/>
      <c r="AM101" s="53"/>
      <c r="AN101" s="53"/>
      <c r="AO101" s="53"/>
      <c r="AP101" s="53"/>
      <c r="AQ101" s="53"/>
      <c r="AR101" s="53"/>
      <c r="AS101" s="53"/>
      <c r="AT101" s="54"/>
      <c r="AU101" s="54"/>
      <c r="AV101" s="53"/>
      <c r="AW101" s="53"/>
      <c r="AX101" s="53"/>
      <c r="AY101" s="53"/>
      <c r="AZ101" s="53"/>
      <c r="BA101" s="53"/>
      <c r="BB101" s="53"/>
      <c r="BC101" s="53"/>
      <c r="BD101" s="54"/>
      <c r="BE101" s="54"/>
      <c r="BF101" s="53"/>
      <c r="BG101" s="53"/>
      <c r="BH101" s="53"/>
      <c r="BI101" s="53"/>
      <c r="BJ101" s="53"/>
      <c r="BK101" s="53"/>
      <c r="BL101" s="53"/>
      <c r="BM101" s="53"/>
      <c r="BN101" s="54"/>
    </row>
    <row r="102" spans="1:66" x14ac:dyDescent="0.25">
      <c r="A102" t="str" cm="1">
        <f t="array" aca="1" ref="A102" ca="1">IF(_xll.TM1RPTELISCONSOLIDATED($N$102,$N102),IF(_xll.TM1RPTELLEV($N$102,$N102)&lt;=3,_xll.TM1RPTELLEV($N$102,$N102),"D"),"N")</f>
        <v>N</v>
      </c>
      <c r="B102" s="44"/>
      <c r="D102" s="2"/>
      <c r="E102" s="2"/>
      <c r="F102" s="2"/>
      <c r="G102" s="2"/>
      <c r="H102" s="2"/>
      <c r="I102" s="2"/>
      <c r="J102" s="2"/>
      <c r="K102" s="18" t="str" cm="1">
        <f t="array" aca="1" ref="K102" ca="1">_xll.DBRW($C$41,$N102,K$98)</f>
        <v/>
      </c>
      <c r="L102" s="2"/>
      <c r="M102" s="2"/>
      <c r="N102" s="87" t="str">
        <f ca="1">_xll.TM1RPTROW($C$37,db_name&amp;":account","",,"code and description",1,$D$64)</f>
        <v/>
      </c>
      <c r="O102" s="50" t="str" cm="1">
        <f t="array" aca="1" ref="O102" ca="1">_xll.TM1RPTROW($C$37,db_name&amp;":" &amp; psProgDimName,"",,"code and description",1,$C$74,,$D$74)</f>
        <v/>
      </c>
      <c r="P102" s="48" t="str">
        <f ca="1">$K102</f>
        <v/>
      </c>
      <c r="Q102" s="72"/>
      <c r="R102" s="49" t="str">
        <f ca="1">_xll.DBRW($C$37,$O$89,$O$90,$C$44,$C$45,$C$46,$C$47,$C$48,$O$93,$C$50,$C$51,$C$52,$C$53,$O102,$N102,$C$56,$R$99,$Z$20)</f>
        <v/>
      </c>
      <c r="S102" s="49" t="str">
        <f ca="1">_xll.DBRW($C$37,$O$89,$O$90,$C$44,$C$45,$C$46,$C$47,$C$48,$O$93,$C$50,$C$51,$C$52,$C$53,$O102,$N102,$C$56,$S$99,$Z$20)</f>
        <v/>
      </c>
      <c r="T102" s="49" t="str">
        <f ca="1">_xll.DBRW($C$37,$O$89,$O$90,$C$44,$C$45,$C$46,$C$47,$C$48,$O$93,$C$50,$C$51,$C$52,$C$53,$O102,$N102,$C$56,$T$99,$Z$20)</f>
        <v/>
      </c>
      <c r="U102" s="49" t="str">
        <f ca="1">_xll.DBRW($C$37,$O$89,$O$90,$C$44,$C$45,$C$46,$C$47,$C$48,$O$93,$C$50,$C$51,$C$52,$C$53,$O102,$N102,$C$56,$U$99,$Z$20)</f>
        <v/>
      </c>
      <c r="V102" s="49" t="str">
        <f ca="1">_xll.DBRW($C$37,$O$89,$O$90,$C$44,$C$45,$C$46,$C$47,$C$48,$O$93,$C$50,$C$51,$C$52,$C$53,$O102,$N102,$C$56,$V$99,$Z$20)</f>
        <v/>
      </c>
      <c r="W102" s="49" t="str">
        <f ca="1">_xll.DBRW($C$37,$O$89,$O$90,$C$44,$C$45,$C$46,$C$47,$C$48,$O$93,$C$50,$C$51,$C$52,$C$53,$O102,$N102,$C$56,$W$99,$Z$20)</f>
        <v/>
      </c>
      <c r="X102" s="49" t="str">
        <f ca="1">_xll.DBRW($C$37,$O$89,$O$90,$C$44,$C$45,$C$46,$C$47,$C$48,$O$93,$C$50,$C$51,$C$52,$C$53,$O102,$N102,$C$56,$X$99,$Z$20)</f>
        <v/>
      </c>
      <c r="Y102" s="49" t="str">
        <f ca="1">_xll.DBRW($C$37,$O$89,$O$90,$C$44,$C$45,$C$46,$C$47,$C$48,$O$93,$C$50,$C$51,$C$52,$C$53,$O102,$N102,$C$56,$Y$99,$Z$20)</f>
        <v/>
      </c>
      <c r="Z102" s="49" t="str">
        <f ca="1">_xll.DBRW($C$37,$O$89,$O$90,$C$44,$C$45,$C$46,$C$47,$C$48,$O$93,$C$50,$C$51,$C$52,$C$53,$O102,$N102,$C$56,$Z$99,$Z$20)</f>
        <v/>
      </c>
      <c r="AA102" s="72"/>
      <c r="AB102" s="49" t="str">
        <f ca="1">_xll.DBRW($C$37,$O$89,$O$90,$C$44,$C$45,$C$46,$C$47,$C$48,$O$93,$C$50,$C$51,$C$52,$C$53,$O102,$N102,$C$56,$R$99,$AJ$20)</f>
        <v/>
      </c>
      <c r="AC102" s="49" t="str">
        <f ca="1">_xll.DBRW($C$37,$O$89,$O$90,$C$44,$C$45,$C$46,$C$47,$C$48,$O$93,$C$50,$C$51,$C$52,$C$53,$O102,$N102,$C$56,$S$99,$AJ$20)</f>
        <v/>
      </c>
      <c r="AD102" s="49" t="str">
        <f ca="1">_xll.DBRW($C$37,$O$89,$O$90,$C$44,$C$45,$C$46,$C$47,$C$48,$O$93,$C$50,$C$51,$C$52,$C$53,$O102,$N102,$C$56,$T$99,$AJ$20)</f>
        <v/>
      </c>
      <c r="AE102" s="49" t="str">
        <f ca="1">_xll.DBRW($C$37,$O$89,$O$90,$C$44,$C$45,$C$46,$C$47,$C$48,$O$93,$C$50,$C$51,$C$52,$C$53,$O102,$N102,$C$56,$U$99,$AJ$20)</f>
        <v/>
      </c>
      <c r="AF102" s="49" t="str">
        <f ca="1">_xll.DBRW($C$37,$O$89,$O$90,$C$44,$C$45,$C$46,$C$47,$C$48,$O$93,$C$50,$C$51,$C$52,$C$53,$O102,$N102,$C$56,$V$99,$AJ$20)</f>
        <v/>
      </c>
      <c r="AG102" s="49" t="str">
        <f ca="1">_xll.DBRW($C$37,$O$89,$O$90,$C$44,$C$45,$C$46,$C$47,$C$48,$O$93,$C$50,$C$51,$C$52,$C$53,$O102,$N102,$C$56,$W$99,$AJ$20)</f>
        <v/>
      </c>
      <c r="AH102" s="49" t="str">
        <f ca="1">_xll.DBRW($C$37,$O$89,$O$90,$C$44,$C$45,$C$46,$C$47,$C$48,$O$93,$C$50,$C$51,$C$52,$C$53,$O102,$N102,$C$56,$X$99,$AJ$20)</f>
        <v/>
      </c>
      <c r="AI102" s="49" t="str">
        <f ca="1">_xll.DBRW($C$37,$O$89,$O$90,$C$44,$C$45,$C$46,$C$47,$C$48,$O$93,$C$50,$C$51,$C$52,$C$53,$O102,$N102,$C$56,$Y$99,$AJ$20)</f>
        <v/>
      </c>
      <c r="AJ102" s="49" t="str">
        <f ca="1">_xll.DBRW($C$37,$O$89,$O$90,$C$44,$C$45,$C$46,$C$47,$C$48,$O$93,$C$50,$C$51,$C$52,$C$53,$O102,$N102,$C$56,$Z$99,$AJ$20)</f>
        <v/>
      </c>
      <c r="AK102" s="72"/>
      <c r="AL102" s="49" t="str">
        <f ca="1">_xll.DBRW($C$37,$O$89,$O$90,$C$44,$C$45,$C$46,$C$47,$C$48,$O$93,$C$50,$C$51,$C$52,$C$53,$O102,$N102,$C$56,$R$99,$AT$20)</f>
        <v/>
      </c>
      <c r="AM102" s="49" t="str">
        <f ca="1">_xll.DBRW($C$37,$O$89,$O$90,$C$44,$C$45,$C$46,$C$47,$C$48,$O$93,$C$50,$C$51,$C$52,$C$53,$O102,$N102,$C$56,$S$99,$AT$20)</f>
        <v/>
      </c>
      <c r="AN102" s="49" t="str">
        <f ca="1">_xll.DBRW($C$37,$O$89,$O$90,$C$44,$C$45,$C$46,$C$47,$C$48,$O$93,$C$50,$C$51,$C$52,$C$53,$O102,$N102,$C$56,$T$99,$AT$20)</f>
        <v/>
      </c>
      <c r="AO102" s="49" t="str">
        <f ca="1">_xll.DBRW($C$37,$O$89,$O$90,$C$44,$C$45,$C$46,$C$47,$C$48,$O$93,$C$50,$C$51,$C$52,$C$53,$O102,$N102,$C$56,$U$99,$AT$20)</f>
        <v/>
      </c>
      <c r="AP102" s="49" t="str">
        <f ca="1">_xll.DBRW($C$37,$O$89,$O$90,$C$44,$C$45,$C$46,$C$47,$C$48,$O$93,$C$50,$C$51,$C$52,$C$53,$O102,$N102,$C$56,$V$99,$AT$20)</f>
        <v/>
      </c>
      <c r="AQ102" s="49" t="str">
        <f ca="1">_xll.DBRW($C$37,$O$89,$O$90,$C$44,$C$45,$C$46,$C$47,$C$48,$O$93,$C$50,$C$51,$C$52,$C$53,$O102,$N102,$C$56,$W$99,$AT$20)</f>
        <v/>
      </c>
      <c r="AR102" s="49" t="str">
        <f ca="1">_xll.DBRW($C$37,$O$89,$O$90,$C$44,$C$45,$C$46,$C$47,$C$48,$O$93,$C$50,$C$51,$C$52,$C$53,$O102,$N102,$C$56,$X$99,$AT$20)</f>
        <v/>
      </c>
      <c r="AS102" s="49" t="str">
        <f ca="1">_xll.DBRW($C$37,$O$89,$O$90,$C$44,$C$45,$C$46,$C$47,$C$48,$O$93,$C$50,$C$51,$C$52,$C$53,$O102,$N102,$C$56,$Y$99,$AT$20)</f>
        <v/>
      </c>
      <c r="AT102" s="49" t="str">
        <f ca="1">_xll.DBRW($C$37,$O$89,$O$90,$C$44,$C$45,$C$46,$C$47,$C$48,$O$93,$C$50,$C$51,$C$52,$C$53,$O102,$N102,$C$56,$Z$99,$AT$20)</f>
        <v/>
      </c>
      <c r="AU102" s="72"/>
      <c r="AV102" s="49" t="str">
        <f ca="1">_xll.DBRW($C$37,$O$89,$O$90,$C$44,$C$45,$C$46,$C$47,$C$48,$O$93,$C$50,$C$51,$C$52,$C$53,$O102,$N102,$C$56,$R$99,$BD$20)</f>
        <v/>
      </c>
      <c r="AW102" s="49" t="str">
        <f ca="1">_xll.DBRW($C$37,$O$89,$O$90,$C$44,$C$45,$C$46,$C$47,$C$48,$O$93,$C$50,$C$51,$C$52,$C$53,$O102,$N102,$C$56,$S$99,$BD$20)</f>
        <v/>
      </c>
      <c r="AX102" s="49" t="str">
        <f ca="1">_xll.DBRW($C$37,$O$89,$O$90,$C$44,$C$45,$C$46,$C$47,$C$48,$O$93,$C$50,$C$51,$C$52,$C$53,$O102,$N102,$C$56,$T$99,$BD$20)</f>
        <v/>
      </c>
      <c r="AY102" s="49" t="str">
        <f ca="1">_xll.DBRW($C$37,$O$89,$O$90,$C$44,$C$45,$C$46,$C$47,$C$48,$O$93,$C$50,$C$51,$C$52,$C$53,$O102,$N102,$C$56,$U$99,$BD$20)</f>
        <v/>
      </c>
      <c r="AZ102" s="49" t="str">
        <f ca="1">_xll.DBRW($C$37,$O$89,$O$90,$C$44,$C$45,$C$46,$C$47,$C$48,$O$93,$C$50,$C$51,$C$52,$C$53,$O102,$N102,$C$56,$V$99,$BD$20)</f>
        <v/>
      </c>
      <c r="BA102" s="49" t="str">
        <f ca="1">_xll.DBRW($C$37,$O$89,$O$90,$C$44,$C$45,$C$46,$C$47,$C$48,$O$93,$C$50,$C$51,$C$52,$C$53,$O102,$N102,$C$56,$W$99,$BD$20)</f>
        <v/>
      </c>
      <c r="BB102" s="49" t="str">
        <f ca="1">_xll.DBRW($C$37,$O$89,$O$90,$C$44,$C$45,$C$46,$C$47,$C$48,$O$93,$C$50,$C$51,$C$52,$C$53,$O102,$N102,$C$56,$X$99,$BD$20)</f>
        <v/>
      </c>
      <c r="BC102" s="49" t="str">
        <f ca="1">_xll.DBRW($C$37,$O$89,$O$90,$C$44,$C$45,$C$46,$C$47,$C$48,$O$93,$C$50,$C$51,$C$52,$C$53,$O102,$N102,$C$56,$Y$99,$BD$20)</f>
        <v/>
      </c>
      <c r="BD102" s="49" t="str">
        <f ca="1">_xll.DBRW($C$37,$O$89,$O$90,$C$44,$C$45,$C$46,$C$47,$C$48,$O$93,$C$50,$C$51,$C$52,$C$53,$O102,$N102,$C$56,$Z$99,$BD$20)</f>
        <v/>
      </c>
      <c r="BE102" s="72"/>
      <c r="BF102" s="49" t="str">
        <f ca="1">_xll.DBRW($C$37,$O$89,$O$90,$C$44,$C$45,$C$46,$C$47,$C$48,$O$93,$C$50,$C$51,$C$52,$C$53,$O102,$N102,$C$56,$R$99,$BN$20)</f>
        <v/>
      </c>
      <c r="BG102" s="49" t="str">
        <f ca="1">_xll.DBRW($C$37,$O$89,$O$90,$C$44,$C$45,$C$46,$C$47,$C$48,$O$93,$C$50,$C$51,$C$52,$C$53,$O102,$N102,$C$56,$S$99,$BN$20)</f>
        <v/>
      </c>
      <c r="BH102" s="49" t="str">
        <f ca="1">_xll.DBRW($C$37,$O$89,$O$90,$C$44,$C$45,$C$46,$C$47,$C$48,$O$93,$C$50,$C$51,$C$52,$C$53,$O102,$N102,$C$56,$T$99,$BN$20)</f>
        <v/>
      </c>
      <c r="BI102" s="49" t="str">
        <f ca="1">_xll.DBRW($C$37,$O$89,$O$90,$C$44,$C$45,$C$46,$C$47,$C$48,$O$93,$C$50,$C$51,$C$52,$C$53,$O102,$N102,$C$56,$U$99,$BN$20)</f>
        <v/>
      </c>
      <c r="BJ102" s="49" t="str">
        <f ca="1">_xll.DBRW($C$37,$O$89,$O$90,$C$44,$C$45,$C$46,$C$47,$C$48,$O$93,$C$50,$C$51,$C$52,$C$53,$O102,$N102,$C$56,$V$99,$BN$20)</f>
        <v/>
      </c>
      <c r="BK102" s="49" t="str">
        <f ca="1">_xll.DBRW($C$37,$O$89,$O$90,$C$44,$C$45,$C$46,$C$47,$C$48,$O$93,$C$50,$C$51,$C$52,$C$53,$O102,$N102,$C$56,$W$99,$BN$20)</f>
        <v/>
      </c>
      <c r="BL102" s="49" t="str">
        <f ca="1">_xll.DBRW($C$37,$O$89,$O$90,$C$44,$C$45,$C$46,$C$47,$C$48,$O$93,$C$50,$C$51,$C$52,$C$53,$O102,$N102,$C$56,$X$99,$BN$20)</f>
        <v/>
      </c>
      <c r="BM102" s="49" t="str">
        <f ca="1">_xll.DBRW($C$37,$O$89,$O$90,$C$44,$C$45,$C$46,$C$47,$C$48,$O$93,$C$50,$C$51,$C$52,$C$53,$O102,$N102,$C$56,$Y$99,$BN$20)</f>
        <v/>
      </c>
      <c r="BN102" s="49" t="str">
        <f ca="1">_xll.DBRW($C$37,$O$89,$O$90,$C$44,$C$45,$C$46,$C$47,$C$48,$O$93,$C$50,$C$51,$C$52,$C$53,$O102,$N102,$C$56,$Z$99,$BN$20)</f>
        <v/>
      </c>
    </row>
    <row r="103" spans="1:66" ht="3" customHeight="1" x14ac:dyDescent="0.25">
      <c r="N103" s="31"/>
      <c r="O103" s="31"/>
      <c r="P103" s="31"/>
      <c r="Q103" s="77"/>
      <c r="R103" s="31"/>
      <c r="S103" s="31"/>
      <c r="T103" s="31"/>
      <c r="U103" s="31"/>
      <c r="V103" s="31"/>
      <c r="W103" s="31"/>
      <c r="X103" s="31"/>
      <c r="Y103" s="31"/>
      <c r="Z103" s="31"/>
      <c r="AA103" s="77"/>
      <c r="AB103" s="31"/>
      <c r="AC103" s="31"/>
      <c r="AD103" s="31"/>
      <c r="AE103" s="31"/>
      <c r="AF103" s="31"/>
      <c r="AG103" s="31"/>
      <c r="AH103" s="31"/>
      <c r="AI103" s="31"/>
      <c r="AJ103" s="31"/>
      <c r="AK103" s="77"/>
      <c r="AL103" s="31"/>
      <c r="AM103" s="31"/>
      <c r="AN103" s="31"/>
      <c r="AO103" s="31"/>
      <c r="AP103" s="31"/>
      <c r="AQ103" s="31"/>
      <c r="AR103" s="31"/>
      <c r="AS103" s="31"/>
      <c r="AT103" s="31"/>
      <c r="AU103" s="77"/>
      <c r="AV103" s="31"/>
      <c r="AW103" s="31"/>
      <c r="AX103" s="31"/>
      <c r="AY103" s="31"/>
      <c r="AZ103" s="31"/>
      <c r="BA103" s="31"/>
      <c r="BB103" s="31"/>
      <c r="BC103" s="31"/>
      <c r="BD103" s="31"/>
      <c r="BE103" s="77"/>
      <c r="BF103" s="31"/>
      <c r="BG103" s="31"/>
      <c r="BH103" s="31"/>
      <c r="BI103" s="31"/>
      <c r="BJ103" s="31"/>
      <c r="BK103" s="31"/>
      <c r="BL103" s="31"/>
      <c r="BM103" s="31"/>
      <c r="BN103" s="31"/>
    </row>
    <row r="104" spans="1:66" ht="18.75" x14ac:dyDescent="0.3">
      <c r="N104" s="51" t="s">
        <v>45</v>
      </c>
      <c r="O104" s="52"/>
      <c r="P104" s="53"/>
      <c r="Q104" s="54"/>
      <c r="R104" s="53"/>
      <c r="S104" s="53"/>
      <c r="T104" s="53"/>
      <c r="U104" s="53"/>
      <c r="V104" s="53"/>
      <c r="W104" s="53"/>
      <c r="X104" s="53"/>
      <c r="Y104" s="53"/>
      <c r="Z104" s="54"/>
      <c r="AA104" s="54"/>
      <c r="AB104" s="53"/>
      <c r="AC104" s="53"/>
      <c r="AD104" s="53"/>
      <c r="AE104" s="53"/>
      <c r="AF104" s="53"/>
      <c r="AG104" s="53"/>
      <c r="AH104" s="53"/>
      <c r="AI104" s="53"/>
      <c r="AJ104" s="54"/>
      <c r="AK104" s="54"/>
      <c r="AL104" s="53"/>
      <c r="AM104" s="53"/>
      <c r="AN104" s="53"/>
      <c r="AO104" s="53"/>
      <c r="AP104" s="53"/>
      <c r="AQ104" s="53"/>
      <c r="AR104" s="53"/>
      <c r="AS104" s="53"/>
      <c r="AT104" s="54"/>
      <c r="AU104" s="54"/>
      <c r="AV104" s="53"/>
      <c r="AW104" s="53"/>
      <c r="AX104" s="53"/>
      <c r="AY104" s="53"/>
      <c r="AZ104" s="53"/>
      <c r="BA104" s="53"/>
      <c r="BB104" s="53"/>
      <c r="BC104" s="53"/>
      <c r="BD104" s="54"/>
      <c r="BE104" s="54"/>
      <c r="BF104" s="53"/>
      <c r="BG104" s="53"/>
      <c r="BH104" s="53"/>
      <c r="BI104" s="53"/>
      <c r="BJ104" s="53"/>
      <c r="BK104" s="53"/>
      <c r="BL104" s="53"/>
      <c r="BM104" s="53"/>
      <c r="BN104" s="54"/>
    </row>
    <row r="105" spans="1:66" x14ac:dyDescent="0.25">
      <c r="A105" t="str" cm="1">
        <f t="array" aca="1" ref="A105" ca="1">IF(_xll.TM1RPTELISCONSOLIDATED($N$105,$N105),IF(_xll.TM1RPTELLEV($N$105,$N105)&lt;=3,_xll.TM1RPTELLEV($N$105,$N105),"D"),"N")</f>
        <v>N</v>
      </c>
      <c r="B105" s="44"/>
      <c r="D105" s="2"/>
      <c r="E105" s="2"/>
      <c r="F105" s="2"/>
      <c r="G105" s="2"/>
      <c r="H105" s="2"/>
      <c r="I105" s="2"/>
      <c r="J105" s="2"/>
      <c r="K105" s="18" t="str" cm="1">
        <f t="array" aca="1" ref="K105" ca="1">_xll.DBRW($C$41,$N105,K$98)</f>
        <v/>
      </c>
      <c r="L105" s="2"/>
      <c r="M105" s="2"/>
      <c r="N105" s="88" t="str">
        <f ca="1">_xll.TM1RPTROW($C$38,db_name&amp;":account",,,"code and description",1,$D$65)</f>
        <v/>
      </c>
      <c r="O105" s="50" t="str" cm="1">
        <f t="array" aca="1" ref="O105" ca="1">_xll.TM1RPTROW($C$38,db_name&amp;":" &amp; psProgDimName,"",,"code and description",1,$C$75,,$D$75)</f>
        <v/>
      </c>
      <c r="P105" s="48" t="str">
        <f ca="1">$K105</f>
        <v/>
      </c>
      <c r="Q105" s="72"/>
      <c r="R105" s="49" t="str">
        <f ca="1">_xll.DBRW($C$38,$O$89,$O$90,$C$44,$C$45,$C$46,$C$47,$C$48,$O$93,$C$50,$C$51,$C$52,$C$53,$O105,$N105,$C$56,$R$99,$Z$20)</f>
        <v/>
      </c>
      <c r="S105" s="49" t="str">
        <f ca="1">_xll.DBRW($C$38,$O$89,$O$90,$C$44,$C$45,$C$46,$C$47,$C$48,$O$93,$C$50,$C$51,$C$52,$C$53,$O105,$N105,$C$56,$S$99,$Z$20)</f>
        <v/>
      </c>
      <c r="T105" s="49" t="str">
        <f ca="1">_xll.DBRW($C$38,$O$89,$O$90,$C$44,$C$45,$C$46,$C$47,$C$48,$O$93,$C$50,$C$51,$C$52,$C$53,$O105,$N105,$C$56,$T$99,$Z$20)</f>
        <v/>
      </c>
      <c r="U105" s="49" t="str">
        <f ca="1">_xll.DBRW($C$38,$O$89,$O$90,$C$44,$C$45,$C$46,$C$47,$C$48,$O$93,$C$50,$C$51,$C$52,$C$53,$O105,$N105,$C$56,$U$99,$Z$20)</f>
        <v/>
      </c>
      <c r="V105" s="49" t="str">
        <f ca="1">_xll.DBRW($C$38,$O$89,$O$90,$C$44,$C$45,$C$46,$C$47,$C$48,$O$93,$C$50,$C$51,$C$52,$C$53,$O105,$N105,$C$56,$V$99,$Z$20)</f>
        <v/>
      </c>
      <c r="W105" s="49" t="str">
        <f ca="1">_xll.DBRW($C$38,$O$89,$O$90,$C$44,$C$45,$C$46,$C$47,$C$48,$O$93,$C$50,$C$51,$C$52,$C$53,$O105,$N105,$C$56,$W$99,$Z$20)</f>
        <v/>
      </c>
      <c r="X105" s="49" t="str">
        <f ca="1">_xll.DBRW($C$38,$O$89,$O$90,$C$44,$C$45,$C$46,$C$47,$C$48,$O$93,$C$50,$C$51,$C$52,$C$53,$O105,$N105,$C$56,$X$99,$Z$20)</f>
        <v/>
      </c>
      <c r="Y105" s="49" t="str">
        <f ca="1">_xll.DBRW($C$38,$O$89,$O$90,$C$44,$C$45,$C$46,$C$47,$C$48,$O$93,$C$50,$C$51,$C$52,$C$53,$O105,$N105,$C$56,$Y$99,$Z$20)</f>
        <v/>
      </c>
      <c r="Z105" s="49" t="str">
        <f ca="1">_xll.DBRW($C$38,$O$89,$O$90,$C$44,$C$45,$C$46,$C$47,$C$48,$O$93,$C$50,$C$51,$C$52,$C$53,$O105,$N105,$C$56,$Z$99,$Z$20)</f>
        <v/>
      </c>
      <c r="AA105" s="72"/>
      <c r="AB105" s="49" t="str">
        <f ca="1">_xll.DBRW($C$38,$O$89,$O$90,$C$44,$C$45,$C$46,$C$47,$C$48,$O$93,$C$50,$C$51,$C$52,$C$53,$O105,$N105,$C$56,$R$99,$AJ$20)</f>
        <v/>
      </c>
      <c r="AC105" s="49" t="str">
        <f ca="1">_xll.DBRW($C$38,$O$89,$O$90,$C$44,$C$45,$C$46,$C$47,$C$48,$O$93,$C$50,$C$51,$C$52,$C$53,$O105,$N105,$C$56,$S$99,$AJ$20)</f>
        <v/>
      </c>
      <c r="AD105" s="49" t="str">
        <f ca="1">_xll.DBRW($C$38,$O$89,$O$90,$C$44,$C$45,$C$46,$C$47,$C$48,$O$93,$C$50,$C$51,$C$52,$C$53,$O105,$N105,$C$56,$T$99,$AJ$20)</f>
        <v/>
      </c>
      <c r="AE105" s="49" t="str">
        <f ca="1">_xll.DBRW($C$38,$O$89,$O$90,$C$44,$C$45,$C$46,$C$47,$C$48,$O$93,$C$50,$C$51,$C$52,$C$53,$O105,$N105,$C$56,$U$99,$AJ$20)</f>
        <v/>
      </c>
      <c r="AF105" s="49" t="str">
        <f ca="1">_xll.DBRW($C$38,$O$89,$O$90,$C$44,$C$45,$C$46,$C$47,$C$48,$O$93,$C$50,$C$51,$C$52,$C$53,$O105,$N105,$C$56,$V$99,$AJ$20)</f>
        <v/>
      </c>
      <c r="AG105" s="49" t="str">
        <f ca="1">_xll.DBRW($C$38,$O$89,$O$90,$C$44,$C$45,$C$46,$C$47,$C$48,$O$93,$C$50,$C$51,$C$52,$C$53,$O105,$N105,$C$56,$W$99,$AJ$20)</f>
        <v/>
      </c>
      <c r="AH105" s="49" t="str">
        <f ca="1">_xll.DBRW($C$38,$O$89,$O$90,$C$44,$C$45,$C$46,$C$47,$C$48,$O$93,$C$50,$C$51,$C$52,$C$53,$O105,$N105,$C$56,$X$99,$AJ$20)</f>
        <v/>
      </c>
      <c r="AI105" s="49" t="str">
        <f ca="1">_xll.DBRW($C$38,$O$89,$O$90,$C$44,$C$45,$C$46,$C$47,$C$48,$O$93,$C$50,$C$51,$C$52,$C$53,$O105,$N105,$C$56,$Y$99,$AJ$20)</f>
        <v/>
      </c>
      <c r="AJ105" s="49" t="str">
        <f ca="1">_xll.DBRW($C$38,$O$89,$O$90,$C$44,$C$45,$C$46,$C$47,$C$48,$O$93,$C$50,$C$51,$C$52,$C$53,$O105,$N105,$C$56,$Z$99,$AJ$20)</f>
        <v/>
      </c>
      <c r="AK105" s="72"/>
      <c r="AL105" s="49" t="str">
        <f ca="1">_xll.DBRW($C$38,$O$89,$O$90,$C$44,$C$45,$C$46,$C$47,$C$48,$O$93,$C$50,$C$51,$C$52,$C$53,$O105,$N105,$C$56,$R$99,$AT$20)</f>
        <v/>
      </c>
      <c r="AM105" s="49" t="str">
        <f ca="1">_xll.DBRW($C$38,$O$89,$O$90,$C$44,$C$45,$C$46,$C$47,$C$48,$O$93,$C$50,$C$51,$C$52,$C$53,$O105,$N105,$C$56,$S$99,$AT$20)</f>
        <v/>
      </c>
      <c r="AN105" s="49" t="str">
        <f ca="1">_xll.DBRW($C$38,$O$89,$O$90,$C$44,$C$45,$C$46,$C$47,$C$48,$O$93,$C$50,$C$51,$C$52,$C$53,$O105,$N105,$C$56,$T$99,$AT$20)</f>
        <v/>
      </c>
      <c r="AO105" s="49" t="str">
        <f ca="1">_xll.DBRW($C$38,$O$89,$O$90,$C$44,$C$45,$C$46,$C$47,$C$48,$O$93,$C$50,$C$51,$C$52,$C$53,$O105,$N105,$C$56,$U$99,$AT$20)</f>
        <v/>
      </c>
      <c r="AP105" s="49" t="str">
        <f ca="1">_xll.DBRW($C$38,$O$89,$O$90,$C$44,$C$45,$C$46,$C$47,$C$48,$O$93,$C$50,$C$51,$C$52,$C$53,$O105,$N105,$C$56,$V$99,$AT$20)</f>
        <v/>
      </c>
      <c r="AQ105" s="49" t="str">
        <f ca="1">_xll.DBRW($C$38,$O$89,$O$90,$C$44,$C$45,$C$46,$C$47,$C$48,$O$93,$C$50,$C$51,$C$52,$C$53,$O105,$N105,$C$56,$W$99,$AT$20)</f>
        <v/>
      </c>
      <c r="AR105" s="49" t="str">
        <f ca="1">_xll.DBRW($C$38,$O$89,$O$90,$C$44,$C$45,$C$46,$C$47,$C$48,$O$93,$C$50,$C$51,$C$52,$C$53,$O105,$N105,$C$56,$X$99,$AT$20)</f>
        <v/>
      </c>
      <c r="AS105" s="49" t="str">
        <f ca="1">_xll.DBRW($C$38,$O$89,$O$90,$C$44,$C$45,$C$46,$C$47,$C$48,$O$93,$C$50,$C$51,$C$52,$C$53,$O105,$N105,$C$56,$Y$99,$AT$20)</f>
        <v/>
      </c>
      <c r="AT105" s="49" t="str">
        <f ca="1">_xll.DBRW($C$38,$O$89,$O$90,$C$44,$C$45,$C$46,$C$47,$C$48,$O$93,$C$50,$C$51,$C$52,$C$53,$O105,$N105,$C$56,$Z$99,$AT$20)</f>
        <v/>
      </c>
      <c r="AU105" s="72"/>
      <c r="AV105" s="49" t="str">
        <f ca="1">_xll.DBRW($C$38,$O$89,$O$90,$C$44,$C$45,$C$46,$C$47,$C$48,$O$93,$C$50,$C$51,$C$52,$C$53,$O105,$N105,$C$56,$R$99,$BD$20)</f>
        <v/>
      </c>
      <c r="AW105" s="49" t="str">
        <f ca="1">_xll.DBRW($C$38,$O$89,$O$90,$C$44,$C$45,$C$46,$C$47,$C$48,$O$93,$C$50,$C$51,$C$52,$C$53,$O105,$N105,$C$56,$S$99,$BD$20)</f>
        <v/>
      </c>
      <c r="AX105" s="49" t="str">
        <f ca="1">_xll.DBRW($C$38,$O$89,$O$90,$C$44,$C$45,$C$46,$C$47,$C$48,$O$93,$C$50,$C$51,$C$52,$C$53,$O105,$N105,$C$56,$T$99,$BD$20)</f>
        <v/>
      </c>
      <c r="AY105" s="49" t="str">
        <f ca="1">_xll.DBRW($C$38,$O$89,$O$90,$C$44,$C$45,$C$46,$C$47,$C$48,$O$93,$C$50,$C$51,$C$52,$C$53,$O105,$N105,$C$56,$U$99,$BD$20)</f>
        <v/>
      </c>
      <c r="AZ105" s="49" t="str">
        <f ca="1">_xll.DBRW($C$38,$O$89,$O$90,$C$44,$C$45,$C$46,$C$47,$C$48,$O$93,$C$50,$C$51,$C$52,$C$53,$O105,$N105,$C$56,$V$99,$BD$20)</f>
        <v/>
      </c>
      <c r="BA105" s="49" t="str">
        <f ca="1">_xll.DBRW($C$38,$O$89,$O$90,$C$44,$C$45,$C$46,$C$47,$C$48,$O$93,$C$50,$C$51,$C$52,$C$53,$O105,$N105,$C$56,$W$99,$BD$20)</f>
        <v/>
      </c>
      <c r="BB105" s="49" t="str">
        <f ca="1">_xll.DBRW($C$38,$O$89,$O$90,$C$44,$C$45,$C$46,$C$47,$C$48,$O$93,$C$50,$C$51,$C$52,$C$53,$O105,$N105,$C$56,$X$99,$BD$20)</f>
        <v/>
      </c>
      <c r="BC105" s="49" t="str">
        <f ca="1">_xll.DBRW($C$38,$O$89,$O$90,$C$44,$C$45,$C$46,$C$47,$C$48,$O$93,$C$50,$C$51,$C$52,$C$53,$O105,$N105,$C$56,$Y$99,$BD$20)</f>
        <v/>
      </c>
      <c r="BD105" s="49" t="str">
        <f ca="1">_xll.DBRW($C$38,$O$89,$O$90,$C$44,$C$45,$C$46,$C$47,$C$48,$O$93,$C$50,$C$51,$C$52,$C$53,$O105,$N105,$C$56,$Z$99,$BD$20)</f>
        <v/>
      </c>
      <c r="BE105" s="72"/>
      <c r="BF105" s="49" t="str">
        <f ca="1">_xll.DBRW($C$38,$O$89,$O$90,$C$44,$C$45,$C$46,$C$47,$C$48,$O$93,$C$50,$C$51,$C$52,$C$53,$O105,$N105,$C$56,$R$99,$BN$20)</f>
        <v/>
      </c>
      <c r="BG105" s="49" t="str">
        <f ca="1">_xll.DBRW($C$38,$O$89,$O$90,$C$44,$C$45,$C$46,$C$47,$C$48,$O$93,$C$50,$C$51,$C$52,$C$53,$O105,$N105,$C$56,$S$99,$BN$20)</f>
        <v/>
      </c>
      <c r="BH105" s="49" t="str">
        <f ca="1">_xll.DBRW($C$38,$O$89,$O$90,$C$44,$C$45,$C$46,$C$47,$C$48,$O$93,$C$50,$C$51,$C$52,$C$53,$O105,$N105,$C$56,$T$99,$BN$20)</f>
        <v/>
      </c>
      <c r="BI105" s="49" t="str">
        <f ca="1">_xll.DBRW($C$38,$O$89,$O$90,$C$44,$C$45,$C$46,$C$47,$C$48,$O$93,$C$50,$C$51,$C$52,$C$53,$O105,$N105,$C$56,$U$99,$BN$20)</f>
        <v/>
      </c>
      <c r="BJ105" s="49" t="str">
        <f ca="1">_xll.DBRW($C$38,$O$89,$O$90,$C$44,$C$45,$C$46,$C$47,$C$48,$O$93,$C$50,$C$51,$C$52,$C$53,$O105,$N105,$C$56,$V$99,$BN$20)</f>
        <v/>
      </c>
      <c r="BK105" s="49" t="str">
        <f ca="1">_xll.DBRW($C$38,$O$89,$O$90,$C$44,$C$45,$C$46,$C$47,$C$48,$O$93,$C$50,$C$51,$C$52,$C$53,$O105,$N105,$C$56,$W$99,$BN$20)</f>
        <v/>
      </c>
      <c r="BL105" s="49" t="str">
        <f ca="1">_xll.DBRW($C$38,$O$89,$O$90,$C$44,$C$45,$C$46,$C$47,$C$48,$O$93,$C$50,$C$51,$C$52,$C$53,$O105,$N105,$C$56,$X$99,$BN$20)</f>
        <v/>
      </c>
      <c r="BM105" s="49" t="str">
        <f ca="1">_xll.DBRW($C$38,$O$89,$O$90,$C$44,$C$45,$C$46,$C$47,$C$48,$O$93,$C$50,$C$51,$C$52,$C$53,$O105,$N105,$C$56,$Y$99,$BN$20)</f>
        <v/>
      </c>
      <c r="BN105" s="49" t="str">
        <f ca="1">_xll.DBRW($C$38,$O$89,$O$90,$C$44,$C$45,$C$46,$C$47,$C$48,$O$93,$C$50,$C$51,$C$52,$C$53,$O105,$N105,$C$56,$Z$99,$BN$20)</f>
        <v/>
      </c>
    </row>
    <row r="106" spans="1:66" ht="3" customHeight="1" x14ac:dyDescent="0.25">
      <c r="N106" s="31"/>
      <c r="O106" s="31"/>
      <c r="P106" s="31"/>
      <c r="Q106" s="77"/>
      <c r="R106" s="31"/>
      <c r="S106" s="31"/>
      <c r="T106" s="31"/>
      <c r="U106" s="31"/>
      <c r="V106" s="31"/>
      <c r="W106" s="31"/>
      <c r="X106" s="31"/>
      <c r="Y106" s="31"/>
      <c r="Z106" s="31"/>
      <c r="AA106" s="77"/>
      <c r="AB106" s="31"/>
      <c r="AC106" s="31"/>
      <c r="AD106" s="31"/>
      <c r="AE106" s="31"/>
      <c r="AF106" s="31"/>
      <c r="AG106" s="31"/>
      <c r="AH106" s="31"/>
      <c r="AI106" s="31"/>
      <c r="AJ106" s="31"/>
      <c r="AK106" s="77"/>
      <c r="AL106" s="31"/>
      <c r="AM106" s="31"/>
      <c r="AN106" s="31"/>
      <c r="AO106" s="31"/>
      <c r="AP106" s="31"/>
      <c r="AQ106" s="31"/>
      <c r="AR106" s="31"/>
      <c r="AS106" s="31"/>
      <c r="AT106" s="31"/>
      <c r="AU106" s="77"/>
      <c r="AV106" s="31"/>
      <c r="AW106" s="31"/>
      <c r="AX106" s="31"/>
      <c r="AY106" s="31"/>
      <c r="AZ106" s="31"/>
      <c r="BA106" s="31"/>
      <c r="BB106" s="31"/>
      <c r="BC106" s="31"/>
      <c r="BD106" s="31"/>
      <c r="BE106" s="77"/>
      <c r="BF106" s="31"/>
      <c r="BG106" s="31"/>
      <c r="BH106" s="31"/>
      <c r="BI106" s="31"/>
      <c r="BJ106" s="31"/>
      <c r="BK106" s="31"/>
      <c r="BL106" s="31"/>
      <c r="BM106" s="31"/>
      <c r="BN106" s="31"/>
    </row>
    <row r="107" spans="1:66" ht="18.75" x14ac:dyDescent="0.3">
      <c r="N107" s="51" t="s">
        <v>48</v>
      </c>
      <c r="O107" s="52"/>
      <c r="P107" s="53"/>
      <c r="Q107" s="54"/>
      <c r="R107" s="53"/>
      <c r="S107" s="53"/>
      <c r="T107" s="53"/>
      <c r="U107" s="53"/>
      <c r="V107" s="53"/>
      <c r="W107" s="53"/>
      <c r="X107" s="53"/>
      <c r="Y107" s="53"/>
      <c r="Z107" s="54"/>
      <c r="AA107" s="54"/>
      <c r="AB107" s="53"/>
      <c r="AC107" s="53"/>
      <c r="AD107" s="53"/>
      <c r="AE107" s="53"/>
      <c r="AF107" s="53"/>
      <c r="AG107" s="53"/>
      <c r="AH107" s="53"/>
      <c r="AI107" s="53"/>
      <c r="AJ107" s="54"/>
      <c r="AK107" s="54"/>
      <c r="AL107" s="53"/>
      <c r="AM107" s="53"/>
      <c r="AN107" s="53"/>
      <c r="AO107" s="53"/>
      <c r="AP107" s="53"/>
      <c r="AQ107" s="53"/>
      <c r="AR107" s="53"/>
      <c r="AS107" s="53"/>
      <c r="AT107" s="54"/>
      <c r="AU107" s="54"/>
      <c r="AV107" s="53"/>
      <c r="AW107" s="53"/>
      <c r="AX107" s="53"/>
      <c r="AY107" s="53"/>
      <c r="AZ107" s="53"/>
      <c r="BA107" s="53"/>
      <c r="BB107" s="53"/>
      <c r="BC107" s="53"/>
      <c r="BD107" s="54"/>
      <c r="BE107" s="54"/>
      <c r="BF107" s="53"/>
      <c r="BG107" s="53"/>
      <c r="BH107" s="53"/>
      <c r="BI107" s="53"/>
      <c r="BJ107" s="53"/>
      <c r="BK107" s="53"/>
      <c r="BL107" s="53"/>
      <c r="BM107" s="53"/>
      <c r="BN107" s="54"/>
    </row>
    <row r="108" spans="1:66" x14ac:dyDescent="0.25">
      <c r="A108" t="str" cm="1">
        <f t="array" aca="1" ref="A108" ca="1">IF(_xll.TM1RPTELISCONSOLIDATED($N$108,$N108),IF(_xll.TM1RPTELLEV($N$108,$N108)&lt;=3,_xll.TM1RPTELLEV($N$108,$N108),"D"),"N")</f>
        <v>N</v>
      </c>
      <c r="B108" s="44"/>
      <c r="D108" s="2"/>
      <c r="E108" s="2"/>
      <c r="F108" s="2"/>
      <c r="G108" s="2"/>
      <c r="H108" s="2"/>
      <c r="I108" s="2"/>
      <c r="J108" s="2"/>
      <c r="K108" s="18" t="str" cm="1">
        <f t="array" aca="1" ref="K108" ca="1">_xll.DBRW($C$41,$N108,K$98)</f>
        <v/>
      </c>
      <c r="L108" s="2"/>
      <c r="M108" s="2"/>
      <c r="N108" s="89" t="str">
        <f ca="1">_xll.TM1RPTROW($C$39,db_name&amp;":account",,,"code and description",1,$D$66)</f>
        <v/>
      </c>
      <c r="O108" s="50" t="str" cm="1">
        <f t="array" aca="1" ref="O108" ca="1">_xll.TM1RPTROW($C$39,db_name&amp;":" &amp; psProgDimName,"",,"code and description",1,$C$76,,$D$76)</f>
        <v/>
      </c>
      <c r="P108" s="48" t="str">
        <f ca="1">$K108</f>
        <v/>
      </c>
      <c r="Q108" s="72"/>
      <c r="R108" s="49" t="str">
        <f ca="1">_xll.DBRW($C$39,$O$89,$O$90,$C$44,$C$45,$C$46,$C$47,$C$48,$O$93,$C$50,$C$51,$C$52,$C$53,$O108,$N108,$C$56,$R$99,$Z$20)</f>
        <v/>
      </c>
      <c r="S108" s="49" t="str">
        <f ca="1">_xll.DBRW($C$39,$O$89,$O$90,$C$44,$C$45,$C$46,$C$47,$C$48,$O$93,$C$50,$C$51,$C$52,$C$53,$O108,$N108,$C$56,$S$99,$Z$20)</f>
        <v/>
      </c>
      <c r="T108" s="49" t="str">
        <f ca="1">_xll.DBRW($C$39,$O$89,$O$90,$C$44,$C$45,$C$46,$C$47,$C$48,$O$93,$C$50,$C$51,$C$52,$C$53,$O108,$N108,$C$56,$T$99,$Z$20)</f>
        <v/>
      </c>
      <c r="U108" s="49" t="str">
        <f ca="1">_xll.DBRW($C$39,$O$89,$O$90,$C$44,$C$45,$C$46,$C$47,$C$48,$O$93,$C$50,$C$51,$C$52,$C$53,$O108,$N108,$C$56,$U$99,$Z$20)</f>
        <v/>
      </c>
      <c r="V108" s="49" t="str">
        <f ca="1">_xll.DBRW($C$39,$O$89,$O$90,$C$44,$C$45,$C$46,$C$47,$C$48,$O$93,$C$50,$C$51,$C$52,$C$53,$O108,$N108,$C$56,$V$99,$Z$20)</f>
        <v/>
      </c>
      <c r="W108" s="49" t="str">
        <f ca="1">_xll.DBRW($C$39,$O$89,$O$90,$C$44,$C$45,$C$46,$C$47,$C$48,$O$93,$C$50,$C$51,$C$52,$C$53,$O108,$N108,$C$56,$W$99,$Z$20)</f>
        <v/>
      </c>
      <c r="X108" s="49" t="str">
        <f ca="1">_xll.DBRW($C$39,$O$89,$O$90,$C$44,$C$45,$C$46,$C$47,$C$48,$O$93,$C$50,$C$51,$C$52,$C$53,$O108,$N108,$C$56,$X$99,$Z$20)</f>
        <v/>
      </c>
      <c r="Y108" s="49" t="str">
        <f ca="1">_xll.DBRW($C$39,$O$89,$O$90,$C$44,$C$45,$C$46,$C$47,$C$48,$O$93,$C$50,$C$51,$C$52,$C$53,$O108,$N108,$C$56,$Y$99,$Z$20)</f>
        <v/>
      </c>
      <c r="Z108" s="49" t="str">
        <f ca="1">_xll.DBRW($C$39,$O$89,$O$90,$C$44,$C$45,$C$46,$C$47,$C$48,$O$93,$C$50,$C$51,$C$52,$C$53,$O108,$N108,$C$56,$Z$99,$Z$20)</f>
        <v/>
      </c>
      <c r="AA108" s="72"/>
      <c r="AB108" s="49" t="str">
        <f ca="1">_xll.DBRW($C$39,$O$89,$O$90,$C$44,$C$45,$C$46,$C$47,$C$48,$O$93,$C$50,$C$51,$C$52,$C$53,$O108,$N108,$C$56,$R$99,$AJ$20)</f>
        <v/>
      </c>
      <c r="AC108" s="49" t="str">
        <f ca="1">_xll.DBRW($C$39,$O$89,$O$90,$C$44,$C$45,$C$46,$C$47,$C$48,$O$93,$C$50,$C$51,$C$52,$C$53,$O108,$N108,$C$56,$S$99,$AJ$20)</f>
        <v/>
      </c>
      <c r="AD108" s="49" t="str">
        <f ca="1">_xll.DBRW($C$39,$O$89,$O$90,$C$44,$C$45,$C$46,$C$47,$C$48,$O$93,$C$50,$C$51,$C$52,$C$53,$O108,$N108,$C$56,$T$99,$AJ$20)</f>
        <v/>
      </c>
      <c r="AE108" s="49" t="str">
        <f ca="1">_xll.DBRW($C$39,$O$89,$O$90,$C$44,$C$45,$C$46,$C$47,$C$48,$O$93,$C$50,$C$51,$C$52,$C$53,$O108,$N108,$C$56,$U$99,$AJ$20)</f>
        <v/>
      </c>
      <c r="AF108" s="49" t="str">
        <f ca="1">_xll.DBRW($C$39,$O$89,$O$90,$C$44,$C$45,$C$46,$C$47,$C$48,$O$93,$C$50,$C$51,$C$52,$C$53,$O108,$N108,$C$56,$V$99,$AJ$20)</f>
        <v/>
      </c>
      <c r="AG108" s="49" t="str">
        <f ca="1">_xll.DBRW($C$39,$O$89,$O$90,$C$44,$C$45,$C$46,$C$47,$C$48,$O$93,$C$50,$C$51,$C$52,$C$53,$O108,$N108,$C$56,$W$99,$AJ$20)</f>
        <v/>
      </c>
      <c r="AH108" s="49" t="str">
        <f ca="1">_xll.DBRW($C$39,$O$89,$O$90,$C$44,$C$45,$C$46,$C$47,$C$48,$O$93,$C$50,$C$51,$C$52,$C$53,$O108,$N108,$C$56,$X$99,$AJ$20)</f>
        <v/>
      </c>
      <c r="AI108" s="49" t="str">
        <f ca="1">_xll.DBRW($C$39,$O$89,$O$90,$C$44,$C$45,$C$46,$C$47,$C$48,$O$93,$C$50,$C$51,$C$52,$C$53,$O108,$N108,$C$56,$Y$99,$AJ$20)</f>
        <v/>
      </c>
      <c r="AJ108" s="49" t="str">
        <f ca="1">_xll.DBRW($C$39,$O$89,$O$90,$C$44,$C$45,$C$46,$C$47,$C$48,$O$93,$C$50,$C$51,$C$52,$C$53,$O108,$N108,$C$56,$Z$99,$AJ$20)</f>
        <v/>
      </c>
      <c r="AK108" s="72"/>
      <c r="AL108" s="49" t="str">
        <f ca="1">_xll.DBRW($C$39,$O$89,$O$90,$C$44,$C$45,$C$46,$C$47,$C$48,$O$93,$C$50,$C$51,$C$52,$C$53,$O108,$N108,$C$56,$R$99,$AT$20)</f>
        <v/>
      </c>
      <c r="AM108" s="49" t="str">
        <f ca="1">_xll.DBRW($C$39,$O$89,$O$90,$C$44,$C$45,$C$46,$C$47,$C$48,$O$93,$C$50,$C$51,$C$52,$C$53,$O108,$N108,$C$56,$S$99,$AT$20)</f>
        <v/>
      </c>
      <c r="AN108" s="49" t="str">
        <f ca="1">_xll.DBRW($C$39,$O$89,$O$90,$C$44,$C$45,$C$46,$C$47,$C$48,$O$93,$C$50,$C$51,$C$52,$C$53,$O108,$N108,$C$56,$T$99,$AT$20)</f>
        <v/>
      </c>
      <c r="AO108" s="49" t="str">
        <f ca="1">_xll.DBRW($C$39,$O$89,$O$90,$C$44,$C$45,$C$46,$C$47,$C$48,$O$93,$C$50,$C$51,$C$52,$C$53,$O108,$N108,$C$56,$U$99,$AT$20)</f>
        <v/>
      </c>
      <c r="AP108" s="49" t="str">
        <f ca="1">_xll.DBRW($C$39,$O$89,$O$90,$C$44,$C$45,$C$46,$C$47,$C$48,$O$93,$C$50,$C$51,$C$52,$C$53,$O108,$N108,$C$56,$V$99,$AT$20)</f>
        <v/>
      </c>
      <c r="AQ108" s="49" t="str">
        <f ca="1">_xll.DBRW($C$39,$O$89,$O$90,$C$44,$C$45,$C$46,$C$47,$C$48,$O$93,$C$50,$C$51,$C$52,$C$53,$O108,$N108,$C$56,$W$99,$AT$20)</f>
        <v/>
      </c>
      <c r="AR108" s="49" t="str">
        <f ca="1">_xll.DBRW($C$39,$O$89,$O$90,$C$44,$C$45,$C$46,$C$47,$C$48,$O$93,$C$50,$C$51,$C$52,$C$53,$O108,$N108,$C$56,$X$99,$AT$20)</f>
        <v/>
      </c>
      <c r="AS108" s="49" t="str">
        <f ca="1">_xll.DBRW($C$39,$O$89,$O$90,$C$44,$C$45,$C$46,$C$47,$C$48,$O$93,$C$50,$C$51,$C$52,$C$53,$O108,$N108,$C$56,$Y$99,$AT$20)</f>
        <v/>
      </c>
      <c r="AT108" s="49" t="str">
        <f ca="1">_xll.DBRW($C$39,$O$89,$O$90,$C$44,$C$45,$C$46,$C$47,$C$48,$O$93,$C$50,$C$51,$C$52,$C$53,$O108,$N108,$C$56,$Z$99,$AT$20)</f>
        <v/>
      </c>
      <c r="AU108" s="72"/>
      <c r="AV108" s="49" t="str">
        <f ca="1">_xll.DBRW($C$39,$O$89,$O$90,$C$44,$C$45,$C$46,$C$47,$C$48,$O$93,$C$50,$C$51,$C$52,$C$53,$O108,$N108,$C$56,$R$99,$BD$20)</f>
        <v/>
      </c>
      <c r="AW108" s="49" t="str">
        <f ca="1">_xll.DBRW($C$39,$O$89,$O$90,$C$44,$C$45,$C$46,$C$47,$C$48,$O$93,$C$50,$C$51,$C$52,$C$53,$O108,$N108,$C$56,$S$99,$BD$20)</f>
        <v/>
      </c>
      <c r="AX108" s="49" t="str">
        <f ca="1">_xll.DBRW($C$39,$O$89,$O$90,$C$44,$C$45,$C$46,$C$47,$C$48,$O$93,$C$50,$C$51,$C$52,$C$53,$O108,$N108,$C$56,$T$99,$BD$20)</f>
        <v/>
      </c>
      <c r="AY108" s="49" t="str">
        <f ca="1">_xll.DBRW($C$39,$O$89,$O$90,$C$44,$C$45,$C$46,$C$47,$C$48,$O$93,$C$50,$C$51,$C$52,$C$53,$O108,$N108,$C$56,$U$99,$BD$20)</f>
        <v/>
      </c>
      <c r="AZ108" s="49" t="str">
        <f ca="1">_xll.DBRW($C$39,$O$89,$O$90,$C$44,$C$45,$C$46,$C$47,$C$48,$O$93,$C$50,$C$51,$C$52,$C$53,$O108,$N108,$C$56,$V$99,$BD$20)</f>
        <v/>
      </c>
      <c r="BA108" s="49" t="str">
        <f ca="1">_xll.DBRW($C$39,$O$89,$O$90,$C$44,$C$45,$C$46,$C$47,$C$48,$O$93,$C$50,$C$51,$C$52,$C$53,$O108,$N108,$C$56,$W$99,$BD$20)</f>
        <v/>
      </c>
      <c r="BB108" s="49" t="str">
        <f ca="1">_xll.DBRW($C$39,$O$89,$O$90,$C$44,$C$45,$C$46,$C$47,$C$48,$O$93,$C$50,$C$51,$C$52,$C$53,$O108,$N108,$C$56,$X$99,$BD$20)</f>
        <v/>
      </c>
      <c r="BC108" s="49" t="str">
        <f ca="1">_xll.DBRW($C$39,$O$89,$O$90,$C$44,$C$45,$C$46,$C$47,$C$48,$O$93,$C$50,$C$51,$C$52,$C$53,$O108,$N108,$C$56,$Y$99,$BD$20)</f>
        <v/>
      </c>
      <c r="BD108" s="49" t="str">
        <f ca="1">_xll.DBRW($C$39,$O$89,$O$90,$C$44,$C$45,$C$46,$C$47,$C$48,$O$93,$C$50,$C$51,$C$52,$C$53,$O108,$N108,$C$56,$Z$99,$BD$20)</f>
        <v/>
      </c>
      <c r="BE108" s="72"/>
      <c r="BF108" s="49" t="str">
        <f ca="1">_xll.DBRW($C$39,$O$89,$O$90,$C$44,$C$45,$C$46,$C$47,$C$48,$O$93,$C$50,$C$51,$C$52,$C$53,$O108,$N108,$C$56,$R$99,$BN$20)</f>
        <v/>
      </c>
      <c r="BG108" s="49" t="str">
        <f ca="1">_xll.DBRW($C$39,$O$89,$O$90,$C$44,$C$45,$C$46,$C$47,$C$48,$O$93,$C$50,$C$51,$C$52,$C$53,$O108,$N108,$C$56,$S$99,$BN$20)</f>
        <v/>
      </c>
      <c r="BH108" s="49" t="str">
        <f ca="1">_xll.DBRW($C$39,$O$89,$O$90,$C$44,$C$45,$C$46,$C$47,$C$48,$O$93,$C$50,$C$51,$C$52,$C$53,$O108,$N108,$C$56,$T$99,$BN$20)</f>
        <v/>
      </c>
      <c r="BI108" s="49" t="str">
        <f ca="1">_xll.DBRW($C$39,$O$89,$O$90,$C$44,$C$45,$C$46,$C$47,$C$48,$O$93,$C$50,$C$51,$C$52,$C$53,$O108,$N108,$C$56,$U$99,$BN$20)</f>
        <v/>
      </c>
      <c r="BJ108" s="49" t="str">
        <f ca="1">_xll.DBRW($C$39,$O$89,$O$90,$C$44,$C$45,$C$46,$C$47,$C$48,$O$93,$C$50,$C$51,$C$52,$C$53,$O108,$N108,$C$56,$V$99,$BN$20)</f>
        <v/>
      </c>
      <c r="BK108" s="49" t="str">
        <f ca="1">_xll.DBRW($C$39,$O$89,$O$90,$C$44,$C$45,$C$46,$C$47,$C$48,$O$93,$C$50,$C$51,$C$52,$C$53,$O108,$N108,$C$56,$W$99,$BN$20)</f>
        <v/>
      </c>
      <c r="BL108" s="49" t="str">
        <f ca="1">_xll.DBRW($C$39,$O$89,$O$90,$C$44,$C$45,$C$46,$C$47,$C$48,$O$93,$C$50,$C$51,$C$52,$C$53,$O108,$N108,$C$56,$X$99,$BN$20)</f>
        <v/>
      </c>
      <c r="BM108" s="49" t="str">
        <f ca="1">_xll.DBRW($C$39,$O$89,$O$90,$C$44,$C$45,$C$46,$C$47,$C$48,$O$93,$C$50,$C$51,$C$52,$C$53,$O108,$N108,$C$56,$Y$99,$BN$20)</f>
        <v/>
      </c>
      <c r="BN108" s="49" t="str">
        <f ca="1">_xll.DBRW($C$39,$O$89,$O$90,$C$44,$C$45,$C$46,$C$47,$C$48,$O$93,$C$50,$C$51,$C$52,$C$53,$O108,$N108,$C$56,$Z$99,$BN$20)</f>
        <v/>
      </c>
    </row>
    <row r="109" spans="1:66" x14ac:dyDescent="0.25">
      <c r="N109" s="31"/>
      <c r="O109" s="31"/>
      <c r="P109" s="31"/>
      <c r="Q109" s="77"/>
      <c r="R109" s="31"/>
      <c r="S109" s="31"/>
      <c r="T109" s="31"/>
      <c r="U109" s="31"/>
      <c r="V109" s="31"/>
      <c r="W109" s="31"/>
      <c r="X109" s="31"/>
      <c r="Y109" s="31"/>
      <c r="Z109" s="31"/>
      <c r="AA109" s="77"/>
      <c r="AB109" s="31"/>
      <c r="AC109" s="31"/>
      <c r="AD109" s="31"/>
      <c r="AE109" s="31"/>
      <c r="AF109" s="31"/>
      <c r="AG109" s="31"/>
      <c r="AH109" s="31"/>
      <c r="AI109" s="31"/>
      <c r="AJ109" s="31"/>
      <c r="AK109" s="77"/>
      <c r="AL109" s="31"/>
      <c r="AM109" s="31"/>
      <c r="AN109" s="31"/>
      <c r="AO109" s="31"/>
      <c r="AP109" s="31"/>
      <c r="AQ109" s="31"/>
      <c r="AR109" s="31"/>
      <c r="AS109" s="31"/>
      <c r="AT109" s="31"/>
      <c r="AU109" s="77"/>
      <c r="AV109" s="31"/>
      <c r="AW109" s="31"/>
      <c r="AX109" s="31"/>
      <c r="AY109" s="31"/>
      <c r="AZ109" s="31"/>
      <c r="BA109" s="31"/>
      <c r="BB109" s="31"/>
      <c r="BC109" s="31"/>
      <c r="BD109" s="31"/>
      <c r="BE109" s="77"/>
      <c r="BF109" s="31"/>
      <c r="BG109" s="31"/>
      <c r="BH109" s="31"/>
      <c r="BI109" s="31"/>
      <c r="BJ109" s="31"/>
      <c r="BK109" s="31"/>
      <c r="BL109" s="31"/>
      <c r="BM109" s="31"/>
      <c r="BN109" s="31"/>
    </row>
  </sheetData>
  <sheetProtection sheet="1" objects="1" scenarios="1"/>
  <mergeCells count="39">
    <mergeCell ref="BF98:BN98"/>
    <mergeCell ref="BI92:BJ92"/>
    <mergeCell ref="BI93:BJ93"/>
    <mergeCell ref="BI94:BJ94"/>
    <mergeCell ref="BF96:BN96"/>
    <mergeCell ref="BF97:BN97"/>
    <mergeCell ref="AL98:AT98"/>
    <mergeCell ref="AY92:AZ92"/>
    <mergeCell ref="AY93:AZ93"/>
    <mergeCell ref="AY94:AZ94"/>
    <mergeCell ref="AV96:BD96"/>
    <mergeCell ref="AV97:BD97"/>
    <mergeCell ref="AV98:BD98"/>
    <mergeCell ref="AO92:AP92"/>
    <mergeCell ref="AO93:AP93"/>
    <mergeCell ref="AO94:AP94"/>
    <mergeCell ref="AL96:AT96"/>
    <mergeCell ref="AL97:AT97"/>
    <mergeCell ref="AE92:AF92"/>
    <mergeCell ref="AE93:AF93"/>
    <mergeCell ref="AE94:AF94"/>
    <mergeCell ref="AB96:AJ96"/>
    <mergeCell ref="AB97:AJ97"/>
    <mergeCell ref="AB98:AJ98"/>
    <mergeCell ref="B25:D25"/>
    <mergeCell ref="B11:C11"/>
    <mergeCell ref="B19:C19"/>
    <mergeCell ref="B36:C36"/>
    <mergeCell ref="B60:C60"/>
    <mergeCell ref="U92:V92"/>
    <mergeCell ref="R88:S88"/>
    <mergeCell ref="N96:N98"/>
    <mergeCell ref="O96:O98"/>
    <mergeCell ref="P96:P98"/>
    <mergeCell ref="Y94:Z94"/>
    <mergeCell ref="U93:V93"/>
    <mergeCell ref="R96:Z96"/>
    <mergeCell ref="R97:Z97"/>
    <mergeCell ref="R98:Z98"/>
  </mergeCells>
  <pageMargins left="0.70866141732283472" right="0.70866141732283472" top="0.74803149606299213" bottom="0.74803149606299213" header="0.31496062992125984" footer="0.31496062992125984"/>
  <pageSetup paperSize="9" scale="46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40" r:id="rId4" name="TIButton7">
          <controlPr defaultSize="0" print="0" autoLine="0" autoPict="0" r:id="rId5">
            <anchor moveWithCells="1" sizeWithCells="1">
              <from>
                <xdr:col>14</xdr:col>
                <xdr:colOff>1428750</xdr:colOff>
                <xdr:row>84</xdr:row>
                <xdr:rowOff>0</xdr:rowOff>
              </from>
              <to>
                <xdr:col>14</xdr:col>
                <xdr:colOff>2638425</xdr:colOff>
                <xdr:row>84</xdr:row>
                <xdr:rowOff>247650</xdr:rowOff>
              </to>
            </anchor>
          </controlPr>
        </control>
      </mc:Choice>
      <mc:Fallback>
        <control shapeId="1040" r:id="rId4" name="TIButton7"/>
      </mc:Fallback>
    </mc:AlternateContent>
    <mc:AlternateContent xmlns:mc="http://schemas.openxmlformats.org/markup-compatibility/2006">
      <mc:Choice Requires="x14">
        <control shapeId="1039" r:id="rId6" name="TIButton6">
          <controlPr defaultSize="0" print="0" autoLine="0" autoPict="0" r:id="rId7">
            <anchor moveWithCells="1" sizeWithCells="1">
              <from>
                <xdr:col>13</xdr:col>
                <xdr:colOff>3228975</xdr:colOff>
                <xdr:row>84</xdr:row>
                <xdr:rowOff>0</xdr:rowOff>
              </from>
              <to>
                <xdr:col>14</xdr:col>
                <xdr:colOff>1400175</xdr:colOff>
                <xdr:row>84</xdr:row>
                <xdr:rowOff>247650</xdr:rowOff>
              </to>
            </anchor>
          </controlPr>
        </control>
      </mc:Choice>
      <mc:Fallback>
        <control shapeId="1039" r:id="rId6" name="TIButton6"/>
      </mc:Fallback>
    </mc:AlternateContent>
    <mc:AlternateContent xmlns:mc="http://schemas.openxmlformats.org/markup-compatibility/2006">
      <mc:Choice Requires="x14">
        <control shapeId="1038" r:id="rId8" name="TIButton5">
          <controlPr defaultSize="0" print="0" autoLine="0" autoPict="0" r:id="rId9">
            <anchor moveWithCells="1" sizeWithCells="1">
              <from>
                <xdr:col>13</xdr:col>
                <xdr:colOff>1857375</xdr:colOff>
                <xdr:row>84</xdr:row>
                <xdr:rowOff>0</xdr:rowOff>
              </from>
              <to>
                <xdr:col>13</xdr:col>
                <xdr:colOff>3209925</xdr:colOff>
                <xdr:row>84</xdr:row>
                <xdr:rowOff>247650</xdr:rowOff>
              </to>
            </anchor>
          </controlPr>
        </control>
      </mc:Choice>
      <mc:Fallback>
        <control shapeId="1038" r:id="rId8" name="TIButton5"/>
      </mc:Fallback>
    </mc:AlternateContent>
    <mc:AlternateContent xmlns:mc="http://schemas.openxmlformats.org/markup-compatibility/2006">
      <mc:Choice Requires="x14">
        <control shapeId="1037" r:id="rId10" name="TIButton4">
          <controlPr defaultSize="0" print="0" autoLine="0" r:id="rId11">
            <anchor moveWithCells="1" sizeWithCells="1">
              <from>
                <xdr:col>65</xdr:col>
                <xdr:colOff>552450</xdr:colOff>
                <xdr:row>83</xdr:row>
                <xdr:rowOff>38100</xdr:rowOff>
              </from>
              <to>
                <xdr:col>65</xdr:col>
                <xdr:colOff>876300</xdr:colOff>
                <xdr:row>84</xdr:row>
                <xdr:rowOff>285750</xdr:rowOff>
              </to>
            </anchor>
          </controlPr>
        </control>
      </mc:Choice>
      <mc:Fallback>
        <control shapeId="1037" r:id="rId10" name="TIButton4"/>
      </mc:Fallback>
    </mc:AlternateContent>
    <mc:AlternateContent xmlns:mc="http://schemas.openxmlformats.org/markup-compatibility/2006">
      <mc:Choice Requires="x14">
        <control shapeId="1036" r:id="rId12" name="TIButton1">
          <controlPr defaultSize="0" print="0" autoLine="0" autoPict="0" r:id="rId13">
            <anchor moveWithCells="1" sizeWithCells="1">
              <from>
                <xdr:col>13</xdr:col>
                <xdr:colOff>704850</xdr:colOff>
                <xdr:row>84</xdr:row>
                <xdr:rowOff>0</xdr:rowOff>
              </from>
              <to>
                <xdr:col>13</xdr:col>
                <xdr:colOff>1828800</xdr:colOff>
                <xdr:row>84</xdr:row>
                <xdr:rowOff>247650</xdr:rowOff>
              </to>
            </anchor>
          </controlPr>
        </control>
      </mc:Choice>
      <mc:Fallback>
        <control shapeId="1036" r:id="rId12" name="TIButton1"/>
      </mc:Fallback>
    </mc:AlternateContent>
    <mc:AlternateContent xmlns:mc="http://schemas.openxmlformats.org/markup-compatibility/2006">
      <mc:Choice Requires="x14">
        <control shapeId="1035" r:id="rId14" name="TIButton3">
          <controlPr defaultSize="0" print="0" autoLine="0" autoPict="0" r:id="rId15">
            <anchor moveWithCells="1" sizeWithCells="1">
              <from>
                <xdr:col>14</xdr:col>
                <xdr:colOff>2686050</xdr:colOff>
                <xdr:row>84</xdr:row>
                <xdr:rowOff>0</xdr:rowOff>
              </from>
              <to>
                <xdr:col>15</xdr:col>
                <xdr:colOff>85725</xdr:colOff>
                <xdr:row>84</xdr:row>
                <xdr:rowOff>247650</xdr:rowOff>
              </to>
            </anchor>
          </controlPr>
        </control>
      </mc:Choice>
      <mc:Fallback>
        <control shapeId="1035" r:id="rId14" name="TIButton3"/>
      </mc:Fallback>
    </mc:AlternateContent>
    <mc:AlternateContent xmlns:mc="http://schemas.openxmlformats.org/markup-compatibility/2006">
      <mc:Choice Requires="x14">
        <control shapeId="1034" r:id="rId16" name="TIButton2">
          <controlPr defaultSize="0" print="0" autoLine="0" autoPict="0" r:id="rId17">
            <anchor moveWithCells="1" sizeWithCells="1">
              <from>
                <xdr:col>13</xdr:col>
                <xdr:colOff>28575</xdr:colOff>
                <xdr:row>84</xdr:row>
                <xdr:rowOff>0</xdr:rowOff>
              </from>
              <to>
                <xdr:col>13</xdr:col>
                <xdr:colOff>666750</xdr:colOff>
                <xdr:row>84</xdr:row>
                <xdr:rowOff>247650</xdr:rowOff>
              </to>
            </anchor>
          </controlPr>
        </control>
      </mc:Choice>
      <mc:Fallback>
        <control shapeId="1034" r:id="rId16" name="TIButton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HeadingPairs>
  <TitlesOfParts>
    <vt:vector size="32" baseType="lpstr">
      <vt:lpstr>report</vt:lpstr>
      <vt:lpstr>db_name</vt:lpstr>
      <vt:lpstr>PL_progtype_list</vt:lpstr>
      <vt:lpstr>PL_progtype_lookup</vt:lpstr>
      <vt:lpstr>psApp</vt:lpstr>
      <vt:lpstr>psProgDimName</vt:lpstr>
      <vt:lpstr>psUser</vt:lpstr>
      <vt:lpstr>TargetCells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TM1OthRprTBalDrillCAP</vt:lpstr>
      <vt:lpstr>TM1OthRprTBalDrillWB</vt:lpstr>
      <vt:lpstr>TM1OthRprTBalDrillWS</vt:lpstr>
      <vt:lpstr>report!TM1RPTDATARNG1</vt:lpstr>
      <vt:lpstr>report!TM1RPTDATARNGARPT1</vt:lpstr>
      <vt:lpstr>TM1RPTDATARNGARPT1</vt:lpstr>
      <vt:lpstr>report!TM1RPTDATARNGARPT2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dcterms:created xsi:type="dcterms:W3CDTF">2019-06-27T05:48:38Z</dcterms:created>
  <dcterms:modified xsi:type="dcterms:W3CDTF">2025-08-05T04:42:24Z</dcterms:modified>
</cp:coreProperties>
</file>