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6C7C6E10-8341-46BA-B1C0-70AA80E3C4BB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RDS!$L$58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RDS!$59:$59</definedName>
    <definedName name="TM1RPTFMTIDCOL" localSheetId="0">RDS!$A$1:$A$8</definedName>
    <definedName name="TM1RPTFMTRNG" localSheetId="0">RDS!$J$1:$L$8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59" i="1"/>
  <c r="C28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L55" i="1"/>
  <c r="C43" i="1"/>
  <c r="C40" i="1"/>
  <c r="L59" i="1"/>
  <c r="C20" i="1"/>
  <c r="C25" i="1"/>
  <c r="C24" i="1"/>
  <c r="C23" i="1"/>
  <c r="C22" i="1"/>
  <c r="C21" i="1"/>
  <c r="C13" i="1"/>
  <c r="C14" i="1"/>
  <c r="C15" i="1"/>
  <c r="C17" i="1"/>
  <c r="C16" i="1"/>
  <c r="A59" i="1"/>
  <c r="A5" i="1"/>
  <c r="A4" i="1"/>
  <c r="A3" i="1"/>
  <c r="A2" i="1"/>
</calcChain>
</file>

<file path=xl/sharedStrings.xml><?xml version="1.0" encoding="utf-8"?>
<sst xmlns="http://schemas.openxmlformats.org/spreadsheetml/2006/main" count="53" uniqueCount="53">
  <si>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</si>
  <si>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</si>
  <si>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</si>
  <si>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</si>
  <si>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</si>
  <si>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</si>
  <si>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</si>
  <si>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</si>
  <si>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</si>
  <si>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</si>
  <si>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</si>
  <si>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</si>
  <si>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</si>
  <si>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</si>
  <si>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</si>
  <si>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</si>
  <si>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</si>
  <si>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</si>
  <si>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</si>
  <si>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</si>
  <si>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</si>
  <si>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</si>
  <si>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</si>
  <si>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</si>
  <si>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</si>
  <si>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</si>
  <si>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</si>
  <si>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</si>
  <si>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</si>
  <si>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</si>
  <si>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</si>
  <si>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</si>
  <si>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</si>
  <si>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</si>
  <si>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</si>
  <si>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</si>
  <si>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</si>
  <si>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</si>
  <si>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</si>
  <si>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</si>
  <si>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</si>
  <si>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</si>
  <si>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</si>
  <si>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Code and Description (ALIAS)</t>
  </si>
  <si>
    <t>{TM1SUBSETALL( [jurisdiction] )}</t>
  </si>
  <si>
    <t>Administration RDS - Jurisdiction Attributes</t>
  </si>
  <si>
    <t>}ElementAttributes_</t>
  </si>
  <si>
    <t>Jurisdiction  :</t>
  </si>
  <si>
    <t>Jurisdiction</t>
  </si>
  <si>
    <t>No</t>
  </si>
  <si>
    <t>Admin RDS - Jurisdiction</t>
  </si>
  <si>
    <t>Note : This screen is used to manage the Jurisdiction attribute cube which is required for GEUS.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</si>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</sst>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7" fillId="0" borderId="0" xfId="0" applyFont="1" applyAlignment="1">
      <alignment horizontal="left"/>
    </xf>
    <xf numFmtId="0" fontId="5" fillId="6" borderId="4" xfId="0" applyFont="1" applyFill="1" applyBorder="1" applyProtection="1">
      <protection locked="0"/>
    </xf>
    <xf numFmtId="0" fontId="5" fillId="0" borderId="4" xfId="0" applyFont="1" applyBorder="1" applyProtection="1">
      <protection locked="0"/>
    </xf>
    <xf numFmtId="0" fontId="4" fillId="0" borderId="4" xfId="0" applyFont="1" applyBorder="1" applyProtection="1"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0" xfId="0" applyFont="1" applyProtection="1">
      <protection locked="0"/>
    </xf>
    <xf numFmtId="0" fontId="5" fillId="6" borderId="0" xfId="0" applyFont="1" applyFill="1" applyProtection="1">
      <protection locked="0"/>
    </xf>
    <xf numFmtId="0" fontId="5" fillId="0" borderId="0" xfId="0" applyFont="1" applyProtection="1"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47</xdr:row>
      <xdr:rowOff>19050</xdr:rowOff>
    </xdr:from>
    <xdr:to>
      <xdr:col>11</xdr:col>
      <xdr:colOff>15240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594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0e3105a5_55c3_4984_91d4_4468d710274f" textlink="TM1HomeCAP">
      <xdr:nvSpPr>
        <xdr:cNvPr id="3" name="TM1Button_0e3105a5_55c3_4984_91d4_4468d710274f">
          <a:extLst>
            <a:ext uri="{FF2B5EF4-FFF2-40B4-BE49-F238E27FC236}">
              <a16:creationId xmlns:a16="http://schemas.microsoft.com/office/drawing/2014/main" id="{25D1DC37-1931-7B2E-87CA-69762080EE25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00A4DF3-0358-42C5-9B64-9A7E462E9A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11</xdr:col>
      <xdr:colOff>38100</xdr:colOff>
      <xdr:row>49</xdr:row>
      <xdr:rowOff>247650</xdr:rowOff>
    </xdr:to>
    <xdr:sp macro="Sheet1.ExecuteAction_909af8bd_5db5_4b30_92ca_ec6275cc4c9c" textlink="TM1HomeAdminCAP">
      <xdr:nvSpPr>
        <xdr:cNvPr id="4" name="TM1Button_909af8bd_5db5_4b30_92ca_ec6275cc4c9c">
          <a:extLst>
            <a:ext uri="{FF2B5EF4-FFF2-40B4-BE49-F238E27FC236}">
              <a16:creationId xmlns:a16="http://schemas.microsoft.com/office/drawing/2014/main" id="{28232C32-A1B0-EFCC-C6B9-811D5F1B4899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F7CE7B0-EE00-43E1-9A48-1CA24DFAAB9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95250</xdr:colOff>
      <xdr:row>49</xdr:row>
      <xdr:rowOff>0</xdr:rowOff>
    </xdr:from>
    <xdr:to>
      <xdr:col>11</xdr:col>
      <xdr:colOff>1590675</xdr:colOff>
      <xdr:row>49</xdr:row>
      <xdr:rowOff>247650</xdr:rowOff>
    </xdr:to>
    <xdr:sp macro="Sheet1.ExecuteAction_adc00800_ec64_47d9_aa0a_905ac7945f68" textlink="TM1HomeAdminRDSCAP">
      <xdr:nvSpPr>
        <xdr:cNvPr id="5" name="TM1Button_adc00800_ec64_47d9_aa0a_905ac7945f68">
          <a:extLst>
            <a:ext uri="{FF2B5EF4-FFF2-40B4-BE49-F238E27FC236}">
              <a16:creationId xmlns:a16="http://schemas.microsoft.com/office/drawing/2014/main" id="{E6BE307C-A3B5-4D41-0289-380B9B5B259F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451687E-62E5-40C1-8CBA-E0911954AD9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571500</xdr:colOff>
      <xdr:row>48</xdr:row>
      <xdr:rowOff>28575</xdr:rowOff>
    </xdr:from>
    <xdr:to>
      <xdr:col>12</xdr:col>
      <xdr:colOff>885825</xdr:colOff>
      <xdr:row>49</xdr:row>
      <xdr:rowOff>285750</xdr:rowOff>
    </xdr:to>
    <xdr:sp macro="Sheet1.ExecuteAction_100e494e_7339_40c7_bb9e_540cb7025f13" textlink="">
      <xdr:nvSpPr>
        <xdr:cNvPr id="6" name="TM1Button_100e494e_7339_40c7_bb9e_540cb7025f13">
          <a:extLst>
            <a:ext uri="{FF2B5EF4-FFF2-40B4-BE49-F238E27FC236}">
              <a16:creationId xmlns:a16="http://schemas.microsoft.com/office/drawing/2014/main" id="{0933A63A-A4A9-E336-D2EB-D372533621A0}"/>
            </a:ext>
          </a:extLst>
        </xdr:cNvPr>
        <xdr:cNvSpPr txBox="1"/>
      </xdr:nvSpPr>
      <xdr:spPr>
        <a:xfrm>
          <a:off x="89916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1619250</xdr:colOff>
      <xdr:row>49</xdr:row>
      <xdr:rowOff>0</xdr:rowOff>
    </xdr:from>
    <xdr:to>
      <xdr:col>11</xdr:col>
      <xdr:colOff>2400300</xdr:colOff>
      <xdr:row>49</xdr:row>
      <xdr:rowOff>247650</xdr:rowOff>
    </xdr:to>
    <xdr:sp macro="Sheet1.ExecuteAction_7652634a_1aab_47e0_9b3a_65f7f1fe3123" textlink="">
      <xdr:nvSpPr>
        <xdr:cNvPr id="7" name="TM1Button_7652634a_1aab_47e0_9b3a_65f7f1fe3123">
          <a:extLst>
            <a:ext uri="{FF2B5EF4-FFF2-40B4-BE49-F238E27FC236}">
              <a16:creationId xmlns:a16="http://schemas.microsoft.com/office/drawing/2014/main" id="{4C8A5636-BBA7-F5B5-7940-57439752DA68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N59"/>
  <sheetViews>
    <sheetView showGridLines="0" showRowColHeaders="0" tabSelected="1" showOutlineSymbols="0" topLeftCell="C48" workbookViewId="0">
      <pane ySplit="11" topLeftCell="A59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98.5703125" bestFit="1" customWidth="1"/>
    <col min="13" max="13" width="13.7109375" customWidth="1"/>
    <col min="14" max="14" width="5.7109375" customWidth="1"/>
  </cols>
  <sheetData>
    <row r="1" spans="1:14" hidden="1" outlineLevel="1" x14ac:dyDescent="0.25">
      <c r="A1" t="s">
        <v>3</v>
      </c>
    </row>
    <row r="2" spans="1:14" hidden="1" outlineLevel="1" x14ac:dyDescent="0.25">
      <c r="A2">
        <f>0</f>
        <v>0</v>
      </c>
      <c r="J2" s="12"/>
      <c r="L2" s="18"/>
      <c r="M2" s="24"/>
      <c r="N2" s="24"/>
    </row>
    <row r="3" spans="1:14" hidden="1" outlineLevel="1" x14ac:dyDescent="0.25">
      <c r="A3">
        <f>1</f>
        <v>1</v>
      </c>
      <c r="J3" s="13"/>
      <c r="L3" s="19"/>
      <c r="M3" s="25"/>
      <c r="N3" s="25"/>
    </row>
    <row r="4" spans="1:14" hidden="1" outlineLevel="1" x14ac:dyDescent="0.25">
      <c r="A4">
        <f>2</f>
        <v>2</v>
      </c>
      <c r="J4" s="13"/>
      <c r="L4" s="19"/>
      <c r="M4" s="25"/>
      <c r="N4" s="25"/>
    </row>
    <row r="5" spans="1:14" hidden="1" outlineLevel="1" x14ac:dyDescent="0.25">
      <c r="A5">
        <f>3</f>
        <v>3</v>
      </c>
      <c r="J5" s="13"/>
      <c r="L5" s="19"/>
      <c r="M5" s="25"/>
      <c r="N5" s="25"/>
    </row>
    <row r="6" spans="1:14" hidden="1" outlineLevel="1" x14ac:dyDescent="0.25">
      <c r="A6" t="s">
        <v>1</v>
      </c>
      <c r="J6" s="13"/>
      <c r="L6" s="19"/>
      <c r="M6" s="25"/>
      <c r="N6" s="25"/>
    </row>
    <row r="7" spans="1:14" hidden="1" outlineLevel="1" x14ac:dyDescent="0.25">
      <c r="A7" t="s">
        <v>2</v>
      </c>
      <c r="J7" s="26"/>
      <c r="L7" s="20"/>
      <c r="M7" s="23"/>
      <c r="N7" s="23"/>
    </row>
    <row r="8" spans="1:14" hidden="1" outlineLevel="1" x14ac:dyDescent="0.25">
      <c r="A8" t="s">
        <v>4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28" t="s">
        <v>5</v>
      </c>
      <c r="C11" s="29"/>
      <c r="D11" s="30"/>
    </row>
    <row r="12" spans="1:14" hidden="1" outlineLevel="1" x14ac:dyDescent="0.25">
      <c r="B12" s="3" t="s">
        <v>6</v>
      </c>
      <c r="C12" s="4" t="s">
        <v>52</v>
      </c>
      <c r="D12" s="5"/>
    </row>
    <row r="13" spans="1:14" hidden="1" outlineLevel="1" x14ac:dyDescent="0.25">
      <c r="B13" s="3" t="s">
        <v>7</v>
      </c>
      <c r="C13" s="6" t="e">
        <f ca="1">_xll.VIEW(db_name&amp;":}ElementAttributes_}Clients","!","!")</f>
        <v>#NAME?</v>
      </c>
      <c r="D13" s="5"/>
    </row>
    <row r="14" spans="1:14" hidden="1" outlineLevel="1" x14ac:dyDescent="0.25">
      <c r="B14" s="3" t="s">
        <v>8</v>
      </c>
      <c r="C14" s="4" t="e">
        <f ca="1">_xll.TM1USER(db_name)</f>
        <v>#NAME?</v>
      </c>
      <c r="D14" s="5"/>
    </row>
    <row r="15" spans="1:14" hidden="1" outlineLevel="1" x14ac:dyDescent="0.25">
      <c r="B15" s="3" t="s">
        <v>9</v>
      </c>
      <c r="C15" s="4" t="e">
        <f ca="1">_xll.DBR($C$13,$C$14,$B15)</f>
        <v>#NAME?</v>
      </c>
      <c r="D15" s="5"/>
    </row>
    <row r="16" spans="1:14" hidden="1" outlineLevel="1" x14ac:dyDescent="0.25">
      <c r="B16" s="3" t="s">
        <v>10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11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28" t="s">
        <v>12</v>
      </c>
      <c r="C19" s="29"/>
      <c r="D19" s="30"/>
    </row>
    <row r="20" spans="2:8" hidden="1" outlineLevel="1" x14ac:dyDescent="0.25">
      <c r="B20" s="3" t="s">
        <v>13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14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15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16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17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18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28" t="s">
        <v>27</v>
      </c>
      <c r="C27" s="29"/>
      <c r="D27" s="30"/>
    </row>
    <row r="28" spans="2:8" hidden="1" outlineLevel="1" x14ac:dyDescent="0.25">
      <c r="B28" s="3" t="s">
        <v>28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29</v>
      </c>
      <c r="C29" t="s">
        <v>50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37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14" hidden="1" outlineLevel="1" x14ac:dyDescent="0.25">
      <c r="B33" s="7" t="s">
        <v>38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14" hidden="1" outlineLevel="1" x14ac:dyDescent="0.25">
      <c r="B34" s="7" t="s">
        <v>39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14" hidden="1" outlineLevel="1" x14ac:dyDescent="0.25">
      <c r="B35" s="7" t="s">
        <v>40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14" hidden="1" outlineLevel="1" x14ac:dyDescent="0.25">
      <c r="B36" s="14" t="s">
        <v>42</v>
      </c>
      <c r="C36" s="15" t="s">
        <v>41</v>
      </c>
    </row>
    <row r="37" spans="2:14" ht="17.25" hidden="1" customHeight="1" outlineLevel="1" x14ac:dyDescent="0.25"/>
    <row r="38" spans="2:14" hidden="1" outlineLevel="1" x14ac:dyDescent="0.25">
      <c r="B38" s="28" t="s">
        <v>46</v>
      </c>
      <c r="C38" s="29"/>
      <c r="D38" s="30"/>
    </row>
    <row r="39" spans="2:14" hidden="1" outlineLevel="1" x14ac:dyDescent="0.25">
      <c r="B39" s="3" t="s">
        <v>19</v>
      </c>
      <c r="C39" s="7" t="e">
        <f ca="1">_xll.TM1RPTVIEW(db_name&amp;":}ElementAttributes_jurisdiction:1", 0,TM1RPTFMTRNG,TM1RPTFMTIDCOL)</f>
        <v>#NAME?</v>
      </c>
    </row>
    <row r="40" spans="2:14" hidden="1" outlineLevel="1" x14ac:dyDescent="0.25">
      <c r="B40" s="3" t="s">
        <v>20</v>
      </c>
      <c r="C40" s="7" t="e">
        <f ca="1">_xll.VIEW(db_name&amp;":}ElementAttributes_jurisdiction","!","!")</f>
        <v>#NAME?</v>
      </c>
    </row>
    <row r="41" spans="2:14" hidden="1" outlineLevel="1" x14ac:dyDescent="0.25">
      <c r="B41" s="3" t="s">
        <v>21</v>
      </c>
      <c r="C41" s="7" t="str">
        <f>IF($L$56="No",$C$42,$C$43)</f>
        <v>{TM1SUBSETALL( [jurisdiction] )}</v>
      </c>
      <c r="D41" s="5"/>
    </row>
    <row r="42" spans="2:14" hidden="1" outlineLevel="1" x14ac:dyDescent="0.25">
      <c r="B42" s="3" t="s">
        <v>24</v>
      </c>
      <c r="C42" s="7" t="s">
        <v>44</v>
      </c>
    </row>
    <row r="43" spans="2:14" hidden="1" outlineLevel="1" x14ac:dyDescent="0.25">
      <c r="B43" s="3" t="s">
        <v>25</v>
      </c>
      <c r="C43" s="7" t="e">
        <f ca="1">"{TM1DRILLDOWNMEMBER( {[jurisdiction].[" &amp; $L$55 &amp; "]}, ALL, RECURSIVE )}"</f>
        <v>#NAME?</v>
      </c>
    </row>
    <row r="44" spans="2:14" hidden="1" outlineLevel="1" x14ac:dyDescent="0.25"/>
    <row r="45" spans="2:14" hidden="1" outlineLevel="1" x14ac:dyDescent="0.25">
      <c r="J45" s="1" t="s">
        <v>26</v>
      </c>
      <c r="L45" s="2" t="s">
        <v>0</v>
      </c>
      <c r="M45" s="2"/>
      <c r="N45" s="2"/>
    </row>
    <row r="46" spans="2:14" hidden="1" outlineLevel="1" x14ac:dyDescent="0.25"/>
    <row r="47" spans="2:14" hidden="1" outlineLevel="1" x14ac:dyDescent="0.25"/>
    <row r="48" spans="2:14" ht="39.75" customHeight="1" collapsed="1" x14ac:dyDescent="0.25">
      <c r="I48" s="16"/>
      <c r="J48" s="16"/>
      <c r="K48" s="16"/>
      <c r="L48" s="16"/>
      <c r="M48" s="16" t="s">
        <v>45</v>
      </c>
      <c r="N48" s="16"/>
    </row>
    <row r="49" spans="1:14" ht="4.5" customHeight="1" x14ac:dyDescent="0.25"/>
    <row r="50" spans="1:14" ht="24" customHeight="1" x14ac:dyDescent="0.25">
      <c r="J50" s="1"/>
    </row>
    <row r="51" spans="1:14" ht="1.5" customHeight="1" x14ac:dyDescent="0.25">
      <c r="I51" s="16"/>
      <c r="J51" s="16"/>
      <c r="K51" s="16"/>
      <c r="L51" s="16"/>
      <c r="M51" s="16"/>
      <c r="N51" s="16"/>
    </row>
    <row r="52" spans="1:14" x14ac:dyDescent="0.25">
      <c r="J52" s="31" t="s">
        <v>51</v>
      </c>
      <c r="K52" s="31"/>
      <c r="L52" s="31"/>
      <c r="M52" s="17"/>
      <c r="N52" s="17"/>
    </row>
    <row r="53" spans="1:14" ht="5.0999999999999996" customHeight="1" x14ac:dyDescent="0.25"/>
    <row r="54" spans="1:14" x14ac:dyDescent="0.25">
      <c r="L54" s="9" t="s">
        <v>23</v>
      </c>
    </row>
    <row r="55" spans="1:14" x14ac:dyDescent="0.25">
      <c r="J55" s="8" t="s">
        <v>47</v>
      </c>
      <c r="L55" s="21" t="e">
        <f ca="1">_xll.SUBNM(db_name&amp;":Jurisdiction","","ACT","code and description")</f>
        <v>#NAME?</v>
      </c>
    </row>
    <row r="56" spans="1:14" x14ac:dyDescent="0.25">
      <c r="J56" s="8" t="s">
        <v>22</v>
      </c>
      <c r="L56" s="22" t="s">
        <v>49</v>
      </c>
    </row>
    <row r="57" spans="1:14" ht="5.0999999999999996" customHeight="1" x14ac:dyDescent="0.25"/>
    <row r="58" spans="1:14" x14ac:dyDescent="0.25">
      <c r="J58" s="10" t="s">
        <v>48</v>
      </c>
      <c r="L58" s="11" t="s">
        <v>43</v>
      </c>
    </row>
    <row r="59" spans="1:14" x14ac:dyDescent="0.25">
      <c r="A59" t="e">
        <f ca="1">IF(_xll.TM1RPTELISCONSOLIDATED($J$59,$J59),IF(_xll.TM1RPTELLEV($J$59,$J59)&lt;=3,_xll.TM1RPTELLEV($J$59,$J59),"D"),"N")</f>
        <v>#NAME?</v>
      </c>
      <c r="J59" s="27" t="e">
        <f ca="1">_xll.TM1RPTROW($C$39,db_name&amp;":jurisdiction","","","",0,$C$41)</f>
        <v>#NAME?</v>
      </c>
      <c r="L59" s="18" t="e">
        <f ca="1">_xll.DBRW($C$39,$J59,L$45)</f>
        <v>#NAME?</v>
      </c>
    </row>
  </sheetData>
  <sheetProtection sheet="1" objects="1" scenarios="1"/>
  <mergeCells count="5">
    <mergeCell ref="B11:D11"/>
    <mergeCell ref="B19:D19"/>
    <mergeCell ref="B38:D38"/>
    <mergeCell ref="B27:D27"/>
    <mergeCell ref="J52:L52"/>
  </mergeCells>
  <dataValidations count="1">
    <dataValidation type="list" allowBlank="1" showInputMessage="1" showErrorMessage="1" sqref="L56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2025-08-11T06:18:14Z</dcterms:modified>
</cp:coreProperties>
</file>