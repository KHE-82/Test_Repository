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F918450-08E9-4A7F-B968-D8DF57CDE1B8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RDS!$J$1:$O$8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L5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O60" i="1"/>
  <c r="N60" i="1"/>
  <c r="M60" i="1"/>
  <c r="L60" i="1"/>
  <c r="C40" i="1"/>
  <c r="C20" i="1"/>
  <c r="C25" i="1"/>
  <c r="C24" i="1"/>
  <c r="C23" i="1"/>
  <c r="C22" i="1"/>
  <c r="C21" i="1"/>
  <c r="C13" i="1"/>
  <c r="C14" i="1"/>
  <c r="C15" i="1"/>
  <c r="C17" i="1"/>
  <c r="C16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<sst xmlns="http://schemas.openxmlformats.org/spreadsheetml/2006/main" count="60" uniqueCount="59">
  <si>
    <t>description</t>
  </si>
  <si>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</si>
  <si>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</si>
  <si>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</si>
  <si>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</si>
  <si>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</si>
  <si>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</si>
  <si>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</si>
  <si>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</si>
  <si>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</si>
  <si>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</si>
  <si>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</si>
  <si>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</si>
  <si>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</si>
  <si>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</si>
  <si>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</si>
  <si>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</si>
  <si>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</si>
  <si>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</si>
  <si>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</si>
  <si>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</si>
  <si>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</si>
  <si>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</si>
  <si>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</si>
  <si>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No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</si>
  <si>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</si>
  <si>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</si>
  <si>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</si>
  <si>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</si>
  <si>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</si>
  <si>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</si>
  <si>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</si>
  <si>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</si>
  <si>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</si>
  <si>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</si>
  <si>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</si>
  <si>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</si>
  <si>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</si>
  <si>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</si>
  <si>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</si>
  <si>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</si>
  <si>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</si>
  <si>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</si>
  <si>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</si>
  <si>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</si>
  <si>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</si>
  <si>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</si>
  <si>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{TM1SUBSETALL( [related entity] )}</t>
  </si>
  <si>
    <t>Administration RDS - Related Entity Attributes</t>
  </si>
  <si>
    <t>}ElementAttributes_</t>
  </si>
  <si>
    <t>Related Entity :</t>
  </si>
  <si>
    <t>MA Related entity template</t>
  </si>
  <si>
    <t>MA_Related Entity Template</t>
  </si>
  <si>
    <t>CBMS</t>
  </si>
  <si>
    <t>Related Entity</t>
  </si>
  <si>
    <t>Admin RDS - Related Entity</t>
  </si>
  <si>
    <t>Note : This screen is used to manage the Related Entity attribute cube which is required for GEUS.</t>
  </si>
  <si>
    <t>Note : To search for a single entity, select a Related Entity, Set Filter to Yes and Click Refresh.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</si>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</sst>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47</xdr:row>
      <xdr:rowOff>19050</xdr:rowOff>
    </xdr:from>
    <xdr:to>
      <xdr:col>11</xdr:col>
      <xdr:colOff>0</xdr:colOff>
      <xdr:row>47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45720</xdr:colOff>
          <xdr:row>49</xdr:row>
          <xdr:rowOff>0</xdr:rowOff>
        </xdr:from>
        <xdr:to>
          <xdr:col>9</xdr:col>
          <xdr:colOff>632460</xdr:colOff>
          <xdr:row>49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670560</xdr:colOff>
          <xdr:row>49</xdr:row>
          <xdr:rowOff>0</xdr:rowOff>
        </xdr:from>
        <xdr:to>
          <xdr:col>11</xdr:col>
          <xdr:colOff>0</xdr:colOff>
          <xdr:row>49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60960</xdr:colOff>
          <xdr:row>49</xdr:row>
          <xdr:rowOff>0</xdr:rowOff>
        </xdr:from>
        <xdr:to>
          <xdr:col>11</xdr:col>
          <xdr:colOff>1554480</xdr:colOff>
          <xdr:row>49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655320</xdr:colOff>
          <xdr:row>48</xdr:row>
          <xdr:rowOff>30480</xdr:rowOff>
        </xdr:from>
        <xdr:to>
          <xdr:col>14</xdr:col>
          <xdr:colOff>975360</xdr:colOff>
          <xdr:row>49</xdr:row>
          <xdr:rowOff>289560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1584960</xdr:colOff>
          <xdr:row>49</xdr:row>
          <xdr:rowOff>0</xdr:rowOff>
        </xdr:from>
        <xdr:to>
          <xdr:col>11</xdr:col>
          <xdr:colOff>2362200</xdr:colOff>
          <xdr:row>49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O60"/>
  <sheetViews>
    <sheetView showGridLines="0" showRowColHeaders="0" tabSelected="1" showOutlineSymbols="0" topLeftCell="A48" workbookViewId="0">
      <pane ySplit="12" topLeftCell="A60" activePane="bottomLeft" state="frozen"/>
      <selection activeCell="I48" sqref="I48"/>
      <selection pane="bottomLeft" activeCell="L59" sqref="L59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26" customWidth="1"/>
    <col min="11" max="11" width="0.88671875" customWidth="1"/>
    <col min="12" max="12" width="60.6640625" customWidth="1"/>
    <col min="13" max="13" width="58.6640625" bestFit="1" customWidth="1"/>
    <col min="14" max="14" width="15.6640625" customWidth="1"/>
    <col min="15" max="15" width="14.6640625" customWidth="1"/>
  </cols>
  <sheetData>
    <row r="1" spans="1:15" hidden="1" outlineLevel="1" x14ac:dyDescent="0.3">
      <c r="A1" t="s">
        <v>4</v>
      </c>
    </row>
    <row r="2" spans="1:15" hidden="1" outlineLevel="1" x14ac:dyDescent="0.3">
      <c r="A2">
        <f>0</f>
        <v>0</v>
      </c>
      <c r="J2" s="12"/>
      <c r="L2" s="17"/>
      <c r="M2" s="17"/>
      <c r="N2" s="18"/>
      <c r="O2" s="18"/>
    </row>
    <row r="3" spans="1:15" hidden="1" outlineLevel="1" x14ac:dyDescent="0.3">
      <c r="A3">
        <f>1</f>
        <v>1</v>
      </c>
      <c r="J3" s="13"/>
      <c r="L3" s="19"/>
      <c r="M3" s="19"/>
      <c r="N3" s="20"/>
      <c r="O3" s="20"/>
    </row>
    <row r="4" spans="1:15" hidden="1" outlineLevel="1" x14ac:dyDescent="0.3">
      <c r="A4">
        <f>2</f>
        <v>2</v>
      </c>
      <c r="J4" s="13"/>
      <c r="L4" s="19"/>
      <c r="M4" s="19"/>
      <c r="N4" s="20"/>
      <c r="O4" s="20"/>
    </row>
    <row r="5" spans="1:15" hidden="1" outlineLevel="1" x14ac:dyDescent="0.3">
      <c r="A5">
        <f>3</f>
        <v>3</v>
      </c>
      <c r="J5" s="13"/>
      <c r="L5" s="19"/>
      <c r="M5" s="19"/>
      <c r="N5" s="20"/>
      <c r="O5" s="20"/>
    </row>
    <row r="6" spans="1:15" hidden="1" outlineLevel="1" x14ac:dyDescent="0.3">
      <c r="A6" t="s">
        <v>2</v>
      </c>
      <c r="J6" s="13"/>
      <c r="L6" s="19"/>
      <c r="M6" s="19"/>
      <c r="N6" s="20"/>
      <c r="O6" s="20"/>
    </row>
    <row r="7" spans="1:15" hidden="1" outlineLevel="1" x14ac:dyDescent="0.3">
      <c r="A7" t="s">
        <v>3</v>
      </c>
      <c r="J7" s="25"/>
      <c r="L7" s="21"/>
      <c r="M7" s="21"/>
      <c r="N7" s="22"/>
      <c r="O7" s="22"/>
    </row>
    <row r="8" spans="1:15" hidden="1" outlineLevel="1" x14ac:dyDescent="0.3">
      <c r="A8" t="s">
        <v>5</v>
      </c>
    </row>
    <row r="9" spans="1:15" hidden="1" outlineLevel="1" x14ac:dyDescent="0.3"/>
    <row r="10" spans="1:15" hidden="1" outlineLevel="1" x14ac:dyDescent="0.3"/>
    <row r="11" spans="1:15" hidden="1" outlineLevel="1" x14ac:dyDescent="0.3">
      <c r="B11" s="28" t="s">
        <v>6</v>
      </c>
      <c r="C11" s="29"/>
      <c r="D11" s="30"/>
    </row>
    <row r="12" spans="1:15" hidden="1" outlineLevel="1" x14ac:dyDescent="0.3">
      <c r="B12" s="3" t="s">
        <v>7</v>
      </c>
      <c r="C12" s="4" t="s">
        <v>58</v>
      </c>
      <c r="D12" s="5"/>
    </row>
    <row r="13" spans="1:15" hidden="1" outlineLevel="1" x14ac:dyDescent="0.3">
      <c r="B13" s="3" t="s">
        <v>8</v>
      </c>
      <c r="C13" s="6" t="str">
        <f ca="1">_xll.VIEW(db_name&amp;":}ElementAttributes_}Clients","!","!")</f>
        <v>dcceew_geus:}ElementAttributes_}Clients</v>
      </c>
      <c r="D13" s="5"/>
    </row>
    <row r="14" spans="1:15" hidden="1" outlineLevel="1" x14ac:dyDescent="0.3">
      <c r="B14" s="3" t="s">
        <v>9</v>
      </c>
      <c r="C14" s="4" t="str">
        <f ca="1">_xll.TM1USER(db_name)</f>
        <v/>
      </c>
      <c r="D14" s="5"/>
    </row>
    <row r="15" spans="1:15" hidden="1" outlineLevel="1" x14ac:dyDescent="0.3">
      <c r="B15" s="3" t="s">
        <v>10</v>
      </c>
      <c r="C15" s="4" t="str">
        <f ca="1">_xll.DBR($C$13,$C$14,$B15)</f>
        <v>*KEY_ERR</v>
      </c>
      <c r="D15" s="5"/>
    </row>
    <row r="16" spans="1:15" hidden="1" outlineLevel="1" x14ac:dyDescent="0.3">
      <c r="B16" s="3" t="s">
        <v>11</v>
      </c>
      <c r="C16" s="4" t="str">
        <f ca="1">_xll.DBR($C$13,$C$14,$B16)</f>
        <v>*KEY_ERR</v>
      </c>
      <c r="D16" s="5"/>
    </row>
    <row r="17" spans="2:8" hidden="1" outlineLevel="1" x14ac:dyDescent="0.3">
      <c r="B17" s="3" t="s">
        <v>12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28" t="s">
        <v>13</v>
      </c>
      <c r="C19" s="29"/>
      <c r="D19" s="30"/>
    </row>
    <row r="20" spans="2:8" hidden="1" outlineLevel="1" x14ac:dyDescent="0.3">
      <c r="B20" s="3" t="s">
        <v>14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15</v>
      </c>
      <c r="C21" s="7" t="str">
        <f ca="1">_xll.DBR($C$20,$B21,"value")</f>
        <v>*KEY_ERR</v>
      </c>
      <c r="D21" s="7"/>
    </row>
    <row r="22" spans="2:8" hidden="1" outlineLevel="1" x14ac:dyDescent="0.3">
      <c r="B22" s="3" t="s">
        <v>16</v>
      </c>
      <c r="C22" s="7" t="str">
        <f ca="1">_xll.DBR($C$20,$B22,"value")</f>
        <v>*KEY_ERR</v>
      </c>
      <c r="D22" s="7"/>
    </row>
    <row r="23" spans="2:8" hidden="1" outlineLevel="1" x14ac:dyDescent="0.3">
      <c r="B23" s="3" t="s">
        <v>17</v>
      </c>
      <c r="C23" s="7" t="str">
        <f ca="1">_xll.DBR($C$20,$B23,"value")</f>
        <v>*KEY_ERR</v>
      </c>
      <c r="D23" s="7"/>
    </row>
    <row r="24" spans="2:8" hidden="1" outlineLevel="1" x14ac:dyDescent="0.3">
      <c r="B24" s="3" t="s">
        <v>18</v>
      </c>
      <c r="C24" s="7" t="str">
        <f ca="1">_xll.DBR($C$20,$B24,"value")</f>
        <v>*KEY_ERR</v>
      </c>
      <c r="D24" s="7"/>
    </row>
    <row r="25" spans="2:8" hidden="1" outlineLevel="1" x14ac:dyDescent="0.3">
      <c r="B25" s="3" t="s">
        <v>19</v>
      </c>
      <c r="C25" s="7" t="str">
        <f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28" t="s">
        <v>29</v>
      </c>
      <c r="C27" s="29"/>
      <c r="D27" s="30"/>
    </row>
    <row r="28" spans="2:8" hidden="1" outlineLevel="1" x14ac:dyDescent="0.3">
      <c r="B28" s="3" t="s">
        <v>30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31</v>
      </c>
      <c r="C29" t="s">
        <v>55</v>
      </c>
      <c r="D29" s="7"/>
    </row>
    <row r="30" spans="2:8" hidden="1" outlineLevel="1" x14ac:dyDescent="0.3">
      <c r="B30" s="7"/>
      <c r="C30" s="3" t="s">
        <v>32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37</v>
      </c>
    </row>
    <row r="31" spans="2:8" hidden="1" outlineLevel="1" x14ac:dyDescent="0.3">
      <c r="B31" s="7" t="s">
        <v>38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3">
      <c r="B32" s="7" t="s">
        <v>39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5" hidden="1" outlineLevel="1" x14ac:dyDescent="0.3">
      <c r="B33" s="7" t="s">
        <v>40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5" hidden="1" outlineLevel="1" x14ac:dyDescent="0.3">
      <c r="B34" s="7" t="s">
        <v>41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5" hidden="1" outlineLevel="1" x14ac:dyDescent="0.3">
      <c r="B35" s="7" t="s">
        <v>42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5" hidden="1" outlineLevel="1" x14ac:dyDescent="0.3">
      <c r="B36" s="14" t="s">
        <v>44</v>
      </c>
      <c r="C36" s="15" t="s">
        <v>43</v>
      </c>
    </row>
    <row r="37" spans="2:15" ht="17.25" hidden="1" customHeight="1" outlineLevel="1" x14ac:dyDescent="0.3"/>
    <row r="38" spans="2:15" hidden="1" outlineLevel="1" x14ac:dyDescent="0.3">
      <c r="B38" s="28" t="s">
        <v>49</v>
      </c>
      <c r="C38" s="29"/>
      <c r="D38" s="30"/>
    </row>
    <row r="39" spans="2:15" hidden="1" outlineLevel="1" x14ac:dyDescent="0.3">
      <c r="B39" s="3" t="s">
        <v>20</v>
      </c>
      <c r="C39" s="7" t="str">
        <f ca="1">_xll.TM1RPTVIEW(db_name&amp;":}ElementAttributes_related entity:1", 0,TM1RPTFMTRNG,TM1RPTFMTIDCOL)</f>
        <v>dcceew_geus:}ElementAttributes_related entity:1</v>
      </c>
    </row>
    <row r="40" spans="2:15" hidden="1" outlineLevel="1" x14ac:dyDescent="0.3">
      <c r="B40" s="3" t="s">
        <v>21</v>
      </c>
      <c r="C40" s="7" t="str">
        <f ca="1">_xll.VIEW(db_name&amp;":}ElementAttributes_related entity","!","!")</f>
        <v>dcceew_geus:}ElementAttributes_related entity</v>
      </c>
    </row>
    <row r="41" spans="2:15" hidden="1" outlineLevel="1" x14ac:dyDescent="0.3">
      <c r="B41" s="3" t="s">
        <v>22</v>
      </c>
      <c r="C41" s="7" t="str">
        <f ca="1">IF($L$57="No",$C$42,$C$43)</f>
        <v>{TM1SUBSETALL( [related entity] )}</v>
      </c>
      <c r="D41" s="5"/>
    </row>
    <row r="42" spans="2:15" hidden="1" outlineLevel="1" x14ac:dyDescent="0.3">
      <c r="B42" s="3" t="s">
        <v>26</v>
      </c>
      <c r="C42" s="7" t="s">
        <v>47</v>
      </c>
    </row>
    <row r="43" spans="2:15" hidden="1" outlineLevel="1" x14ac:dyDescent="0.3">
      <c r="B43" s="3" t="s">
        <v>27</v>
      </c>
      <c r="C43" s="7" t="str">
        <f ca="1">"{TM1DRILLDOWNMEMBER( {[related entity].[" &amp; $L$56 &amp; "]}, ALL, RECURSIVE )}"</f>
        <v>{TM1DRILLDOWNMEMBER( {[related entity].[]}, ALL, RECURSIVE )}</v>
      </c>
    </row>
    <row r="44" spans="2:15" hidden="1" outlineLevel="1" x14ac:dyDescent="0.3"/>
    <row r="45" spans="2:15" hidden="1" outlineLevel="1" x14ac:dyDescent="0.3">
      <c r="J45" s="1" t="s">
        <v>28</v>
      </c>
      <c r="L45" s="2" t="s">
        <v>0</v>
      </c>
      <c r="M45" s="2" t="s">
        <v>1</v>
      </c>
      <c r="N45" s="2" t="s">
        <v>52</v>
      </c>
      <c r="O45" s="2" t="s">
        <v>53</v>
      </c>
    </row>
    <row r="46" spans="2:15" hidden="1" outlineLevel="1" x14ac:dyDescent="0.3"/>
    <row r="47" spans="2:15" hidden="1" outlineLevel="1" x14ac:dyDescent="0.3"/>
    <row r="48" spans="2:15" ht="39.75" customHeight="1" collapsed="1" x14ac:dyDescent="0.3">
      <c r="I48" s="16"/>
      <c r="J48" s="16"/>
      <c r="K48" s="16"/>
      <c r="L48" s="16"/>
      <c r="M48" s="16"/>
      <c r="N48" s="16"/>
      <c r="O48" s="16" t="s">
        <v>48</v>
      </c>
    </row>
    <row r="49" spans="1:15" ht="4.5" customHeight="1" x14ac:dyDescent="0.3"/>
    <row r="50" spans="1:15" ht="24" customHeight="1" x14ac:dyDescent="0.3">
      <c r="J50" s="1"/>
    </row>
    <row r="51" spans="1:15" ht="1.5" customHeight="1" x14ac:dyDescent="0.3">
      <c r="I51" s="16"/>
      <c r="J51" s="16"/>
      <c r="K51" s="16"/>
      <c r="L51" s="16"/>
      <c r="M51" s="16"/>
      <c r="N51" s="16"/>
      <c r="O51" s="16"/>
    </row>
    <row r="52" spans="1:15" x14ac:dyDescent="0.3">
      <c r="J52" s="27" t="s">
        <v>56</v>
      </c>
      <c r="K52" s="27"/>
      <c r="L52" s="27"/>
      <c r="M52" s="27"/>
    </row>
    <row r="53" spans="1:15" x14ac:dyDescent="0.3">
      <c r="J53" s="27" t="s">
        <v>57</v>
      </c>
      <c r="K53" s="27"/>
      <c r="L53" s="27"/>
      <c r="M53" s="27"/>
    </row>
    <row r="54" spans="1:15" ht="5.0999999999999996" customHeight="1" x14ac:dyDescent="0.3"/>
    <row r="55" spans="1:15" x14ac:dyDescent="0.3">
      <c r="L55" s="9" t="s">
        <v>25</v>
      </c>
    </row>
    <row r="56" spans="1:15" x14ac:dyDescent="0.3">
      <c r="J56" s="8" t="s">
        <v>50</v>
      </c>
      <c r="L56" s="23" t="str">
        <f ca="1">_xll.SUBNM(db_name&amp;":related entity","","Total related entity","code and description")</f>
        <v/>
      </c>
    </row>
    <row r="57" spans="1:15" x14ac:dyDescent="0.3">
      <c r="J57" s="8" t="s">
        <v>23</v>
      </c>
      <c r="L57" s="24" t="s">
        <v>24</v>
      </c>
    </row>
    <row r="58" spans="1:15" ht="5.0999999999999996" customHeight="1" x14ac:dyDescent="0.3"/>
    <row r="59" spans="1:15" ht="28.8" x14ac:dyDescent="0.3">
      <c r="J59" s="10" t="s">
        <v>54</v>
      </c>
      <c r="L59" s="11" t="s">
        <v>45</v>
      </c>
      <c r="M59" s="11" t="s">
        <v>46</v>
      </c>
      <c r="N59" s="11" t="s">
        <v>51</v>
      </c>
      <c r="O59" s="11" t="s">
        <v>53</v>
      </c>
    </row>
    <row r="60" spans="1:15" x14ac:dyDescent="0.3">
      <c r="A60" t="str">
        <f ca="1">IF(_xll.TM1RPTELISCONSOLIDATED($J$60,$J60),IF(_xll.TM1RPTELLEV($J$60,$J60)&lt;=3,_xll.TM1RPTELLEV($J$60,$J60),"D"),"N")</f>
        <v>N</v>
      </c>
      <c r="J60" s="26" t="str">
        <f ca="1">_xll.TM1RPTROW($C$39,db_name&amp;":related entity","","","",0,$C$41)</f>
        <v/>
      </c>
      <c r="L60" s="17" t="str">
        <f ca="1">_xll.DBRW($C$39,$J60,L$45)</f>
        <v/>
      </c>
      <c r="M60" s="17" t="str">
        <f ca="1">_xll.DBRW($C$39,$J60,M$45)</f>
        <v/>
      </c>
      <c r="N60" s="18" t="str">
        <f ca="1">_xll.DBRW($C$39,$J60,N$45)</f>
        <v/>
      </c>
      <c r="O60" s="18" t="str">
        <f ca="1">_xll.DBRW($C$39,$J60,O$45)</f>
        <v/>
      </c>
    </row>
  </sheetData>
  <sheetProtection sheet="1" objects="1" scenarios="1"/>
  <mergeCells count="6">
    <mergeCell ref="J53:M53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11</xdr:col>
                <xdr:colOff>1584960</xdr:colOff>
                <xdr:row>49</xdr:row>
                <xdr:rowOff>0</xdr:rowOff>
              </from>
              <to>
                <xdr:col>11</xdr:col>
                <xdr:colOff>2362200</xdr:colOff>
                <xdr:row>49</xdr:row>
                <xdr:rowOff>251460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14</xdr:col>
                <xdr:colOff>655320</xdr:colOff>
                <xdr:row>48</xdr:row>
                <xdr:rowOff>30480</xdr:rowOff>
              </from>
              <to>
                <xdr:col>14</xdr:col>
                <xdr:colOff>975360</xdr:colOff>
                <xdr:row>49</xdr:row>
                <xdr:rowOff>289560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60960</xdr:colOff>
                <xdr:row>49</xdr:row>
                <xdr:rowOff>0</xdr:rowOff>
              </from>
              <to>
                <xdr:col>11</xdr:col>
                <xdr:colOff>1554480</xdr:colOff>
                <xdr:row>49</xdr:row>
                <xdr:rowOff>251460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670560</xdr:colOff>
                <xdr:row>49</xdr:row>
                <xdr:rowOff>0</xdr:rowOff>
              </from>
              <to>
                <xdr:col>11</xdr:col>
                <xdr:colOff>0</xdr:colOff>
                <xdr:row>49</xdr:row>
                <xdr:rowOff>251460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8</xdr:col>
                <xdr:colOff>45720</xdr:colOff>
                <xdr:row>49</xdr:row>
                <xdr:rowOff>0</xdr:rowOff>
              </from>
              <to>
                <xdr:col>9</xdr:col>
                <xdr:colOff>632460</xdr:colOff>
                <xdr:row>49</xdr:row>
                <xdr:rowOff>251460</xdr:rowOff>
              </to>
            </anchor>
          </controlPr>
        </control>
      </mc:Choice>
      <mc:Fallback>
        <control shapeId="1025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2023-02-14T22:33:52Z</dcterms:modified>
</cp:coreProperties>
</file>