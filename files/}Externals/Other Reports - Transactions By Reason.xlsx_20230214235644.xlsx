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C96E2027-C1FB-4CB1-B035-C6D1665812D9}" xr6:coauthVersionLast="47" xr6:coauthVersionMax="47" xr10:uidLastSave="{00000000-0000-0000-0000-000000000000}"/>
  <bookViews>
    <workbookView xWindow="57480" yWindow="-1965" windowWidth="29040" windowHeight="15840" xr2:uid="{4EA6253A-1F11-4555-A509-CF4AAD06ADE0}"/>
  </bookViews>
  <sheets>
    <sheet name="reason" sheetId="1" r:id="rId1"/>
  </sheets>
  <definedNames>
    <definedName name="db_name">reason!$C$12</definedName>
    <definedName name="psApp">reason!$C$29</definedName>
    <definedName name="psHLYear">reason!$M$72</definedName>
    <definedName name="psScenario">reason!$M$73</definedName>
    <definedName name="psUser">reason!$C$14</definedName>
    <definedName name="TM1GrpViewAdj01HeaderCAP">reason!$D$40</definedName>
    <definedName name="TM1GrpViewAdj01HeaderWB">reason!$F$40</definedName>
    <definedName name="TM1GrpViewAdj01HeaderWS">reason!$H$40</definedName>
    <definedName name="TM1HomeAdminCAP">reason!$D$34</definedName>
    <definedName name="TM1HomeAdminWB">reason!$F$34</definedName>
    <definedName name="TM1HomeAdminWS">reason!$H$34</definedName>
    <definedName name="TM1HomeAECAP">reason!$D$32</definedName>
    <definedName name="TM1HomeAEWB">reason!$F$32</definedName>
    <definedName name="TM1HomeAEWS">reason!$H$32</definedName>
    <definedName name="TM1HomeCAP">reason!$D$31</definedName>
    <definedName name="TM1HomeRepAnalyticalCAP">reason!$D$36</definedName>
    <definedName name="TM1HomeRepAnalyticalWB">reason!$F$36</definedName>
    <definedName name="TM1HomeRepAnalyticalWS">reason!$H$36</definedName>
    <definedName name="TM1HomeRepCAP">reason!$D$33</definedName>
    <definedName name="TM1HomeRepOtherCAP">reason!$D$35</definedName>
    <definedName name="TM1HomeRepOtherWB">reason!$F$35</definedName>
    <definedName name="TM1HomeRepOtherWS">reason!$H$35</definedName>
    <definedName name="TM1HomeRepWB">reason!$F$33</definedName>
    <definedName name="TM1HomeRepWS">reason!$H$33</definedName>
    <definedName name="TM1HomeWB">reason!$F$31</definedName>
    <definedName name="TM1HomeWS">reason!$H$31</definedName>
    <definedName name="TM1OthRprTBalCAP">reason!$D$37</definedName>
    <definedName name="TM1OthRprTBalWB">reason!$F$37</definedName>
    <definedName name="TM1OthRprTBalWS">reason!$H$37</definedName>
    <definedName name="TM1OthRprTxnByReasonCAP">reason!$D$38</definedName>
    <definedName name="TM1OthRprTxnByReasonWB">reason!$F$38</definedName>
    <definedName name="TM1OthRprTxnByReasonWS">reason!$H$38</definedName>
    <definedName name="TM1REBUILDOPTION">1</definedName>
    <definedName name="TM1RPTDATARNG2" localSheetId="0">reason!$85:$85</definedName>
    <definedName name="TM1RPTFMTIDCOL" localSheetId="0">reason!$A$1:$A$8</definedName>
    <definedName name="TM1RPTFMTRNG" localSheetId="0">reason!$J$1:$W$8</definedName>
    <definedName name="TM1ViewAdj01HeaderCAP">reason!$D$39</definedName>
    <definedName name="TM1ViewAdj01HeaderWB">reason!$F$39</definedName>
    <definedName name="TM1ViewAdj01HeaderWS">reason!$H$39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C21" i="1" a="1"/>
  <c r="C21" i="1"/>
  <c r="M72" i="1"/>
  <c r="C22" i="1" a="1"/>
  <c r="C22" i="1"/>
  <c r="M73" i="1"/>
  <c r="C63" i="1" a="1"/>
  <c r="C63" i="1"/>
  <c r="C45" i="1"/>
  <c r="M74" i="1"/>
  <c r="C55" i="1"/>
  <c r="C56" i="1"/>
  <c r="C57" i="1"/>
  <c r="C60" i="1"/>
  <c r="C58" i="1"/>
  <c r="M76" i="1"/>
  <c r="M75" i="1"/>
  <c r="C59" i="1"/>
  <c r="N53" i="1"/>
  <c r="S53" i="1"/>
  <c r="R53" i="1"/>
  <c r="Q53" i="1"/>
  <c r="P53" i="1"/>
  <c r="O53" i="1"/>
  <c r="Q73" i="1" a="1"/>
  <c r="Q73" i="1"/>
  <c r="E52" i="1"/>
  <c r="C52" i="1"/>
  <c r="N85" i="1" a="1"/>
  <c r="N85" i="1"/>
  <c r="Q72" i="1" a="1"/>
  <c r="Q72" i="1"/>
  <c r="C51" i="1"/>
  <c r="M85" i="1" a="1"/>
  <c r="M85" i="1"/>
  <c r="C50" i="1"/>
  <c r="L85" i="1" a="1"/>
  <c r="L85" i="1"/>
  <c r="M77" i="1"/>
  <c r="E48" i="1"/>
  <c r="D48" i="1"/>
  <c r="C48" i="1"/>
  <c r="K85" i="1" a="1"/>
  <c r="K85" i="1"/>
  <c r="M78" i="1"/>
  <c r="E49" i="1"/>
  <c r="D49" i="1"/>
  <c r="C49" i="1"/>
  <c r="J85" i="1" a="1"/>
  <c r="J85" i="1"/>
  <c r="C28" i="1"/>
  <c r="C46" i="1" a="1"/>
  <c r="C46" i="1"/>
  <c r="C87" i="1"/>
  <c r="F87" i="1"/>
  <c r="E87" i="1"/>
  <c r="D87" i="1"/>
  <c r="S87" i="1" a="1"/>
  <c r="S87" i="1"/>
  <c r="R87" i="1" a="1"/>
  <c r="R87" i="1"/>
  <c r="Q87" i="1" a="1"/>
  <c r="Q87" i="1"/>
  <c r="P87" i="1" a="1"/>
  <c r="P87" i="1"/>
  <c r="O87" i="1" a="1"/>
  <c r="O87" i="1"/>
  <c r="U85" i="1" a="1"/>
  <c r="U85" i="1"/>
  <c r="T85" i="1" a="1"/>
  <c r="T85" i="1"/>
  <c r="S85" i="1" a="1"/>
  <c r="S85" i="1"/>
  <c r="R85" i="1" a="1"/>
  <c r="R85" i="1"/>
  <c r="Q85" i="1" a="1"/>
  <c r="Q85" i="1"/>
  <c r="P85" i="1" a="1"/>
  <c r="P85" i="1"/>
  <c r="O85" i="1" a="1"/>
  <c r="O85" i="1"/>
  <c r="A85" i="1" a="1"/>
  <c r="A85" i="1"/>
  <c r="C83" i="1"/>
  <c r="F83" i="1"/>
  <c r="E83" i="1"/>
  <c r="D83" i="1"/>
  <c r="S83" i="1" a="1"/>
  <c r="S83" i="1"/>
  <c r="R83" i="1" a="1"/>
  <c r="R83" i="1"/>
  <c r="Q83" i="1" a="1"/>
  <c r="Q83" i="1"/>
  <c r="P83" i="1" a="1"/>
  <c r="P83" i="1"/>
  <c r="O83" i="1" a="1"/>
  <c r="O83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U89" i="1"/>
  <c r="U80" i="1"/>
  <c r="S81" i="1"/>
  <c r="R81" i="1"/>
  <c r="Q81" i="1"/>
  <c r="P81" i="1"/>
  <c r="O81" i="1"/>
  <c r="F50" i="1"/>
  <c r="C17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<sst xmlns="http://schemas.openxmlformats.org/spreadsheetml/2006/main" count="98" uniqueCount="90">
  <si>
    <t>headline year</t>
  </si>
  <si>
    <t>related entity</t>
  </si>
  <si>
    <t>function</t>
  </si>
  <si>
    <t>spp</t>
  </si>
  <si>
    <t>appropriation type</t>
  </si>
  <si>
    <t>jurisdiction</t>
  </si>
  <si>
    <t>measure code</t>
  </si>
  <si>
    <t>D</t>
  </si>
  <si>
    <t>N</t>
  </si>
  <si>
    <t>[Begin Format Range]</t>
  </si>
  <si>
    <t>[End Format Range]</t>
  </si>
  <si>
    <t>Programme</t>
  </si>
  <si>
    <t>Outcome</t>
  </si>
  <si>
    <t>Appropriation</t>
  </si>
  <si>
    <t>Reason</t>
  </si>
  <si>
    <t>ID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</si>
  <si>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</si>
  <si>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</si>
  <si>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</si>
  <si>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</si>
  <si>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</si>
  <si>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</si>
  <si>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</si>
  <si>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</si>
  <si>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</si>
  <si>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</si>
  <si>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</si>
  <si>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</si>
  <si>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</si>
  <si>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</si>
  <si>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</si>
  <si>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</si>
  <si>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Other Reports - Trial Balance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</si>
  <si>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</si>
  <si>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</si>
  <si>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</si>
  <si>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</si>
  <si>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</si>
  <si>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</si>
  <si>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</si>
  <si>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</si>
  <si>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</si>
  <si>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</si>
  <si>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Reports - Other</t>
  </si>
  <si>
    <t>Application Formula (DO NOT DELETE)</t>
  </si>
  <si>
    <t>=DBR($C$28,$B35,C$30)</t>
  </si>
  <si>
    <t>Other Reports - Transactions By Reason</t>
  </si>
  <si>
    <t>AE Adjustments</t>
  </si>
  <si>
    <t>Active Form</t>
  </si>
  <si>
    <t>Slice</t>
  </si>
  <si>
    <t>To Use</t>
  </si>
  <si>
    <t>Collapse</t>
  </si>
  <si>
    <t>Expand</t>
  </si>
  <si>
    <t>Programme  MDX</t>
  </si>
  <si>
    <t>Outcome MDX</t>
  </si>
  <si>
    <t>Appropriation MDX</t>
  </si>
  <si>
    <t>Reason MDX</t>
  </si>
  <si>
    <t>ID MDX</t>
  </si>
  <si>
    <t xml:space="preserve"> DISPLAY SETTINGS</t>
  </si>
  <si>
    <t>Report Display :</t>
  </si>
  <si>
    <t>{[id].[New Adjustments]}</t>
  </si>
  <si>
    <t>Report ID :</t>
  </si>
  <si>
    <t>{TM1FILTERBYLEVEL( {TM1SUBSETALL( [reason] )}, 0)}</t>
  </si>
  <si>
    <t>{EXCEPT({DESCENDANTS ([appropriation item].[Total approp item],1,SELF_AND_BEFORE)},{[appropriation item].[Total approp item]})}</t>
  </si>
  <si>
    <t>{[appropriation item].[Total approp item]}</t>
  </si>
  <si>
    <t>AE Adjustments - Header Titles</t>
  </si>
  <si>
    <t>AE ID Details</t>
  </si>
  <si>
    <t xml:space="preserve">Scenario : </t>
  </si>
  <si>
    <t xml:space="preserve">Status : </t>
  </si>
  <si>
    <t xml:space="preserve">Outcome : </t>
  </si>
  <si>
    <t xml:space="preserve">Headline Year : </t>
  </si>
  <si>
    <t xml:space="preserve">Account : </t>
  </si>
  <si>
    <t xml:space="preserve">Movement Account : </t>
  </si>
  <si>
    <t xml:space="preserve">Program : </t>
  </si>
  <si>
    <t>REPORT PARAMETERS</t>
  </si>
  <si>
    <t>Index Change</t>
  </si>
  <si>
    <t>Opening Balance</t>
  </si>
  <si>
    <t xml:space="preserve">Appropriation </t>
  </si>
  <si>
    <t>0BASE</t>
  </si>
  <si>
    <t>Closing Balance</t>
  </si>
  <si>
    <t>Total IDs</t>
  </si>
  <si>
    <t>As at</t>
  </si>
  <si>
    <t>Adjustment Title</t>
  </si>
  <si>
    <t>Measure Code</t>
  </si>
  <si>
    <t>Transactions By Reason</t>
  </si>
  <si>
    <t>Data Entry - View Adj 01 - Header Details</t>
  </si>
  <si>
    <t>Group Data Entry - View Adj 01 - Header Details</t>
  </si>
  <si>
    <t>Homepage - Reports - Analytical</t>
  </si>
  <si>
    <t>Note: Click along these columns to drill/View and adjustment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</si>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</sst>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 &quot;@"/>
    <numFmt numFmtId="165" formatCode="_(* #,##0_);[Red]_(* \(#,##0\);_(* &quot;-&quot;??_);_(@_)"/>
    <numFmt numFmtId="166" formatCode="dd\ mmmm\ yyyy\ h: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26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0" borderId="0" xfId="0" applyFont="1"/>
    <xf numFmtId="0" fontId="3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3" borderId="4" xfId="0" applyFill="1" applyBorder="1"/>
    <xf numFmtId="0" fontId="0" fillId="3" borderId="4" xfId="0" quotePrefix="1" applyFill="1" applyBorder="1"/>
    <xf numFmtId="0" fontId="3" fillId="4" borderId="4" xfId="0" applyFont="1" applyFill="1" applyBorder="1" applyAlignment="1">
      <alignment horizontal="center"/>
    </xf>
    <xf numFmtId="0" fontId="3" fillId="0" borderId="0" xfId="0" applyFont="1" applyAlignment="1">
      <alignment horizontal="right" indent="1"/>
    </xf>
    <xf numFmtId="0" fontId="0" fillId="6" borderId="7" xfId="0" applyFill="1" applyBorder="1" applyAlignment="1" applyProtection="1">
      <alignment horizontal="center" vertical="center"/>
      <protection locked="0"/>
    </xf>
    <xf numFmtId="0" fontId="5" fillId="0" borderId="4" xfId="0" applyFont="1" applyBorder="1"/>
    <xf numFmtId="165" fontId="5" fillId="0" borderId="4" xfId="0" applyNumberFormat="1" applyFont="1" applyBorder="1"/>
    <xf numFmtId="0" fontId="6" fillId="7" borderId="4" xfId="0" applyFont="1" applyFill="1" applyBorder="1"/>
    <xf numFmtId="165" fontId="6" fillId="7" borderId="4" xfId="0" applyNumberFormat="1" applyFont="1" applyFill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5" borderId="5" xfId="0" applyFont="1" applyFill="1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165" fontId="6" fillId="0" borderId="8" xfId="0" applyNumberFormat="1" applyFont="1" applyBorder="1"/>
    <xf numFmtId="0" fontId="0" fillId="0" borderId="0" xfId="0" quotePrefix="1"/>
    <xf numFmtId="0" fontId="8" fillId="8" borderId="0" xfId="0" applyFont="1" applyFill="1" applyAlignment="1">
      <alignment horizontal="right" vertical="center"/>
    </xf>
    <xf numFmtId="166" fontId="3" fillId="0" borderId="0" xfId="0" applyNumberFormat="1" applyFont="1" applyAlignment="1">
      <alignment horizontal="left"/>
    </xf>
    <xf numFmtId="0" fontId="1" fillId="0" borderId="4" xfId="1" applyBorder="1"/>
    <xf numFmtId="0" fontId="0" fillId="0" borderId="4" xfId="0" applyBorder="1" applyAlignment="1" applyProtection="1">
      <alignment horizontal="left" indent="1"/>
      <protection locked="0"/>
    </xf>
    <xf numFmtId="164" fontId="6" fillId="7" borderId="4" xfId="0" applyNumberFormat="1" applyFont="1" applyFill="1" applyBorder="1"/>
    <xf numFmtId="49" fontId="6" fillId="7" borderId="4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2">
    <cellStyle name="Normal" xfId="0" builtinId="0"/>
    <cellStyle name="Normal 3" xfId="1" xr:uid="{6A8BDC5F-397F-42F8-8A6A-B0EA5AB1FD3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65</xdr:row>
      <xdr:rowOff>28575</xdr:rowOff>
    </xdr:from>
    <xdr:to>
      <xdr:col>10</xdr:col>
      <xdr:colOff>398145</xdr:colOff>
      <xdr:row>65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67</xdr:row>
          <xdr:rowOff>0</xdr:rowOff>
        </xdr:from>
        <xdr:to>
          <xdr:col>9</xdr:col>
          <xdr:colOff>647700</xdr:colOff>
          <xdr:row>67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685800</xdr:colOff>
          <xdr:row>67</xdr:row>
          <xdr:rowOff>0</xdr:rowOff>
        </xdr:from>
        <xdr:to>
          <xdr:col>10</xdr:col>
          <xdr:colOff>121920</xdr:colOff>
          <xdr:row>67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152400</xdr:colOff>
          <xdr:row>67</xdr:row>
          <xdr:rowOff>0</xdr:rowOff>
        </xdr:from>
        <xdr:to>
          <xdr:col>10</xdr:col>
          <xdr:colOff>1508760</xdr:colOff>
          <xdr:row>67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1143000</xdr:colOff>
          <xdr:row>67</xdr:row>
          <xdr:rowOff>0</xdr:rowOff>
        </xdr:from>
        <xdr:to>
          <xdr:col>11</xdr:col>
          <xdr:colOff>1927860</xdr:colOff>
          <xdr:row>67</xdr:row>
          <xdr:rowOff>251460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525780</xdr:colOff>
          <xdr:row>66</xdr:row>
          <xdr:rowOff>30480</xdr:rowOff>
        </xdr:from>
        <xdr:to>
          <xdr:col>18</xdr:col>
          <xdr:colOff>838200</xdr:colOff>
          <xdr:row>67</xdr:row>
          <xdr:rowOff>289560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381000</xdr:colOff>
          <xdr:row>67</xdr:row>
          <xdr:rowOff>0</xdr:rowOff>
        </xdr:from>
        <xdr:to>
          <xdr:col>11</xdr:col>
          <xdr:colOff>1112520</xdr:colOff>
          <xdr:row>67</xdr:row>
          <xdr:rowOff>251460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1524000</xdr:colOff>
          <xdr:row>67</xdr:row>
          <xdr:rowOff>0</xdr:rowOff>
        </xdr:from>
        <xdr:to>
          <xdr:col>11</xdr:col>
          <xdr:colOff>365760</xdr:colOff>
          <xdr:row>67</xdr:row>
          <xdr:rowOff>251460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750D-5A6B-499C-B4B8-4E3BCE0A7940}">
  <sheetPr codeName="Sheet1">
    <outlinePr showOutlineSymbols="0"/>
    <pageSetUpPr fitToPage="1"/>
  </sheetPr>
  <dimension ref="A1:U89"/>
  <sheetViews>
    <sheetView showGridLines="0" showRowColHeaders="0" tabSelected="1" showOutlineSymbols="0" topLeftCell="A66" workbookViewId="0">
      <pane ySplit="17" topLeftCell="A83" activePane="bottomLeft" state="frozen"/>
      <selection activeCell="I66" sqref="I66"/>
      <selection pane="bottomLeft"/>
    </sheetView>
  </sheetViews>
  <sheetFormatPr defaultRowHeight="14.4" outlineLevelRow="1" outlineLevelCol="1" x14ac:dyDescent="0.3"/>
  <cols>
    <col min="1" max="1" width="2.6640625" hidden="1" customWidth="1" outlineLevel="1"/>
    <col min="2" max="8" width="22.88671875" hidden="1" customWidth="1" outlineLevel="1"/>
    <col min="9" max="9" width="0.88671875" customWidth="1" collapsed="1"/>
    <col min="10" max="10" width="20.6640625" customWidth="1"/>
    <col min="11" max="11" width="40.6640625" customWidth="1"/>
    <col min="12" max="13" width="38.6640625" customWidth="1"/>
    <col min="14" max="14" width="15.6640625" customWidth="1"/>
    <col min="15" max="19" width="12.6640625" customWidth="1"/>
    <col min="20" max="20" width="50.6640625" customWidth="1"/>
    <col min="21" max="21" width="33.33203125" customWidth="1"/>
  </cols>
  <sheetData>
    <row r="1" spans="1:21" hidden="1" outlineLevel="1" x14ac:dyDescent="0.3">
      <c r="A1" t="s">
        <v>9</v>
      </c>
    </row>
    <row r="2" spans="1:21" hidden="1" outlineLevel="1" x14ac:dyDescent="0.3">
      <c r="A2">
        <f>0</f>
        <v>0</v>
      </c>
      <c r="J2" s="14"/>
      <c r="K2" s="14"/>
      <c r="L2" s="14"/>
      <c r="M2" s="14"/>
      <c r="N2" s="14"/>
      <c r="O2" s="15"/>
      <c r="P2" s="15"/>
      <c r="Q2" s="15"/>
      <c r="R2" s="15"/>
      <c r="S2" s="15"/>
      <c r="T2" s="14"/>
      <c r="U2" s="14"/>
    </row>
    <row r="3" spans="1:21" hidden="1" outlineLevel="1" x14ac:dyDescent="0.3">
      <c r="A3">
        <f>1</f>
        <v>1</v>
      </c>
      <c r="J3" s="12"/>
      <c r="K3" s="12"/>
      <c r="L3" s="12"/>
      <c r="M3" s="12"/>
      <c r="N3" s="12"/>
      <c r="O3" s="13"/>
      <c r="P3" s="13"/>
      <c r="Q3" s="13"/>
      <c r="R3" s="13"/>
      <c r="S3" s="13"/>
      <c r="T3" s="12"/>
      <c r="U3" s="12"/>
    </row>
    <row r="4" spans="1:21" hidden="1" outlineLevel="1" x14ac:dyDescent="0.3">
      <c r="A4">
        <f>2</f>
        <v>2</v>
      </c>
      <c r="J4" s="12"/>
      <c r="K4" s="12"/>
      <c r="L4" s="12"/>
      <c r="M4" s="12"/>
      <c r="N4" s="12"/>
      <c r="O4" s="13"/>
      <c r="P4" s="13"/>
      <c r="Q4" s="13"/>
      <c r="R4" s="13"/>
      <c r="S4" s="13"/>
      <c r="T4" s="12"/>
      <c r="U4" s="12"/>
    </row>
    <row r="5" spans="1:21" hidden="1" outlineLevel="1" x14ac:dyDescent="0.3">
      <c r="A5">
        <f>3</f>
        <v>3</v>
      </c>
      <c r="J5" s="12"/>
      <c r="K5" s="12"/>
      <c r="L5" s="12"/>
      <c r="M5" s="12"/>
      <c r="N5" s="12"/>
      <c r="O5" s="13"/>
      <c r="P5" s="13"/>
      <c r="Q5" s="13"/>
      <c r="R5" s="13"/>
      <c r="S5" s="13"/>
      <c r="T5" s="12"/>
      <c r="U5" s="12"/>
    </row>
    <row r="6" spans="1:21" hidden="1" outlineLevel="1" x14ac:dyDescent="0.3">
      <c r="A6" t="s">
        <v>7</v>
      </c>
      <c r="J6" s="12"/>
      <c r="K6" s="12"/>
      <c r="L6" s="12"/>
      <c r="M6" s="12"/>
      <c r="N6" s="12"/>
      <c r="O6" s="13"/>
      <c r="P6" s="13"/>
      <c r="Q6" s="13"/>
      <c r="R6" s="13"/>
      <c r="S6" s="13"/>
      <c r="T6" s="12"/>
      <c r="U6" s="12"/>
    </row>
    <row r="7" spans="1:21" hidden="1" outlineLevel="1" x14ac:dyDescent="0.3">
      <c r="A7" t="s">
        <v>8</v>
      </c>
      <c r="J7" s="12"/>
      <c r="K7" s="12"/>
      <c r="L7" s="12"/>
      <c r="M7" s="12"/>
      <c r="N7" s="12"/>
      <c r="O7" s="13"/>
      <c r="P7" s="13"/>
      <c r="Q7" s="13"/>
      <c r="R7" s="13"/>
      <c r="S7" s="13"/>
      <c r="T7" s="12"/>
      <c r="U7" s="12"/>
    </row>
    <row r="8" spans="1:21" hidden="1" outlineLevel="1" x14ac:dyDescent="0.3">
      <c r="A8" t="s">
        <v>10</v>
      </c>
    </row>
    <row r="9" spans="1:21" hidden="1" outlineLevel="1" x14ac:dyDescent="0.3"/>
    <row r="10" spans="1:21" hidden="1" outlineLevel="1" x14ac:dyDescent="0.3"/>
    <row r="11" spans="1:21" hidden="1" outlineLevel="1" x14ac:dyDescent="0.3">
      <c r="B11" s="28" t="s">
        <v>16</v>
      </c>
      <c r="C11" s="29"/>
      <c r="D11" s="30"/>
    </row>
    <row r="12" spans="1:21" hidden="1" outlineLevel="1" x14ac:dyDescent="0.3">
      <c r="B12" s="2" t="s">
        <v>17</v>
      </c>
      <c r="C12" s="3" t="s">
        <v>89</v>
      </c>
      <c r="D12" s="4"/>
    </row>
    <row r="13" spans="1:21" hidden="1" outlineLevel="1" x14ac:dyDescent="0.3">
      <c r="B13" s="2" t="s">
        <v>18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21" hidden="1" outlineLevel="1" x14ac:dyDescent="0.3">
      <c r="B14" s="2" t="s">
        <v>19</v>
      </c>
      <c r="C14" s="3" t="str" cm="1">
        <f t="array" aca="1" ref="C14" ca="1">_xll.TM1USER(db_name)</f>
        <v/>
      </c>
      <c r="D14" s="4"/>
    </row>
    <row r="15" spans="1:21" hidden="1" outlineLevel="1" x14ac:dyDescent="0.3">
      <c r="B15" s="2" t="s">
        <v>20</v>
      </c>
      <c r="C15" s="3" t="str" cm="1">
        <f t="array" aca="1" ref="C15" ca="1">_xll.DBR($C$13,$C$14,$B15)</f>
        <v>*KEY_ERR</v>
      </c>
      <c r="D15" s="4"/>
    </row>
    <row r="16" spans="1:21" hidden="1" outlineLevel="1" x14ac:dyDescent="0.3">
      <c r="B16" s="2" t="s">
        <v>21</v>
      </c>
      <c r="C16" s="3" t="str" cm="1">
        <f t="array" aca="1" ref="C16" ca="1">_xll.DBR($C$13,$C$14,$B16)</f>
        <v>*KEY_ERR</v>
      </c>
      <c r="D16" s="4"/>
    </row>
    <row r="17" spans="2:8" hidden="1" outlineLevel="1" x14ac:dyDescent="0.3">
      <c r="B17" s="2" t="s">
        <v>22</v>
      </c>
      <c r="C17" s="3" t="str">
        <f ca="1">IF(LEFT($C$15,6)="CAM_AD",$C$16,$C$15)</f>
        <v>*KEY_ERR</v>
      </c>
      <c r="D17" s="6"/>
    </row>
    <row r="18" spans="2:8" hidden="1" outlineLevel="1" x14ac:dyDescent="0.3"/>
    <row r="19" spans="2:8" hidden="1" outlineLevel="1" x14ac:dyDescent="0.3">
      <c r="B19" s="28" t="s">
        <v>23</v>
      </c>
      <c r="C19" s="29"/>
      <c r="D19" s="30"/>
    </row>
    <row r="20" spans="2:8" hidden="1" outlineLevel="1" x14ac:dyDescent="0.3">
      <c r="B20" s="2" t="s">
        <v>24</v>
      </c>
      <c r="C20" s="6" t="str" cm="1">
        <f t="array" aca="1" ref="C20" ca="1">_xll.VIEW(db_name&amp;":}ElementAttributes_variables","!","!")</f>
        <v>dcceew_geus:}ElementAttributes_variables</v>
      </c>
      <c r="D20" s="6"/>
    </row>
    <row r="21" spans="2:8" hidden="1" outlineLevel="1" x14ac:dyDescent="0.3">
      <c r="B21" s="2" t="s">
        <v>0</v>
      </c>
      <c r="C21" s="6" t="str" cm="1">
        <f t="array" aca="1" ref="C21" ca="1">_xll.DBR($C$20,$B21,"value")</f>
        <v>*KEY_ERR</v>
      </c>
      <c r="D21" s="6"/>
    </row>
    <row r="22" spans="2:8" hidden="1" outlineLevel="1" x14ac:dyDescent="0.3">
      <c r="B22" s="2" t="s">
        <v>25</v>
      </c>
      <c r="C22" s="6" t="str" cm="1">
        <f t="array" aca="1" ref="C22" ca="1">_xll.DBR($C$20,$B22,"value")</f>
        <v>*KEY_ERR</v>
      </c>
      <c r="D22" s="6"/>
    </row>
    <row r="23" spans="2:8" hidden="1" outlineLevel="1" x14ac:dyDescent="0.3">
      <c r="B23" s="2" t="s">
        <v>26</v>
      </c>
      <c r="C23" s="6" t="str" cm="1">
        <f t="array" aca="1" ref="C23" ca="1">_xll.DBR($C$20,$B23,"value")</f>
        <v>*KEY_ERR</v>
      </c>
      <c r="D23" s="6"/>
    </row>
    <row r="24" spans="2:8" hidden="1" outlineLevel="1" x14ac:dyDescent="0.3">
      <c r="B24" s="2" t="s">
        <v>27</v>
      </c>
      <c r="C24" s="6" t="str" cm="1">
        <f t="array" aca="1" ref="C24" ca="1">_xll.DBR($C$20,$B24,"value")</f>
        <v>*KEY_ERR</v>
      </c>
      <c r="D24" s="6"/>
    </row>
    <row r="25" spans="2:8" hidden="1" outlineLevel="1" x14ac:dyDescent="0.3">
      <c r="B25" s="2" t="s">
        <v>28</v>
      </c>
      <c r="C25" s="6" t="str" cm="1">
        <f t="array" aca="1" ref="C25" ca="1">_xll.DBR($C$20,$B25,"value")</f>
        <v>*KEY_ERR</v>
      </c>
      <c r="D25" s="6"/>
    </row>
    <row r="26" spans="2:8" hidden="1" outlineLevel="1" x14ac:dyDescent="0.3"/>
    <row r="27" spans="2:8" hidden="1" outlineLevel="1" x14ac:dyDescent="0.3">
      <c r="B27" s="28" t="s">
        <v>29</v>
      </c>
      <c r="C27" s="29"/>
      <c r="D27" s="30"/>
    </row>
    <row r="28" spans="2:8" hidden="1" outlineLevel="1" x14ac:dyDescent="0.3">
      <c r="B28" s="2" t="s">
        <v>30</v>
      </c>
      <c r="C28" s="6" t="str">
        <f ca="1">_xll.VIEW(db_name&amp;":sys_application","!","!")</f>
        <v>dcceew_geus:sys_application</v>
      </c>
      <c r="D28" s="6"/>
    </row>
    <row r="29" spans="2:8" hidden="1" outlineLevel="1" x14ac:dyDescent="0.3">
      <c r="B29" s="2" t="s">
        <v>31</v>
      </c>
      <c r="C29" t="s">
        <v>46</v>
      </c>
      <c r="D29" s="6"/>
    </row>
    <row r="30" spans="2:8" hidden="1" outlineLevel="1" x14ac:dyDescent="0.3">
      <c r="B30" s="6"/>
      <c r="C30" s="2" t="s">
        <v>33</v>
      </c>
      <c r="D30" s="2" t="s">
        <v>34</v>
      </c>
      <c r="E30" s="2" t="s">
        <v>35</v>
      </c>
      <c r="F30" s="2" t="s">
        <v>36</v>
      </c>
      <c r="G30" s="2" t="s">
        <v>37</v>
      </c>
      <c r="H30" s="2" t="s">
        <v>38</v>
      </c>
    </row>
    <row r="31" spans="2:8" hidden="1" outlineLevel="1" x14ac:dyDescent="0.3">
      <c r="B31" s="6" t="s">
        <v>39</v>
      </c>
      <c r="C31" s="6" t="str" cm="1">
        <f t="array" aca="1" ref="C31" ca="1">_xll.DBR($C$28,$B31,C$30)</f>
        <v>*KEY_ERR</v>
      </c>
      <c r="D31" s="6" t="str" cm="1">
        <f t="array" aca="1" ref="D31" ca="1">_xll.DBR($C$28,$B31,D$30)</f>
        <v>*KEY_ERR</v>
      </c>
      <c r="E31" s="6" t="str" cm="1">
        <f t="array" aca="1" ref="E31" ca="1">_xll.DBR($C$28,$B31,E$30)</f>
        <v>*KEY_ERR</v>
      </c>
      <c r="F31" s="6" t="str" cm="1">
        <f t="array" aca="1" ref="F31" ca="1">_xll.DBR($C$28,$B31,F$30)</f>
        <v>*KEY_ERR</v>
      </c>
      <c r="G31" s="6" t="str" cm="1">
        <f t="array" aca="1" ref="G31" ca="1">_xll.DBR($C$28,$B31,G$30)</f>
        <v>*KEY_ERR</v>
      </c>
      <c r="H31" s="6" t="str" cm="1">
        <f t="array" aca="1" ref="H31" ca="1">_xll.DBR($C$28,$B31,H$30)</f>
        <v>*KEY_ERR</v>
      </c>
    </row>
    <row r="32" spans="2:8" hidden="1" outlineLevel="1" x14ac:dyDescent="0.3">
      <c r="B32" s="6" t="s">
        <v>40</v>
      </c>
      <c r="C32" s="6" t="str" cm="1">
        <f t="array" aca="1" ref="C32" ca="1">_xll.DBR($C$28,$B32,C$30)</f>
        <v>*KEY_ERR</v>
      </c>
      <c r="D32" s="6" t="str" cm="1">
        <f t="array" aca="1" ref="D32" ca="1">_xll.DBR($C$28,$B32,D$30)</f>
        <v>*KEY_ERR</v>
      </c>
      <c r="E32" s="6" t="str" cm="1">
        <f t="array" aca="1" ref="E32" ca="1">_xll.DBR($C$28,$B32,E$30)</f>
        <v>*KEY_ERR</v>
      </c>
      <c r="F32" s="6" t="str" cm="1">
        <f t="array" aca="1" ref="F32" ca="1">_xll.DBR($C$28,$B32,F$30)</f>
        <v>*KEY_ERR</v>
      </c>
      <c r="G32" s="6" t="str" cm="1">
        <f t="array" aca="1" ref="G32" ca="1">_xll.DBR($C$28,$B32,G$30)</f>
        <v>*KEY_ERR</v>
      </c>
      <c r="H32" s="6" t="str" cm="1">
        <f t="array" aca="1" ref="H32" ca="1">_xll.DBR($C$28,$B32,H$30)</f>
        <v>*KEY_ERR</v>
      </c>
    </row>
    <row r="33" spans="2:8" hidden="1" outlineLevel="1" x14ac:dyDescent="0.3">
      <c r="B33" s="6" t="s">
        <v>41</v>
      </c>
      <c r="C33" s="6" t="str" cm="1">
        <f t="array" aca="1" ref="C33" ca="1">_xll.DBR($C$28,$B33,C$30)</f>
        <v>*KEY_ERR</v>
      </c>
      <c r="D33" s="6" t="str" cm="1">
        <f t="array" aca="1" ref="D33" ca="1">_xll.DBR($C$28,$B33,D$30)</f>
        <v>*KEY_ERR</v>
      </c>
      <c r="E33" s="6" t="str" cm="1">
        <f t="array" aca="1" ref="E33" ca="1">_xll.DBR($C$28,$B33,E$30)</f>
        <v>*KEY_ERR</v>
      </c>
      <c r="F33" s="6" t="str" cm="1">
        <f t="array" aca="1" ref="F33" ca="1">_xll.DBR($C$28,$B33,F$30)</f>
        <v>*KEY_ERR</v>
      </c>
      <c r="G33" s="6" t="str" cm="1">
        <f t="array" aca="1" ref="G33" ca="1">_xll.DBR($C$28,$B33,G$30)</f>
        <v>*KEY_ERR</v>
      </c>
      <c r="H33" s="6" t="str" cm="1">
        <f t="array" aca="1" ref="H33" ca="1">_xll.DBR($C$28,$B33,H$30)</f>
        <v>*KEY_ERR</v>
      </c>
    </row>
    <row r="34" spans="2:8" hidden="1" outlineLevel="1" x14ac:dyDescent="0.3">
      <c r="B34" s="6" t="s">
        <v>42</v>
      </c>
      <c r="C34" s="6" t="str" cm="1">
        <f t="array" aca="1" ref="C34" ca="1">_xll.DBR($C$28,$B34,C$30)</f>
        <v>*KEY_ERR</v>
      </c>
      <c r="D34" s="6" t="str" cm="1">
        <f t="array" aca="1" ref="D34" ca="1">_xll.DBR($C$28,$B34,D$30)</f>
        <v>*KEY_ERR</v>
      </c>
      <c r="E34" s="6" t="str" cm="1">
        <f t="array" aca="1" ref="E34" ca="1">_xll.DBR($C$28,$B34,E$30)</f>
        <v>*KEY_ERR</v>
      </c>
      <c r="F34" s="6" t="str" cm="1">
        <f t="array" aca="1" ref="F34" ca="1">_xll.DBR($C$28,$B34,F$30)</f>
        <v>*KEY_ERR</v>
      </c>
      <c r="G34" s="6" t="str" cm="1">
        <f t="array" aca="1" ref="G34" ca="1">_xll.DBR($C$28,$B34,G$30)</f>
        <v>*KEY_ERR</v>
      </c>
      <c r="H34" s="6" t="str" cm="1">
        <f t="array" aca="1" ref="H34" ca="1">_xll.DBR($C$28,$B34,H$30)</f>
        <v>*KEY_ERR</v>
      </c>
    </row>
    <row r="35" spans="2:8" hidden="1" outlineLevel="1" x14ac:dyDescent="0.3">
      <c r="B35" s="6" t="s">
        <v>43</v>
      </c>
      <c r="C35" s="6" t="str" cm="1">
        <f t="array" aca="1" ref="C35" ca="1">_xll.DBR($C$28,$B35,C$30)</f>
        <v>*KEY_ERR</v>
      </c>
      <c r="D35" s="6" t="str" cm="1">
        <f t="array" aca="1" ref="D35" ca="1">_xll.DBR($C$28,$B35,D$30)</f>
        <v>*KEY_ERR</v>
      </c>
      <c r="E35" s="6" t="str" cm="1">
        <f t="array" aca="1" ref="E35" ca="1">_xll.DBR($C$28,$B35,E$30)</f>
        <v>*KEY_ERR</v>
      </c>
      <c r="F35" s="6" t="str" cm="1">
        <f t="array" aca="1" ref="F35" ca="1">_xll.DBR($C$28,$B35,F$30)</f>
        <v>*KEY_ERR</v>
      </c>
      <c r="G35" s="6" t="str" cm="1">
        <f t="array" aca="1" ref="G35" ca="1">_xll.DBR($C$28,$B35,G$30)</f>
        <v>*KEY_ERR</v>
      </c>
      <c r="H35" s="6" t="str" cm="1">
        <f t="array" aca="1" ref="H35" ca="1">_xll.DBR($C$28,$B35,H$30)</f>
        <v>*KEY_ERR</v>
      </c>
    </row>
    <row r="36" spans="2:8" hidden="1" outlineLevel="1" x14ac:dyDescent="0.3">
      <c r="B36" s="6" t="s">
        <v>87</v>
      </c>
      <c r="C36" s="6" t="str" cm="1">
        <f t="array" aca="1" ref="C36" ca="1">_xll.DBR($C$28,$B36,C$30)</f>
        <v>*KEY_ERR</v>
      </c>
      <c r="D36" s="6" t="str" cm="1">
        <f t="array" aca="1" ref="D36" ca="1">_xll.DBR($C$28,$B36,D$30)</f>
        <v>*KEY_ERR</v>
      </c>
      <c r="E36" s="6" t="str" cm="1">
        <f t="array" aca="1" ref="E36" ca="1">_xll.DBR($C$28,$B36,E$30)</f>
        <v>*KEY_ERR</v>
      </c>
      <c r="F36" s="6" t="str" cm="1">
        <f t="array" aca="1" ref="F36" ca="1">_xll.DBR($C$28,$B36,F$30)</f>
        <v>*KEY_ERR</v>
      </c>
      <c r="G36" s="6" t="str" cm="1">
        <f t="array" aca="1" ref="G36" ca="1">_xll.DBR($C$28,$B36,G$30)</f>
        <v>*KEY_ERR</v>
      </c>
      <c r="H36" s="6" t="str" cm="1">
        <f t="array" aca="1" ref="H36" ca="1">_xll.DBR($C$28,$B36,H$30)</f>
        <v>*KEY_ERR</v>
      </c>
    </row>
    <row r="37" spans="2:8" hidden="1" outlineLevel="1" x14ac:dyDescent="0.3">
      <c r="B37" s="6" t="s">
        <v>32</v>
      </c>
      <c r="C37" s="6" t="str" cm="1">
        <f t="array" aca="1" ref="C37" ca="1">_xll.DBR($C$28,$B37,C$30)</f>
        <v>*KEY_ERR</v>
      </c>
      <c r="D37" s="6" t="str" cm="1">
        <f t="array" aca="1" ref="D37" ca="1">_xll.DBR($C$28,$B37,D$30)</f>
        <v>*KEY_ERR</v>
      </c>
      <c r="E37" s="6" t="str" cm="1">
        <f t="array" aca="1" ref="E37" ca="1">_xll.DBR($C$28,$B37,E$30)</f>
        <v>*KEY_ERR</v>
      </c>
      <c r="F37" s="6" t="str" cm="1">
        <f t="array" aca="1" ref="F37" ca="1">_xll.DBR($C$28,$B37,F$30)</f>
        <v>*KEY_ERR</v>
      </c>
      <c r="G37" s="6" t="str" cm="1">
        <f t="array" aca="1" ref="G37" ca="1">_xll.DBR($C$28,$B37,G$30)</f>
        <v>*KEY_ERR</v>
      </c>
      <c r="H37" s="6" t="str" cm="1">
        <f t="array" aca="1" ref="H37" ca="1">_xll.DBR($C$28,$B37,H$30)</f>
        <v>*KEY_ERR</v>
      </c>
    </row>
    <row r="38" spans="2:8" ht="15.75" hidden="1" customHeight="1" outlineLevel="1" x14ac:dyDescent="0.3">
      <c r="B38" s="6" t="s">
        <v>46</v>
      </c>
      <c r="C38" s="6" t="str" cm="1">
        <f t="array" aca="1" ref="C38" ca="1">_xll.DBR($C$28,$B38,C$30)</f>
        <v>*KEY_ERR</v>
      </c>
      <c r="D38" s="6" t="str" cm="1">
        <f t="array" aca="1" ref="D38" ca="1">_xll.DBR($C$28,$B38,D$30)</f>
        <v>*KEY_ERR</v>
      </c>
      <c r="E38" s="6" t="str" cm="1">
        <f t="array" aca="1" ref="E38" ca="1">_xll.DBR($C$28,$B38,E$30)</f>
        <v>*KEY_ERR</v>
      </c>
      <c r="F38" s="6" t="str" cm="1">
        <f t="array" aca="1" ref="F38" ca="1">_xll.DBR($C$28,$B38,F$30)</f>
        <v>*KEY_ERR</v>
      </c>
      <c r="G38" s="6" t="str" cm="1">
        <f t="array" aca="1" ref="G38" ca="1">_xll.DBR($C$28,$B38,G$30)</f>
        <v>*KEY_ERR</v>
      </c>
      <c r="H38" s="6" t="str" cm="1">
        <f t="array" aca="1" ref="H38" ca="1">_xll.DBR($C$28,$B38,H$30)</f>
        <v>*KEY_ERR</v>
      </c>
    </row>
    <row r="39" spans="2:8" ht="15.75" hidden="1" customHeight="1" outlineLevel="1" x14ac:dyDescent="0.3">
      <c r="B39" s="6" t="s">
        <v>85</v>
      </c>
      <c r="C39" s="6" t="str" cm="1">
        <f t="array" aca="1" ref="C39" ca="1">_xll.DBR($C$28,$B39,C$30)</f>
        <v>*KEY_ERR</v>
      </c>
      <c r="D39" s="6" t="str" cm="1">
        <f t="array" aca="1" ref="D39" ca="1">_xll.DBR($C$28,$B39,D$30)</f>
        <v>*KEY_ERR</v>
      </c>
      <c r="E39" s="6" t="str" cm="1">
        <f t="array" aca="1" ref="E39" ca="1">_xll.DBR($C$28,$B39,E$30)</f>
        <v>*KEY_ERR</v>
      </c>
      <c r="F39" s="6" t="str" cm="1">
        <f t="array" aca="1" ref="F39" ca="1">_xll.DBR($C$28,$B39,F$30)</f>
        <v>*KEY_ERR</v>
      </c>
      <c r="G39" s="6" t="str" cm="1">
        <f t="array" aca="1" ref="G39" ca="1">_xll.DBR($C$28,$B39,G$30)</f>
        <v>*KEY_ERR</v>
      </c>
      <c r="H39" s="6" t="str" cm="1">
        <f t="array" aca="1" ref="H39" ca="1">_xll.DBR($C$28,$B39,H$30)</f>
        <v>*KEY_ERR</v>
      </c>
    </row>
    <row r="40" spans="2:8" ht="15.75" hidden="1" customHeight="1" outlineLevel="1" x14ac:dyDescent="0.3">
      <c r="B40" s="24" t="s">
        <v>86</v>
      </c>
      <c r="C40" s="6" t="str" cm="1">
        <f t="array" aca="1" ref="C40" ca="1">_xll.DBR($C$28,$B40,C$30)</f>
        <v>*KEY_ERR</v>
      </c>
      <c r="D40" s="6" t="str" cm="1">
        <f t="array" aca="1" ref="D40" ca="1">_xll.DBR($C$28,$B40,D$30)</f>
        <v>*KEY_ERR</v>
      </c>
      <c r="E40" s="6" t="str" cm="1">
        <f t="array" aca="1" ref="E40" ca="1">_xll.DBR($C$28,$B40,E$30)</f>
        <v>*KEY_ERR</v>
      </c>
      <c r="F40" s="6" t="str" cm="1">
        <f t="array" aca="1" ref="F40" ca="1">_xll.DBR($C$28,$B40,F$30)</f>
        <v>*KEY_ERR</v>
      </c>
      <c r="G40" s="6" t="str" cm="1">
        <f t="array" aca="1" ref="G40" ca="1">_xll.DBR($C$28,$B40,G$30)</f>
        <v>*KEY_ERR</v>
      </c>
      <c r="H40" s="6" t="str" cm="1">
        <f t="array" aca="1" ref="H40" ca="1">_xll.DBR($C$28,$B40,H$30)</f>
        <v>*KEY_ERR</v>
      </c>
    </row>
    <row r="41" spans="2:8" hidden="1" outlineLevel="1" x14ac:dyDescent="0.3">
      <c r="B41" s="6"/>
      <c r="C41" s="6"/>
      <c r="D41" s="6"/>
      <c r="E41" s="6"/>
      <c r="F41" s="6"/>
      <c r="G41" s="6"/>
      <c r="H41" s="6"/>
    </row>
    <row r="42" spans="2:8" hidden="1" outlineLevel="1" x14ac:dyDescent="0.3">
      <c r="B42" s="7" t="s">
        <v>44</v>
      </c>
      <c r="C42" s="8" t="s">
        <v>45</v>
      </c>
    </row>
    <row r="43" spans="2:8" hidden="1" outlineLevel="1" x14ac:dyDescent="0.3"/>
    <row r="44" spans="2:8" hidden="1" outlineLevel="1" x14ac:dyDescent="0.3">
      <c r="B44" s="28" t="s">
        <v>47</v>
      </c>
      <c r="C44" s="29"/>
      <c r="D44" s="30"/>
    </row>
    <row r="45" spans="2:8" hidden="1" outlineLevel="1" x14ac:dyDescent="0.3">
      <c r="B45" s="6" t="s">
        <v>48</v>
      </c>
      <c r="C45" s="6" t="str">
        <f ca="1">_xll.TM1RPTVIEW(db_name&amp;":AE adjustments:2", 1, _xll.TM1RPTTITLE(db_name&amp;":headline year",$M$72), _xll.TM1RPTTITLE(db_name&amp;":scenario",$M$73), _xll.TM1RPTTITLE(db_name&amp;":status",$M$74), _xll.TM1RPTTITLE(db_name&amp;":related entity",$C$55), _xll.TM1RPTTITLE(db_name&amp;":function",$C$56), _xll.TM1RPTTITLE(db_name&amp;":spp",$C$57), _xll.TM1RPTTITLE(db_name&amp;":measure code",$C$60), _xll.TM1RPTTITLE(db_name&amp;":appropriation type",$C$58), _xll.TM1RPTTITLE(db_name&amp;":movement account",$M$76), _xll.TM1RPTTITLE(db_name&amp;":account",$M$75), _xll.TM1RPTTITLE(db_name&amp;":jurisdiction",$C$59),TM1RPTFMTRNG,TM1RPTFMTIDCOL)</f>
        <v>dcceew_geus:AE adjustments:2</v>
      </c>
    </row>
    <row r="46" spans="2:8" hidden="1" outlineLevel="1" x14ac:dyDescent="0.3">
      <c r="B46" s="6" t="s">
        <v>49</v>
      </c>
      <c r="C46" s="6" t="str" cm="1">
        <f t="array" aca="1" ref="C46" ca="1">_xll.VIEW(db_name&amp;":AE Adjustments",$M$72,$M$73,$M$74,"!",$C$55,$C$56,"!",$C$57,$C$60,$C$58,$M$76,"!","!",$M$75,"!",$C$59,"!")</f>
        <v>dcceew_geus:AE Adjustments</v>
      </c>
    </row>
    <row r="47" spans="2:8" hidden="1" outlineLevel="1" x14ac:dyDescent="0.3">
      <c r="C47" s="9" t="s">
        <v>50</v>
      </c>
      <c r="D47" s="9" t="s">
        <v>51</v>
      </c>
      <c r="E47" s="9" t="s">
        <v>52</v>
      </c>
    </row>
    <row r="48" spans="2:8" hidden="1" outlineLevel="1" x14ac:dyDescent="0.3">
      <c r="B48" s="6" t="s">
        <v>53</v>
      </c>
      <c r="C48" s="6" t="str">
        <f ca="1">IF($Q$72="Collapse",$D48,$E48)</f>
        <v>{TM1FILTERBYLEVEL( {TM1DRILLDOWNMEMBER( {[programme].[]}, ALL, RECURSIVE )}, 0)}</v>
      </c>
      <c r="D48" s="6" t="str">
        <f ca="1">"{[programme].[" &amp; $M$77 &amp; "]}"</f>
        <v>{[programme].[]}</v>
      </c>
      <c r="E48" s="6" t="str">
        <f ca="1">"{TM1FILTERBYLEVEL( {TM1DRILLDOWNMEMBER( {[programme].[" &amp; $M$77 &amp; "]}, ALL, RECURSIVE )}, 0)}"</f>
        <v>{TM1FILTERBYLEVEL( {TM1DRILLDOWNMEMBER( {[programme].[]}, ALL, RECURSIVE )}, 0)}</v>
      </c>
    </row>
    <row r="49" spans="2:19" hidden="1" outlineLevel="1" x14ac:dyDescent="0.3">
      <c r="B49" s="6" t="s">
        <v>54</v>
      </c>
      <c r="C49" s="6" t="str">
        <f ca="1">IF($Q$72="Collapse",$D49,$E49)</f>
        <v>{TM1FILTERBYLEVEL( {TM1DRILLDOWNMEMBER( {[outcome].[]}, ALL, RECURSIVE )}, 0)}</v>
      </c>
      <c r="D49" s="6" t="str">
        <f ca="1">"{[outcome].[" &amp; $M$78 &amp; "]}"</f>
        <v>{[outcome].[]}</v>
      </c>
      <c r="E49" s="6" t="str">
        <f ca="1">"{TM1FILTERBYLEVEL( {TM1DRILLDOWNMEMBER( {[outcome].[" &amp; $M$78 &amp; "]}, ALL, RECURSIVE )}, 0)}"</f>
        <v>{TM1FILTERBYLEVEL( {TM1DRILLDOWNMEMBER( {[outcome].[]}, ALL, RECURSIVE )}, 0)}</v>
      </c>
    </row>
    <row r="50" spans="2:19" hidden="1" outlineLevel="1" x14ac:dyDescent="0.3">
      <c r="B50" s="6" t="s">
        <v>55</v>
      </c>
      <c r="C50" s="6" t="str">
        <f ca="1">IF($Q$72="Collapse",$D50,$E50)</f>
        <v>{EXCEPT({DESCENDANTS ([appropriation item].[Total approp item],1,SELF_AND_BEFORE)},{[appropriation item].[Total approp item]})}</v>
      </c>
      <c r="D50" s="6" t="s">
        <v>64</v>
      </c>
      <c r="E50" s="6" t="s">
        <v>63</v>
      </c>
      <c r="F50" t="str">
        <f>"{DESCENDANTS ([appropriation item].[Total approp item],1,SELF_AND_BEFORE)}"</f>
        <v>{DESCENDANTS ([appropriation item].[Total approp item],1,SELF_AND_BEFORE)}</v>
      </c>
    </row>
    <row r="51" spans="2:19" hidden="1" outlineLevel="1" x14ac:dyDescent="0.3">
      <c r="B51" s="6" t="s">
        <v>56</v>
      </c>
      <c r="C51" s="6" t="str">
        <f ca="1">IF($Q$72="Collapse",$D51,$E51)</f>
        <v>{TM1FILTERBYLEVEL( {TM1SUBSETALL( [reason] )}, 0)}</v>
      </c>
      <c r="D51" s="6" t="s">
        <v>62</v>
      </c>
      <c r="E51" s="6" t="s">
        <v>62</v>
      </c>
    </row>
    <row r="52" spans="2:19" hidden="1" outlineLevel="1" x14ac:dyDescent="0.3">
      <c r="B52" s="6" t="s">
        <v>57</v>
      </c>
      <c r="C52" s="6" t="str">
        <f ca="1">IF($Q$73="No",$D52,$E52)</f>
        <v>{TM1DRILLDOWNMEMBER( {[id].[New Adjustments]}, ALL, RECURSIVE )}</v>
      </c>
      <c r="D52" s="6" t="s">
        <v>60</v>
      </c>
      <c r="E52" s="6" t="str">
        <f>"{TM1DRILLDOWNMEMBER( {[id].[New Adjustments]}, ALL, RECURSIVE )}"</f>
        <v>{TM1DRILLDOWNMEMBER( {[id].[New Adjustments]}, ALL, RECURSIVE )}</v>
      </c>
    </row>
    <row r="53" spans="2:19" hidden="1" outlineLevel="1" x14ac:dyDescent="0.3">
      <c r="N53" s="6" t="str">
        <f ca="1">RIGHT(psHLYear,9)</f>
        <v/>
      </c>
      <c r="O53" s="6" t="str">
        <f ca="1">_xll.DIMNM(db_name&amp;":period",_xll.DIMIX(db_name&amp;":period",$N$53)+O54)</f>
        <v/>
      </c>
      <c r="P53" s="6" t="str">
        <f ca="1">_xll.DIMNM(db_name&amp;":period",_xll.DIMIX(db_name&amp;":period",$N$53)+P54)</f>
        <v/>
      </c>
      <c r="Q53" s="6" t="str">
        <f ca="1">_xll.DIMNM(db_name&amp;":period",_xll.DIMIX(db_name&amp;":period",$N$53)+Q54)</f>
        <v/>
      </c>
      <c r="R53" s="6" t="str">
        <f ca="1">_xll.DIMNM(db_name&amp;":period",_xll.DIMIX(db_name&amp;":period",$N$53)+R54)</f>
        <v/>
      </c>
      <c r="S53" s="6" t="str">
        <f ca="1">_xll.DIMNM(db_name&amp;":period",_xll.DIMIX(db_name&amp;":period",$N$53)+S54)</f>
        <v/>
      </c>
    </row>
    <row r="54" spans="2:19" hidden="1" outlineLevel="1" x14ac:dyDescent="0.3">
      <c r="B54" s="28" t="s">
        <v>65</v>
      </c>
      <c r="C54" s="29"/>
      <c r="D54" s="30"/>
      <c r="N54" s="6" t="s">
        <v>75</v>
      </c>
      <c r="O54" s="6">
        <v>-1</v>
      </c>
      <c r="P54" s="6">
        <v>0</v>
      </c>
      <c r="Q54" s="6">
        <v>1</v>
      </c>
      <c r="R54" s="6">
        <v>2</v>
      </c>
      <c r="S54" s="6">
        <v>3</v>
      </c>
    </row>
    <row r="55" spans="2:19" hidden="1" outlineLevel="1" x14ac:dyDescent="0.3">
      <c r="B55" s="2" t="s">
        <v>1</v>
      </c>
      <c r="C55" s="6" t="str">
        <f ca="1">_xll.SUBNM(db_name&amp;":related entity","","Total related entity")</f>
        <v/>
      </c>
      <c r="D55" s="6"/>
    </row>
    <row r="56" spans="2:19" hidden="1" outlineLevel="1" x14ac:dyDescent="0.3">
      <c r="B56" s="2" t="s">
        <v>2</v>
      </c>
      <c r="C56" s="6" t="str">
        <f ca="1">_xll.SUBNM(db_name&amp;":function","","Total functions")</f>
        <v/>
      </c>
      <c r="D56" s="6"/>
    </row>
    <row r="57" spans="2:19" hidden="1" outlineLevel="1" x14ac:dyDescent="0.3">
      <c r="B57" s="2" t="s">
        <v>3</v>
      </c>
      <c r="C57" s="6" t="str">
        <f ca="1">_xll.SUBNM(db_name&amp;":spp","","Total SPP")</f>
        <v/>
      </c>
      <c r="D57" s="6"/>
    </row>
    <row r="58" spans="2:19" hidden="1" outlineLevel="1" x14ac:dyDescent="0.3">
      <c r="B58" s="2" t="s">
        <v>4</v>
      </c>
      <c r="C58" s="6" t="str">
        <f ca="1">_xll.SUBNM(db_name&amp;":appropriation type","","Total approp types")</f>
        <v/>
      </c>
      <c r="D58" s="6"/>
    </row>
    <row r="59" spans="2:19" hidden="1" outlineLevel="1" x14ac:dyDescent="0.3">
      <c r="B59" s="2" t="s">
        <v>5</v>
      </c>
      <c r="C59" s="6" t="str">
        <f ca="1">_xll.SUBNM(db_name&amp;":jurisdiction","","Total jurisdictions")</f>
        <v/>
      </c>
      <c r="D59" s="6"/>
    </row>
    <row r="60" spans="2:19" hidden="1" outlineLevel="1" x14ac:dyDescent="0.3">
      <c r="B60" s="2" t="s">
        <v>6</v>
      </c>
      <c r="C60" s="6" t="str">
        <f ca="1">_xll.SUBNM(db_name&amp;":measure code","","Total Measures","CBMS")</f>
        <v/>
      </c>
      <c r="D60" s="6"/>
    </row>
    <row r="61" spans="2:19" hidden="1" outlineLevel="1" x14ac:dyDescent="0.3"/>
    <row r="62" spans="2:19" hidden="1" outlineLevel="1" x14ac:dyDescent="0.3">
      <c r="B62" s="28" t="s">
        <v>66</v>
      </c>
      <c r="C62" s="29"/>
      <c r="D62" s="30"/>
    </row>
    <row r="63" spans="2:19" hidden="1" outlineLevel="1" x14ac:dyDescent="0.3">
      <c r="B63" s="6" t="s">
        <v>49</v>
      </c>
      <c r="C63" s="6" t="str" cm="1">
        <f t="array" aca="1" ref="C63" ca="1">_xll.VIEW(db_name&amp;":AE id details",psHLYear,psScenario,"!","!")</f>
        <v>dcceew_geus:AE id details</v>
      </c>
      <c r="D63" s="6"/>
    </row>
    <row r="64" spans="2:19" hidden="1" outlineLevel="1" x14ac:dyDescent="0.3"/>
    <row r="65" spans="1:21" hidden="1" outlineLevel="1" x14ac:dyDescent="0.3">
      <c r="L65" s="1"/>
    </row>
    <row r="66" spans="1:21" ht="39.75" customHeight="1" collapsed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 t="s">
        <v>84</v>
      </c>
      <c r="T66" s="22"/>
      <c r="U66" s="22"/>
    </row>
    <row r="67" spans="1:21" ht="4.5" customHeight="1" x14ac:dyDescent="0.3">
      <c r="L67" s="1"/>
    </row>
    <row r="68" spans="1:21" ht="24" customHeight="1" x14ac:dyDescent="0.3">
      <c r="L68" s="1"/>
    </row>
    <row r="69" spans="1:21" ht="1.5" customHeight="1" x14ac:dyDescent="0.3"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</row>
    <row r="70" spans="1:21" x14ac:dyDescent="0.3">
      <c r="L70" s="1"/>
    </row>
    <row r="71" spans="1:21" ht="15" thickBot="1" x14ac:dyDescent="0.35">
      <c r="L71" s="1"/>
      <c r="M71" s="18" t="s">
        <v>74</v>
      </c>
      <c r="P71" s="34" t="s">
        <v>58</v>
      </c>
      <c r="Q71" s="35"/>
    </row>
    <row r="72" spans="1:21" ht="15" thickBot="1" x14ac:dyDescent="0.35">
      <c r="L72" s="10" t="s">
        <v>70</v>
      </c>
      <c r="M72" s="25" t="str">
        <f ca="1">_xll.SUBNM(db_name&amp;":headline year","",$C$21)</f>
        <v/>
      </c>
      <c r="P72" s="10" t="s">
        <v>59</v>
      </c>
      <c r="Q72" s="11" t="str" cm="1">
        <f t="array" aca="1" ref="Q72" ca="1">_xll.SUBNM(db_name&amp;":sys_report display","","Collapse")</f>
        <v/>
      </c>
    </row>
    <row r="73" spans="1:21" ht="15" thickBot="1" x14ac:dyDescent="0.35">
      <c r="L73" s="10" t="s">
        <v>67</v>
      </c>
      <c r="M73" s="25" t="str">
        <f ca="1">_xll.SUBNM(db_name&amp;":scenario","",$C$22)</f>
        <v/>
      </c>
      <c r="P73" s="10" t="s">
        <v>61</v>
      </c>
      <c r="Q73" s="11" t="str" cm="1">
        <f t="array" aca="1" ref="Q73" ca="1">_xll.SUBNM(db_name&amp;":sys_YesNo","","No")</f>
        <v/>
      </c>
    </row>
    <row r="74" spans="1:21" x14ac:dyDescent="0.3">
      <c r="L74" s="10" t="s">
        <v>68</v>
      </c>
      <c r="M74" s="25" t="str">
        <f ca="1">_xll.SUBNM(db_name&amp;":status","","Total approved")</f>
        <v/>
      </c>
    </row>
    <row r="75" spans="1:21" x14ac:dyDescent="0.3">
      <c r="L75" s="10" t="s">
        <v>71</v>
      </c>
      <c r="M75" s="25" t="str">
        <f ca="1">_xll.SUBNM(db_name&amp;":account","","2000000","code and description")</f>
        <v/>
      </c>
    </row>
    <row r="76" spans="1:21" x14ac:dyDescent="0.3">
      <c r="L76" s="10" t="s">
        <v>72</v>
      </c>
      <c r="M76" s="25" t="str">
        <f ca="1">_xll.SUBNM(db_name&amp;":movement account","","Total movement","code and description")</f>
        <v/>
      </c>
    </row>
    <row r="77" spans="1:21" x14ac:dyDescent="0.3">
      <c r="L77" s="10" t="s">
        <v>73</v>
      </c>
      <c r="M77" s="25" t="str">
        <f ca="1">_xll.SUBNM(db_name&amp;":programme","","Administered Programmes","code and description")</f>
        <v/>
      </c>
    </row>
    <row r="78" spans="1:21" x14ac:dyDescent="0.3">
      <c r="L78" s="10" t="s">
        <v>69</v>
      </c>
      <c r="M78" s="25" t="str">
        <f ca="1">_xll.SUBNM(db_name&amp;":outcome","","Total outcomes","code and description")</f>
        <v/>
      </c>
    </row>
    <row r="79" spans="1:21" ht="4.5" customHeight="1" x14ac:dyDescent="0.3"/>
    <row r="80" spans="1:21" x14ac:dyDescent="0.3">
      <c r="O80" s="31" t="s">
        <v>88</v>
      </c>
      <c r="P80" s="32"/>
      <c r="Q80" s="32"/>
      <c r="R80" s="32"/>
      <c r="S80" s="33"/>
      <c r="T80" s="17" t="s">
        <v>81</v>
      </c>
      <c r="U80" s="23">
        <f ca="1">NOW()</f>
        <v>44972.398065856483</v>
      </c>
    </row>
    <row r="81" spans="1:21" x14ac:dyDescent="0.3">
      <c r="C81" t="s">
        <v>12</v>
      </c>
      <c r="D81" t="s">
        <v>11</v>
      </c>
      <c r="E81" t="s">
        <v>77</v>
      </c>
      <c r="F81" t="s">
        <v>14</v>
      </c>
      <c r="G81" t="s">
        <v>15</v>
      </c>
      <c r="J81" s="19" t="s">
        <v>12</v>
      </c>
      <c r="K81" s="19" t="s">
        <v>11</v>
      </c>
      <c r="L81" s="19" t="s">
        <v>13</v>
      </c>
      <c r="M81" s="19" t="s">
        <v>14</v>
      </c>
      <c r="N81" s="19" t="s">
        <v>15</v>
      </c>
      <c r="O81" s="19" t="str">
        <f ca="1">O$53</f>
        <v/>
      </c>
      <c r="P81" s="19" t="str">
        <f t="shared" ref="P81:S81" ca="1" si="0">P$53</f>
        <v/>
      </c>
      <c r="Q81" s="19" t="str">
        <f t="shared" ca="1" si="0"/>
        <v/>
      </c>
      <c r="R81" s="19" t="str">
        <f t="shared" ca="1" si="0"/>
        <v/>
      </c>
      <c r="S81" s="19" t="str">
        <f t="shared" ca="1" si="0"/>
        <v/>
      </c>
      <c r="T81" s="19" t="s">
        <v>82</v>
      </c>
      <c r="U81" s="19" t="s">
        <v>83</v>
      </c>
    </row>
    <row r="82" spans="1:21" ht="4.5" customHeight="1" x14ac:dyDescent="0.3">
      <c r="J82" s="1"/>
      <c r="K82" s="1"/>
      <c r="L82" s="1"/>
      <c r="M82" s="1"/>
      <c r="N82" s="1"/>
      <c r="O82" s="16"/>
      <c r="P82" s="16"/>
      <c r="Q82" s="16"/>
      <c r="R82" s="16"/>
      <c r="S82" s="16"/>
    </row>
    <row r="83" spans="1:21" ht="15" thickBot="1" x14ac:dyDescent="0.35">
      <c r="C83" t="str">
        <f ca="1">$M$78</f>
        <v/>
      </c>
      <c r="D83" t="str">
        <f ca="1">$M$77</f>
        <v/>
      </c>
      <c r="E83" t="str">
        <f>"Total approp item"</f>
        <v>Total approp item</v>
      </c>
      <c r="F83" t="str">
        <f>"Total Reason"</f>
        <v>Total Reason</v>
      </c>
      <c r="G83" s="21" t="s">
        <v>78</v>
      </c>
      <c r="J83" s="1"/>
      <c r="K83" s="1"/>
      <c r="L83" s="1"/>
      <c r="M83" s="1"/>
      <c r="N83" s="10" t="s">
        <v>76</v>
      </c>
      <c r="O83" s="20" t="str" cm="1">
        <f t="array" aca="1" ref="O83" ca="1">_xll.DBRW($C$46,$M$72,$M$73,$M$74,$C83,$C$55,$C$56,$F83,$C$57,$C$60,$C$58,$M$76,$E83,$D83,$M$75,$G83,$C$59,O$53)</f>
        <v/>
      </c>
      <c r="P83" s="20" t="str" cm="1">
        <f t="array" aca="1" ref="P83" ca="1">_xll.DBRW($C$46,$M$72,$M$73,$M$74,$C83,$C$55,$C$56,$F83,$C$57,$C$60,$C$58,$M$76,$E83,$D83,$M$75,$G83,$C$59,P$53)</f>
        <v/>
      </c>
      <c r="Q83" s="20" t="str" cm="1">
        <f t="array" aca="1" ref="Q83" ca="1">_xll.DBRW($C$46,$M$72,$M$73,$M$74,$C83,$C$55,$C$56,$F83,$C$57,$C$60,$C$58,$M$76,$E83,$D83,$M$75,$G83,$C$59,Q$53)</f>
        <v/>
      </c>
      <c r="R83" s="20" t="str" cm="1">
        <f t="array" aca="1" ref="R83" ca="1">_xll.DBRW($C$46,$M$72,$M$73,$M$74,$C83,$C$55,$C$56,$F83,$C$57,$C$60,$C$58,$M$76,$E83,$D83,$M$75,$G83,$C$59,R$53)</f>
        <v/>
      </c>
      <c r="S83" s="20" t="str" cm="1">
        <f t="array" aca="1" ref="S83" ca="1">_xll.DBRW($C$46,$M$72,$M$73,$M$74,$C83,$C$55,$C$56,$F83,$C$57,$C$60,$C$58,$M$76,$E83,$D83,$M$75,$G83,$C$59,S$53)</f>
        <v/>
      </c>
    </row>
    <row r="84" spans="1:21" ht="4.5" customHeight="1" thickTop="1" x14ac:dyDescent="0.3">
      <c r="J84" s="1"/>
      <c r="K84" s="1"/>
      <c r="L84" s="1"/>
      <c r="M84" s="1"/>
      <c r="N84" s="1"/>
      <c r="O84" s="16"/>
      <c r="P84" s="16"/>
      <c r="Q84" s="16"/>
      <c r="R84" s="16"/>
      <c r="S84" s="16"/>
    </row>
    <row r="85" spans="1:21" x14ac:dyDescent="0.3">
      <c r="A85" t="str" cm="1">
        <f t="array" aca="1" ref="A85" ca="1">IF(_xll.TM1RPTELISCONSOLIDATED($N$85,$N85),IF(_xll.TM1RPTELLEV($N$85,$N85)&lt;=3,_xll.TM1RPTELLEV($N$85,$N85),"D"),"N")</f>
        <v>N</v>
      </c>
      <c r="J85" s="26" t="str" cm="1">
        <f t="array" aca="1" ref="J85" ca="1">_xll.TM1RPTROW($C$45,db_name&amp;":outcome","","","code and description",0,$C$49)</f>
        <v/>
      </c>
      <c r="K85" s="26" t="str" cm="1">
        <f t="array" aca="1" ref="K85" ca="1">_xll.TM1RPTROW($C$45,db_name&amp;":programme","","","code and description",0,$C$48)</f>
        <v/>
      </c>
      <c r="L85" s="26" t="str" cm="1">
        <f t="array" aca="1" ref="L85" ca="1">_xll.TM1RPTROW($C$45,db_name&amp;":appropriation item","","","code and description",0,$C$50)</f>
        <v/>
      </c>
      <c r="M85" s="27" t="str" cm="1">
        <f t="array" aca="1" ref="M85" ca="1">_xll.TM1RPTROW($C$45,db_name&amp;":reason","","","CBMS code and description",0,$C$51)</f>
        <v/>
      </c>
      <c r="N85" s="26" t="str" cm="1">
        <f t="array" aca="1" ref="N85" ca="1">_xll.TM1RPTROW($C$45,db_name&amp;":id","","","",0,$C$52)</f>
        <v/>
      </c>
      <c r="O85" s="15" t="str" cm="1">
        <f t="array" aca="1" ref="O85" ca="1">_xll.DBRW($C$45,$M$72,$M$73,$M$74,$J85,$C$55,$C$56,$M85,$C$57,$C$60,$C$58,$M$76,$L85,$K85,$M$75,$N85,$C$59,O$53)</f>
        <v/>
      </c>
      <c r="P85" s="15" t="str" cm="1">
        <f t="array" aca="1" ref="P85" ca="1">_xll.DBRW($C$45,$M$72,$M$73,$M$74,$J85,$C$55,$C$56,$M85,$C$57,$C$60,$C$58,$M$76,$L85,$K85,$M$75,$N85,$C$59,P$53)</f>
        <v/>
      </c>
      <c r="Q85" s="15" t="str" cm="1">
        <f t="array" aca="1" ref="Q85" ca="1">_xll.DBRW($C$45,$M$72,$M$73,$M$74,$J85,$C$55,$C$56,$M85,$C$57,$C$60,$C$58,$M$76,$L85,$K85,$M$75,$N85,$C$59,Q$53)</f>
        <v/>
      </c>
      <c r="R85" s="15" t="str" cm="1">
        <f t="array" aca="1" ref="R85" ca="1">_xll.DBRW($C$45,$M$72,$M$73,$M$74,$J85,$C$55,$C$56,$M85,$C$57,$C$60,$C$58,$M$76,$L85,$K85,$M$75,$N85,$C$59,R$53)</f>
        <v/>
      </c>
      <c r="S85" s="15" t="str" cm="1">
        <f t="array" aca="1" ref="S85" ca="1">_xll.DBRW($C$45,$M$72,$M$73,$M$74,$J85,$C$55,$C$56,$M85,$C$57,$C$60,$C$58,$M$76,$L85,$K85,$M$75,$N85,$C$59,S$53)</f>
        <v/>
      </c>
      <c r="T85" s="14" t="str" cm="1">
        <f t="array" aca="1" ref="T85" ca="1">_xll.DBR($C$63,psHLYear,psScenario,$N85,"sys_title")</f>
        <v>*KEY_ERR</v>
      </c>
      <c r="U85" s="14" t="str" cm="1">
        <f t="array" aca="1" ref="U85" ca="1">_xll.DBR($C$63,psHLYear,psScenario,$N85,"CBMS Measure Code")</f>
        <v>*KEY_ERR</v>
      </c>
    </row>
    <row r="86" spans="1:21" ht="4.5" customHeight="1" x14ac:dyDescent="0.3">
      <c r="G86" s="21"/>
    </row>
    <row r="87" spans="1:21" ht="15" thickBot="1" x14ac:dyDescent="0.35">
      <c r="C87" t="str">
        <f ca="1">$M$78</f>
        <v/>
      </c>
      <c r="D87" t="str">
        <f ca="1">$M$77</f>
        <v/>
      </c>
      <c r="E87" t="str">
        <f>"Total approp item"</f>
        <v>Total approp item</v>
      </c>
      <c r="F87" t="str">
        <f>"Total Reason"</f>
        <v>Total Reason</v>
      </c>
      <c r="G87" s="21" t="s">
        <v>80</v>
      </c>
      <c r="N87" s="10" t="s">
        <v>79</v>
      </c>
      <c r="O87" s="20" t="str" cm="1">
        <f t="array" aca="1" ref="O87" ca="1">_xll.DBRW($C$46,$M$72,$M$73,$M$74,$C87,$C$55,$C$56,$F87,$C$57,$C$60,$C$58,$M$76,$E87,$D87,$M$75,$G87,$C$59,O$53)</f>
        <v/>
      </c>
      <c r="P87" s="20" t="str" cm="1">
        <f t="array" aca="1" ref="P87" ca="1">_xll.DBRW($C$46,$M$72,$M$73,$M$74,$C87,$C$55,$C$56,$F87,$C$57,$C$60,$C$58,$M$76,$E87,$D87,$M$75,$G87,$C$59,P$53)</f>
        <v/>
      </c>
      <c r="Q87" s="20" t="str" cm="1">
        <f t="array" aca="1" ref="Q87" ca="1">_xll.DBRW($C$46,$M$72,$M$73,$M$74,$C87,$C$55,$C$56,$F87,$C$57,$C$60,$C$58,$M$76,$E87,$D87,$M$75,$G87,$C$59,Q$53)</f>
        <v/>
      </c>
      <c r="R87" s="20" t="str" cm="1">
        <f t="array" aca="1" ref="R87" ca="1">_xll.DBRW($C$46,$M$72,$M$73,$M$74,$C87,$C$55,$C$56,$F87,$C$57,$C$60,$C$58,$M$76,$E87,$D87,$M$75,$G87,$C$59,R$53)</f>
        <v/>
      </c>
      <c r="S87" s="20" t="str" cm="1">
        <f t="array" aca="1" ref="S87" ca="1">_xll.DBRW($C$46,$M$72,$M$73,$M$74,$C87,$C$55,$C$56,$F87,$C$57,$C$60,$C$58,$M$76,$E87,$D87,$M$75,$G87,$C$59,S$53)</f>
        <v/>
      </c>
    </row>
    <row r="88" spans="1:21" ht="4.5" customHeight="1" thickTop="1" x14ac:dyDescent="0.3"/>
    <row r="89" spans="1:21" x14ac:dyDescent="0.3">
      <c r="T89" s="17" t="s">
        <v>81</v>
      </c>
      <c r="U89" s="23">
        <f ca="1">NOW()</f>
        <v>44972.398065856483</v>
      </c>
    </row>
  </sheetData>
  <sheetProtection sheet="1" objects="1" scenarios="1"/>
  <mergeCells count="8">
    <mergeCell ref="B62:D62"/>
    <mergeCell ref="O80:S80"/>
    <mergeCell ref="B11:D11"/>
    <mergeCell ref="B19:D19"/>
    <mergeCell ref="B27:D27"/>
    <mergeCell ref="B44:D44"/>
    <mergeCell ref="P71:Q71"/>
    <mergeCell ref="B54:D54"/>
  </mergeCell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 sizeWithCells="1">
              <from>
                <xdr:col>9</xdr:col>
                <xdr:colOff>7620</xdr:colOff>
                <xdr:row>67</xdr:row>
                <xdr:rowOff>0</xdr:rowOff>
              </from>
              <to>
                <xdr:col>9</xdr:col>
                <xdr:colOff>647700</xdr:colOff>
                <xdr:row>67</xdr:row>
                <xdr:rowOff>251460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9</xdr:col>
                <xdr:colOff>685800</xdr:colOff>
                <xdr:row>67</xdr:row>
                <xdr:rowOff>0</xdr:rowOff>
              </from>
              <to>
                <xdr:col>10</xdr:col>
                <xdr:colOff>121920</xdr:colOff>
                <xdr:row>67</xdr:row>
                <xdr:rowOff>251460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10</xdr:col>
                <xdr:colOff>152400</xdr:colOff>
                <xdr:row>67</xdr:row>
                <xdr:rowOff>0</xdr:rowOff>
              </from>
              <to>
                <xdr:col>10</xdr:col>
                <xdr:colOff>1508760</xdr:colOff>
                <xdr:row>67</xdr:row>
                <xdr:rowOff>251460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11</xdr:col>
                <xdr:colOff>1143000</xdr:colOff>
                <xdr:row>67</xdr:row>
                <xdr:rowOff>0</xdr:rowOff>
              </from>
              <to>
                <xdr:col>11</xdr:col>
                <xdr:colOff>1927860</xdr:colOff>
                <xdr:row>67</xdr:row>
                <xdr:rowOff>251460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18</xdr:col>
                <xdr:colOff>525780</xdr:colOff>
                <xdr:row>66</xdr:row>
                <xdr:rowOff>30480</xdr:rowOff>
              </from>
              <to>
                <xdr:col>18</xdr:col>
                <xdr:colOff>838200</xdr:colOff>
                <xdr:row>67</xdr:row>
                <xdr:rowOff>289560</xdr:rowOff>
              </to>
            </anchor>
          </controlPr>
        </control>
      </mc:Choice>
      <mc:Fallback>
        <control shapeId="1029" r:id="rId12" name="TIButton5"/>
      </mc:Fallback>
    </mc:AlternateContent>
    <mc:AlternateContent xmlns:mc="http://schemas.openxmlformats.org/markup-compatibility/2006">
      <mc:Choice Requires="x14">
        <control shapeId="1031" r:id="rId14" name="TIButton6">
          <controlPr defaultSize="0" print="0" autoLine="0" r:id="rId15">
            <anchor moveWithCells="1" sizeWithCells="1">
              <from>
                <xdr:col>11</xdr:col>
                <xdr:colOff>381000</xdr:colOff>
                <xdr:row>67</xdr:row>
                <xdr:rowOff>0</xdr:rowOff>
              </from>
              <to>
                <xdr:col>11</xdr:col>
                <xdr:colOff>1112520</xdr:colOff>
                <xdr:row>67</xdr:row>
                <xdr:rowOff>251460</xdr:rowOff>
              </to>
            </anchor>
          </controlPr>
        </control>
      </mc:Choice>
      <mc:Fallback>
        <control shapeId="1031" r:id="rId14" name="TIButton6"/>
      </mc:Fallback>
    </mc:AlternateContent>
    <mc:AlternateContent xmlns:mc="http://schemas.openxmlformats.org/markup-compatibility/2006">
      <mc:Choice Requires="x14">
        <control shapeId="1032" r:id="rId16" name="TIButton7">
          <controlPr defaultSize="0" print="0" autoLine="0" r:id="rId17">
            <anchor moveWithCells="1" sizeWithCells="1">
              <from>
                <xdr:col>10</xdr:col>
                <xdr:colOff>1524000</xdr:colOff>
                <xdr:row>67</xdr:row>
                <xdr:rowOff>0</xdr:rowOff>
              </from>
              <to>
                <xdr:col>11</xdr:col>
                <xdr:colOff>365760</xdr:colOff>
                <xdr:row>67</xdr:row>
                <xdr:rowOff>251460</xdr:rowOff>
              </to>
            </anchor>
          </controlPr>
        </control>
      </mc:Choice>
      <mc:Fallback>
        <control shapeId="1032" r:id="rId16" name="TIButton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38</vt:i4>
      </vt:variant>
    </vt:vector>
  </HeadingPairs>
  <TitlesOfParts>
    <vt:vector size="39" baseType="lpstr">
      <vt:lpstr>reason</vt:lpstr>
      <vt:lpstr>db_name</vt:lpstr>
      <vt:lpstr>psApp</vt:lpstr>
      <vt:lpstr>psHLYear</vt:lpstr>
      <vt:lpstr>psScenario</vt:lpstr>
      <vt:lpstr>psUser</vt:lpstr>
      <vt:lpstr>TM1GrpViewAdj01HeaderCAP</vt:lpstr>
      <vt:lpstr>TM1GrpViewAdj01HeaderWB</vt:lpstr>
      <vt:lpstr>TM1GrpViewAdj01HeaderWS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TM1OthRprTBalCAP</vt:lpstr>
      <vt:lpstr>TM1OthRprTBalWB</vt:lpstr>
      <vt:lpstr>TM1OthRprTBalWS</vt:lpstr>
      <vt:lpstr>TM1OthRprTxnByReasonCAP</vt:lpstr>
      <vt:lpstr>TM1OthRprTxnByReasonWB</vt:lpstr>
      <vt:lpstr>TM1OthRprTxnByReasonWS</vt:lpstr>
      <vt:lpstr>reason!TM1RPTDATARNG2</vt:lpstr>
      <vt:lpstr>reason!TM1RPTFMTIDCOL</vt:lpstr>
      <vt:lpstr>reason!TM1RPTFMTRNG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2019-06-15T09:18:44Z</cp:lastPrinted>
  <dcterms:created xsi:type="dcterms:W3CDTF">2019-06-15T00:52:24Z</dcterms:created>
  <dcterms:modified xsi:type="dcterms:W3CDTF">2023-02-14T22:33:13Z</dcterms:modified>
</cp:coreProperties>
</file>