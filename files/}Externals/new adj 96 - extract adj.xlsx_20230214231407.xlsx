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he\Test_Repository\files\}Externals\"/>
    </mc:Choice>
  </mc:AlternateContent>
  <xr:revisionPtr revIDLastSave="0" documentId="8_{EB44908F-08E5-4F10-87A2-8EA331C2EF80}" xr6:coauthVersionLast="47" xr6:coauthVersionMax="47" xr10:uidLastSave="{00000000-0000-0000-0000-000000000000}"/>
  <bookViews>
    <workbookView xWindow="29580" yWindow="780" windowWidth="21600" windowHeight="11385" xr2:uid="{00000000-000D-0000-FFFF-FFFF00000000}"/>
  </bookViews>
  <sheets>
    <sheet name="extract adj" sheetId="1" r:id="rId1"/>
  </sheets>
  <definedNames>
    <definedName name="db_name">'extract adj'!$C$12</definedName>
    <definedName name="psAcc">'extract adj'!#REF!</definedName>
    <definedName name="psCFFlag">'extract adj'!#REF!</definedName>
    <definedName name="psHLYear">'extract adj'!$C$54</definedName>
    <definedName name="psID">'extract adj'!$C$56</definedName>
    <definedName name="psScenario">'extract adj'!$C$55</definedName>
    <definedName name="psSPP">'extract adj'!#REF!</definedName>
    <definedName name="psUser">'extract adj'!$C$17</definedName>
    <definedName name="TM1AdjIDListCAP">'extract adj'!$D$35</definedName>
    <definedName name="TM1AdjIDListWB">'extract adj'!$F$35</definedName>
    <definedName name="TM1AdjIDListWS">'extract adj'!$H$35</definedName>
    <definedName name="TM1BackToAdjWB">'extract adj'!$C$48</definedName>
    <definedName name="TM1BackToAdjWS">'extract adj'!$D$48</definedName>
    <definedName name="TM1EditAdj01CAP">'extract adj'!$D$42</definedName>
    <definedName name="TM1EditAdj01WB">'extract adj'!$F$42</definedName>
    <definedName name="TM1EditAdj01WS">'extract adj'!$H$42</definedName>
    <definedName name="TM1GrpNewAdj02ExpDataEntryCAP">'extract adj'!$D$44</definedName>
    <definedName name="TM1GrpNewAdj02ExpDataEntryWB">'extract adj'!$F$44</definedName>
    <definedName name="TM1GrpNewAdj02ExpDataEntryWS">'extract adj'!$H$44</definedName>
    <definedName name="TM1GrpNewAdj08RecogDataEntryCAP">'extract adj'!$D$45</definedName>
    <definedName name="TM1GrpNewAdj08RecogDataEntryWB">'extract adj'!$F$45</definedName>
    <definedName name="TM1GrpNewAdj08RecogDataEntryWS">'extract adj'!$H$45</definedName>
    <definedName name="TM1HomeAECAP">'extract adj'!$D$33</definedName>
    <definedName name="TM1HomeAEDataEntryCAP">'extract adj'!$D$34</definedName>
    <definedName name="TM1HomeAEDataEntryWB">'extract adj'!$F$34</definedName>
    <definedName name="TM1HomeAEDataEntryWS">'extract adj'!$H$34</definedName>
    <definedName name="TM1HomeAEWB">'extract adj'!$F$33</definedName>
    <definedName name="TM1HomeAEWS">'extract adj'!$H$33</definedName>
    <definedName name="TM1HomeCAP">'extract adj'!$D$32</definedName>
    <definedName name="TM1HomeWB">'extract adj'!$F$32</definedName>
    <definedName name="TM1HomeWS">'extract adj'!$H$32</definedName>
    <definedName name="TM1NewAdj02DataEntryCAP">'extract adj'!$D$36</definedName>
    <definedName name="TM1NewAdj02DataEntryWB">'extract adj'!$F$36</definedName>
    <definedName name="TM1NewAdj02DataEntryWS">'extract adj'!$H$36</definedName>
    <definedName name="TM1NewAdj03AuthCAP">'extract adj'!$D$37</definedName>
    <definedName name="TM1NewAdj03AuthWB">'extract adj'!$F$37</definedName>
    <definedName name="TM1NewAdj03AuthWS">'extract adj'!$H$37</definedName>
    <definedName name="TM1NewAdj04CopyCAP">'extract adj'!$D$38</definedName>
    <definedName name="TM1NewAdj04CopyWB">'extract adj'!$F$38</definedName>
    <definedName name="TM1NewAdj04CopyWS">'extract adj'!$H$38</definedName>
    <definedName name="TM1NewAdj96ExtractCAP">'extract adj'!$D$39</definedName>
    <definedName name="TM1NewAdj96ExtractWB">'extract adj'!$F$39</definedName>
    <definedName name="TM1NewAdj96ExtractWS">'extract adj'!$H$39</definedName>
    <definedName name="TM1NewAdj98AttachCAP">'extract adj'!$D$40</definedName>
    <definedName name="TM1NewAdj98AttachWB">'extract adj'!$F$40</definedName>
    <definedName name="TM1NewAdj98AttachWS">'extract adj'!$H$40</definedName>
    <definedName name="TM1NewAdj99ValidCAP">'extract adj'!$D$41</definedName>
    <definedName name="TM1NewAdj99ValidWB">'extract adj'!$F$41</definedName>
    <definedName name="TM1NewAdj99ValidWS">'extract adj'!$H$41</definedName>
    <definedName name="TM1REBUILDOPTION">1</definedName>
    <definedName name="TM1RPTDATARNG1" localSheetId="0">'extract adj'!$177:$177</definedName>
    <definedName name="TM1RPTDATARNGARPT1" localSheetId="0">'extract adj'!$204:$204</definedName>
    <definedName name="TM1RPTDATARNGARPT2" localSheetId="0">'extract adj'!$182:$182</definedName>
    <definedName name="TM1RPTDATARNGARPT3" localSheetId="0">'extract adj'!$192:$192</definedName>
    <definedName name="TM1RPTDATARNGARPT4" localSheetId="0">'extract adj'!$187:$187</definedName>
    <definedName name="TM1RPTDATARNGARPT5" localSheetId="0">'extract adj'!$197:$197</definedName>
    <definedName name="TM1RPTDATARNGARPT6" localSheetId="0">'extract adj'!$209:$209</definedName>
    <definedName name="TM1RPTDATARNGARPT7" localSheetId="0">'extract adj'!$214:$214</definedName>
    <definedName name="TM1RPTFMTIDCOL" localSheetId="0">'extract adj'!$A$1:$A$8</definedName>
    <definedName name="TM1RPTFMTRNG" localSheetId="0">'extract adj'!$B$1:$AK$8</definedName>
    <definedName name="TM1ViewAdj01HeaderCAP">'extract adj'!$D$43</definedName>
    <definedName name="TM1ViewAdj01HeaderWB">'extract adj'!$F$43</definedName>
    <definedName name="TM1ViewAdj01HeaderWS">'extract adj'!$H$43</definedName>
  </definedNames>
  <calcPr calcId="181029" calcMode="manual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6" i="1" l="1" a="1"/>
  <c r="C76" i="1"/>
  <c r="C51" i="1" a="1"/>
  <c r="C51" i="1"/>
  <c r="C13" i="1" a="1"/>
  <c r="C13" i="1"/>
  <c r="C14" i="1" a="1"/>
  <c r="C14" i="1"/>
  <c r="C15" i="1" a="1"/>
  <c r="C15" i="1"/>
  <c r="C17" i="1"/>
  <c r="C54" i="1" a="1"/>
  <c r="C54" i="1"/>
  <c r="C55" i="1" a="1"/>
  <c r="C56" i="1" a="1"/>
  <c r="C55" i="1"/>
  <c r="C56" i="1"/>
  <c r="C85" i="1" a="1"/>
  <c r="C85" i="1"/>
  <c r="C120" i="1" a="1"/>
  <c r="C120" i="1"/>
  <c r="D120" i="1"/>
  <c r="AA172" i="1"/>
  <c r="C113" i="1" a="1"/>
  <c r="C113" i="1"/>
  <c r="C114" i="1" a="1"/>
  <c r="C114" i="1"/>
  <c r="C77" i="1" a="1"/>
  <c r="C77" i="1"/>
  <c r="C116" i="1" a="1"/>
  <c r="C83" i="1" a="1"/>
  <c r="C83" i="1"/>
  <c r="C118" i="1" a="1"/>
  <c r="C84" i="1" a="1"/>
  <c r="C84" i="1"/>
  <c r="C119" i="1" a="1"/>
  <c r="C86" i="1" a="1"/>
  <c r="C86" i="1"/>
  <c r="C121" i="1" a="1"/>
  <c r="C115" i="1" a="1"/>
  <c r="C116" i="1"/>
  <c r="C118" i="1"/>
  <c r="C119" i="1"/>
  <c r="C121" i="1"/>
  <c r="C115" i="1"/>
  <c r="C108" i="1" a="1"/>
  <c r="C108" i="1"/>
  <c r="W137" i="1"/>
  <c r="AK138" i="1"/>
  <c r="AK137" i="1" a="1"/>
  <c r="AK137" i="1"/>
  <c r="AK220" i="1"/>
  <c r="AJ138" i="1"/>
  <c r="AJ137" i="1" a="1"/>
  <c r="AJ137" i="1"/>
  <c r="AJ220" i="1"/>
  <c r="AI138" i="1"/>
  <c r="AI137" i="1" a="1"/>
  <c r="AI137" i="1"/>
  <c r="AI220" i="1"/>
  <c r="AH138" i="1"/>
  <c r="AH137" i="1" a="1"/>
  <c r="AH137" i="1"/>
  <c r="AH220" i="1"/>
  <c r="AG138" i="1"/>
  <c r="AG137" i="1" a="1"/>
  <c r="AG137" i="1"/>
  <c r="AG220" i="1"/>
  <c r="AF138" i="1"/>
  <c r="AF137" i="1" a="1"/>
  <c r="AF137" i="1"/>
  <c r="AF220" i="1"/>
  <c r="AE138" i="1"/>
  <c r="AE137" i="1" a="1"/>
  <c r="AE137" i="1"/>
  <c r="AE220" i="1"/>
  <c r="AD138" i="1"/>
  <c r="AD137" i="1" a="1"/>
  <c r="AD137" i="1"/>
  <c r="AD220" i="1"/>
  <c r="AC138" i="1"/>
  <c r="AC137" i="1" a="1"/>
  <c r="AC137" i="1"/>
  <c r="AC220" i="1"/>
  <c r="AB138" i="1"/>
  <c r="AB137" i="1" a="1"/>
  <c r="AB137" i="1"/>
  <c r="AB220" i="1"/>
  <c r="AA138" i="1"/>
  <c r="AA137" i="1" a="1"/>
  <c r="AA137" i="1"/>
  <c r="AA220" i="1"/>
  <c r="Z138" i="1"/>
  <c r="Z137" i="1" a="1"/>
  <c r="Z137" i="1"/>
  <c r="Z220" i="1"/>
  <c r="Y138" i="1"/>
  <c r="Y137" i="1" a="1"/>
  <c r="Y137" i="1"/>
  <c r="Y220" i="1"/>
  <c r="AK219" i="1"/>
  <c r="AJ219" i="1"/>
  <c r="AI219" i="1"/>
  <c r="AH219" i="1"/>
  <c r="AG219" i="1"/>
  <c r="AF219" i="1"/>
  <c r="AE219" i="1"/>
  <c r="AD219" i="1"/>
  <c r="AC219" i="1"/>
  <c r="AB219" i="1"/>
  <c r="AA219" i="1"/>
  <c r="Z219" i="1"/>
  <c r="Y219" i="1"/>
  <c r="D110" i="1" a="1"/>
  <c r="D110" i="1"/>
  <c r="C67" i="1" a="1"/>
  <c r="C67" i="1"/>
  <c r="H110" i="1" a="1"/>
  <c r="H110" i="1"/>
  <c r="C93" i="1" a="1"/>
  <c r="C93" i="1"/>
  <c r="C99" i="1" a="1"/>
  <c r="C99" i="1"/>
  <c r="C29" i="1" a="1"/>
  <c r="C29" i="1"/>
  <c r="H45" i="1" a="1"/>
  <c r="H45" i="1"/>
  <c r="H36" i="1" a="1"/>
  <c r="H36" i="1"/>
  <c r="D48" i="1"/>
  <c r="F45" i="1" a="1"/>
  <c r="F45" i="1"/>
  <c r="F36" i="1" a="1"/>
  <c r="F36" i="1"/>
  <c r="C48" i="1"/>
  <c r="G45" i="1" a="1"/>
  <c r="G45" i="1"/>
  <c r="E45" i="1" a="1"/>
  <c r="E45" i="1"/>
  <c r="D45" i="1" a="1"/>
  <c r="D45" i="1"/>
  <c r="C45" i="1" a="1"/>
  <c r="C45" i="1"/>
  <c r="H44" i="1" a="1"/>
  <c r="H44" i="1"/>
  <c r="G44" i="1" a="1"/>
  <c r="G44" i="1"/>
  <c r="F44" i="1" a="1"/>
  <c r="F44" i="1"/>
  <c r="E44" i="1" a="1"/>
  <c r="E44" i="1"/>
  <c r="D44" i="1" a="1"/>
  <c r="D44" i="1"/>
  <c r="C44" i="1" a="1"/>
  <c r="C44" i="1"/>
  <c r="C124" i="1" a="1"/>
  <c r="C124" i="1"/>
  <c r="C127" i="1" a="1"/>
  <c r="C127" i="1"/>
  <c r="C126" i="1" a="1"/>
  <c r="C126" i="1"/>
  <c r="C125" i="1" a="1"/>
  <c r="C125" i="1"/>
  <c r="E216" i="1"/>
  <c r="AK216" i="1" a="1"/>
  <c r="AK216" i="1"/>
  <c r="AJ216" i="1" a="1"/>
  <c r="AJ216" i="1"/>
  <c r="AI216" i="1" a="1"/>
  <c r="AI216" i="1"/>
  <c r="AH216" i="1" a="1"/>
  <c r="AH216" i="1"/>
  <c r="AG216" i="1" a="1"/>
  <c r="AG216" i="1"/>
  <c r="AF216" i="1" a="1"/>
  <c r="AF216" i="1"/>
  <c r="AE216" i="1" a="1"/>
  <c r="AE216" i="1"/>
  <c r="AD216" i="1" a="1"/>
  <c r="AD216" i="1"/>
  <c r="AC216" i="1" a="1"/>
  <c r="AC216" i="1"/>
  <c r="AB216" i="1" a="1"/>
  <c r="AB216" i="1"/>
  <c r="AA216" i="1" a="1"/>
  <c r="AA216" i="1"/>
  <c r="Z216" i="1" a="1"/>
  <c r="Z216" i="1"/>
  <c r="Y216" i="1" a="1"/>
  <c r="Y216" i="1"/>
  <c r="J110" i="1" a="1"/>
  <c r="J110" i="1"/>
  <c r="G214" i="1" a="1"/>
  <c r="G214" i="1"/>
  <c r="I214" i="1" a="1"/>
  <c r="C214" i="1" a="1"/>
  <c r="F214" i="1" a="1"/>
  <c r="D214" i="1" a="1"/>
  <c r="C79" i="1" a="1"/>
  <c r="C79" i="1"/>
  <c r="C130" i="1"/>
  <c r="B214" i="1" a="1"/>
  <c r="J112" i="1"/>
  <c r="E214" i="1" a="1"/>
  <c r="H214" i="1" a="1"/>
  <c r="I214" i="1"/>
  <c r="C214" i="1"/>
  <c r="F214" i="1"/>
  <c r="D214" i="1"/>
  <c r="B214" i="1"/>
  <c r="E214" i="1"/>
  <c r="H214" i="1"/>
  <c r="AK214" i="1" a="1"/>
  <c r="AK214" i="1"/>
  <c r="AJ214" i="1" a="1"/>
  <c r="AJ214" i="1"/>
  <c r="AI214" i="1" a="1"/>
  <c r="AI214" i="1"/>
  <c r="AH214" i="1" a="1"/>
  <c r="AH214" i="1"/>
  <c r="AG214" i="1" a="1"/>
  <c r="AG214" i="1"/>
  <c r="AF214" i="1" a="1"/>
  <c r="AF214" i="1"/>
  <c r="AE214" i="1" a="1"/>
  <c r="AE214" i="1"/>
  <c r="AD214" i="1" a="1"/>
  <c r="AD214" i="1"/>
  <c r="AC214" i="1" a="1"/>
  <c r="AC214" i="1"/>
  <c r="AB214" i="1" a="1"/>
  <c r="AB214" i="1"/>
  <c r="AA214" i="1" a="1"/>
  <c r="AA214" i="1"/>
  <c r="Z214" i="1" a="1"/>
  <c r="Z214" i="1"/>
  <c r="Y214" i="1" a="1"/>
  <c r="Y214" i="1"/>
  <c r="E211" i="1"/>
  <c r="AK211" i="1" a="1"/>
  <c r="AK211" i="1"/>
  <c r="AJ211" i="1" a="1"/>
  <c r="AJ211" i="1"/>
  <c r="AI211" i="1" a="1"/>
  <c r="AI211" i="1"/>
  <c r="AH211" i="1" a="1"/>
  <c r="AH211" i="1"/>
  <c r="AG211" i="1" a="1"/>
  <c r="AG211" i="1"/>
  <c r="AF211" i="1" a="1"/>
  <c r="AF211" i="1"/>
  <c r="AE211" i="1" a="1"/>
  <c r="AE211" i="1"/>
  <c r="AD211" i="1" a="1"/>
  <c r="AD211" i="1"/>
  <c r="AC211" i="1" a="1"/>
  <c r="AC211" i="1"/>
  <c r="AB211" i="1" a="1"/>
  <c r="AB211" i="1"/>
  <c r="AA211" i="1" a="1"/>
  <c r="AA211" i="1"/>
  <c r="Z211" i="1" a="1"/>
  <c r="Z211" i="1"/>
  <c r="Y211" i="1" a="1"/>
  <c r="Y211" i="1"/>
  <c r="I110" i="1" a="1"/>
  <c r="I110" i="1"/>
  <c r="G209" i="1" a="1"/>
  <c r="G209" i="1"/>
  <c r="I209" i="1" a="1"/>
  <c r="C209" i="1" a="1"/>
  <c r="F209" i="1" a="1"/>
  <c r="D209" i="1" a="1"/>
  <c r="B209" i="1" a="1"/>
  <c r="I112" i="1"/>
  <c r="E209" i="1" a="1"/>
  <c r="H209" i="1" a="1"/>
  <c r="I209" i="1"/>
  <c r="C209" i="1"/>
  <c r="F209" i="1"/>
  <c r="D209" i="1"/>
  <c r="B209" i="1"/>
  <c r="E209" i="1"/>
  <c r="H209" i="1"/>
  <c r="AK209" i="1" a="1"/>
  <c r="AK209" i="1"/>
  <c r="AJ209" i="1" a="1"/>
  <c r="AJ209" i="1"/>
  <c r="AI209" i="1" a="1"/>
  <c r="AI209" i="1"/>
  <c r="AH209" i="1" a="1"/>
  <c r="AH209" i="1"/>
  <c r="AG209" i="1" a="1"/>
  <c r="AG209" i="1"/>
  <c r="AF209" i="1" a="1"/>
  <c r="AF209" i="1"/>
  <c r="AE209" i="1" a="1"/>
  <c r="AE209" i="1"/>
  <c r="AD209" i="1" a="1"/>
  <c r="AD209" i="1"/>
  <c r="AC209" i="1" a="1"/>
  <c r="AC209" i="1"/>
  <c r="AB209" i="1" a="1"/>
  <c r="AB209" i="1"/>
  <c r="AA209" i="1" a="1"/>
  <c r="AA209" i="1"/>
  <c r="Z209" i="1" a="1"/>
  <c r="Z209" i="1"/>
  <c r="Y209" i="1" a="1"/>
  <c r="Y209" i="1"/>
  <c r="AK206" i="1" a="1"/>
  <c r="AK206" i="1"/>
  <c r="AJ206" i="1" a="1"/>
  <c r="AJ206" i="1"/>
  <c r="AI206" i="1" a="1"/>
  <c r="AI206" i="1"/>
  <c r="AH206" i="1" a="1"/>
  <c r="AH206" i="1"/>
  <c r="AG206" i="1" a="1"/>
  <c r="AG206" i="1"/>
  <c r="AF206" i="1" a="1"/>
  <c r="AF206" i="1"/>
  <c r="AE206" i="1" a="1"/>
  <c r="AE206" i="1"/>
  <c r="AD206" i="1" a="1"/>
  <c r="AD206" i="1"/>
  <c r="AC206" i="1" a="1"/>
  <c r="AC206" i="1"/>
  <c r="AB206" i="1" a="1"/>
  <c r="AB206" i="1"/>
  <c r="AA206" i="1" a="1"/>
  <c r="AA206" i="1"/>
  <c r="Z206" i="1" a="1"/>
  <c r="Z206" i="1"/>
  <c r="Y206" i="1" a="1"/>
  <c r="Y206" i="1"/>
  <c r="G204" i="1" a="1"/>
  <c r="G204" i="1"/>
  <c r="I204" i="1" a="1"/>
  <c r="I204" i="1"/>
  <c r="C204" i="1" a="1"/>
  <c r="F204" i="1" a="1"/>
  <c r="D204" i="1" a="1"/>
  <c r="B204" i="1" a="1"/>
  <c r="H112" i="1"/>
  <c r="E204" i="1" a="1"/>
  <c r="H204" i="1" a="1"/>
  <c r="C204" i="1"/>
  <c r="F204" i="1"/>
  <c r="D204" i="1"/>
  <c r="B204" i="1"/>
  <c r="E204" i="1"/>
  <c r="H204" i="1"/>
  <c r="AK204" i="1" a="1"/>
  <c r="AK204" i="1"/>
  <c r="AJ204" i="1" a="1"/>
  <c r="AJ204" i="1"/>
  <c r="AI204" i="1" a="1"/>
  <c r="AI204" i="1"/>
  <c r="AH204" i="1" a="1"/>
  <c r="AH204" i="1"/>
  <c r="AG204" i="1" a="1"/>
  <c r="AG204" i="1"/>
  <c r="AF204" i="1" a="1"/>
  <c r="AF204" i="1"/>
  <c r="AE204" i="1" a="1"/>
  <c r="AE204" i="1"/>
  <c r="AD204" i="1" a="1"/>
  <c r="AD204" i="1"/>
  <c r="AC204" i="1" a="1"/>
  <c r="AC204" i="1"/>
  <c r="AB204" i="1" a="1"/>
  <c r="AB204" i="1"/>
  <c r="AA204" i="1" a="1"/>
  <c r="AA204" i="1"/>
  <c r="Z204" i="1" a="1"/>
  <c r="Z204" i="1"/>
  <c r="Y204" i="1" a="1"/>
  <c r="Y204" i="1"/>
  <c r="E199" i="1"/>
  <c r="AK199" i="1" a="1"/>
  <c r="AK199" i="1"/>
  <c r="AJ199" i="1" a="1"/>
  <c r="AJ199" i="1"/>
  <c r="AI199" i="1" a="1"/>
  <c r="AI199" i="1"/>
  <c r="AH199" i="1" a="1"/>
  <c r="AH199" i="1"/>
  <c r="AG199" i="1" a="1"/>
  <c r="AG199" i="1"/>
  <c r="AF199" i="1" a="1"/>
  <c r="AF199" i="1"/>
  <c r="AE199" i="1" a="1"/>
  <c r="AE199" i="1"/>
  <c r="AD199" i="1" a="1"/>
  <c r="AD199" i="1"/>
  <c r="AC199" i="1" a="1"/>
  <c r="AC199" i="1"/>
  <c r="AB199" i="1" a="1"/>
  <c r="AB199" i="1"/>
  <c r="AA199" i="1" a="1"/>
  <c r="AA199" i="1"/>
  <c r="Z199" i="1" a="1"/>
  <c r="Z199" i="1"/>
  <c r="Y199" i="1" a="1"/>
  <c r="Y199" i="1"/>
  <c r="G110" i="1" a="1"/>
  <c r="G110" i="1"/>
  <c r="G197" i="1" a="1"/>
  <c r="G197" i="1"/>
  <c r="I197" i="1" a="1"/>
  <c r="C197" i="1" a="1"/>
  <c r="F197" i="1" a="1"/>
  <c r="D197" i="1" a="1"/>
  <c r="B197" i="1" a="1"/>
  <c r="G112" i="1"/>
  <c r="E197" i="1" a="1"/>
  <c r="H197" i="1" a="1"/>
  <c r="I197" i="1"/>
  <c r="C197" i="1"/>
  <c r="F197" i="1"/>
  <c r="D197" i="1"/>
  <c r="B197" i="1"/>
  <c r="E197" i="1"/>
  <c r="H197" i="1"/>
  <c r="AK197" i="1" a="1"/>
  <c r="AK197" i="1"/>
  <c r="AJ197" i="1" a="1"/>
  <c r="AJ197" i="1"/>
  <c r="AI197" i="1" a="1"/>
  <c r="AI197" i="1"/>
  <c r="AH197" i="1" a="1"/>
  <c r="AH197" i="1"/>
  <c r="AG197" i="1" a="1"/>
  <c r="AG197" i="1"/>
  <c r="AF197" i="1" a="1"/>
  <c r="AF197" i="1"/>
  <c r="AE197" i="1" a="1"/>
  <c r="AE197" i="1"/>
  <c r="AD197" i="1" a="1"/>
  <c r="AD197" i="1"/>
  <c r="AC197" i="1" a="1"/>
  <c r="AC197" i="1"/>
  <c r="AB197" i="1" a="1"/>
  <c r="AB197" i="1"/>
  <c r="AA197" i="1" a="1"/>
  <c r="AA197" i="1"/>
  <c r="Z197" i="1" a="1"/>
  <c r="Z197" i="1"/>
  <c r="Y197" i="1" a="1"/>
  <c r="Y197" i="1"/>
  <c r="E194" i="1"/>
  <c r="AK194" i="1" a="1"/>
  <c r="AK194" i="1"/>
  <c r="AJ194" i="1" a="1"/>
  <c r="AJ194" i="1"/>
  <c r="AI194" i="1" a="1"/>
  <c r="AI194" i="1"/>
  <c r="AH194" i="1" a="1"/>
  <c r="AH194" i="1"/>
  <c r="AG194" i="1" a="1"/>
  <c r="AG194" i="1"/>
  <c r="AF194" i="1" a="1"/>
  <c r="AF194" i="1"/>
  <c r="AE194" i="1" a="1"/>
  <c r="AE194" i="1"/>
  <c r="AD194" i="1" a="1"/>
  <c r="AD194" i="1"/>
  <c r="AC194" i="1" a="1"/>
  <c r="AC194" i="1"/>
  <c r="AB194" i="1" a="1"/>
  <c r="AB194" i="1"/>
  <c r="AA194" i="1" a="1"/>
  <c r="AA194" i="1"/>
  <c r="Z194" i="1" a="1"/>
  <c r="Z194" i="1"/>
  <c r="Y194" i="1" a="1"/>
  <c r="Y194" i="1"/>
  <c r="F110" i="1" a="1"/>
  <c r="F110" i="1"/>
  <c r="G192" i="1" a="1"/>
  <c r="G192" i="1"/>
  <c r="I192" i="1" a="1"/>
  <c r="C192" i="1" a="1"/>
  <c r="F192" i="1" a="1"/>
  <c r="D192" i="1" a="1"/>
  <c r="B192" i="1" a="1"/>
  <c r="F112" i="1"/>
  <c r="E192" i="1" a="1"/>
  <c r="H192" i="1" a="1"/>
  <c r="I192" i="1"/>
  <c r="C192" i="1"/>
  <c r="F192" i="1"/>
  <c r="D192" i="1"/>
  <c r="B192" i="1"/>
  <c r="E192" i="1"/>
  <c r="H192" i="1"/>
  <c r="AK192" i="1" a="1"/>
  <c r="AK192" i="1"/>
  <c r="AJ192" i="1" a="1"/>
  <c r="AJ192" i="1"/>
  <c r="AI192" i="1" a="1"/>
  <c r="AI192" i="1"/>
  <c r="AH192" i="1" a="1"/>
  <c r="AH192" i="1"/>
  <c r="AG192" i="1" a="1"/>
  <c r="AG192" i="1"/>
  <c r="AF192" i="1" a="1"/>
  <c r="AF192" i="1"/>
  <c r="AE192" i="1" a="1"/>
  <c r="AE192" i="1"/>
  <c r="AD192" i="1" a="1"/>
  <c r="AD192" i="1"/>
  <c r="AC192" i="1" a="1"/>
  <c r="AC192" i="1"/>
  <c r="AB192" i="1" a="1"/>
  <c r="AB192" i="1"/>
  <c r="AA192" i="1" a="1"/>
  <c r="AA192" i="1"/>
  <c r="Z192" i="1" a="1"/>
  <c r="Z192" i="1"/>
  <c r="Y192" i="1" a="1"/>
  <c r="Y192" i="1"/>
  <c r="E189" i="1"/>
  <c r="AK189" i="1" a="1"/>
  <c r="AK189" i="1"/>
  <c r="AJ189" i="1" a="1"/>
  <c r="AJ189" i="1"/>
  <c r="AI189" i="1" a="1"/>
  <c r="AI189" i="1"/>
  <c r="AH189" i="1" a="1"/>
  <c r="AH189" i="1"/>
  <c r="AG189" i="1" a="1"/>
  <c r="AG189" i="1"/>
  <c r="AF189" i="1" a="1"/>
  <c r="AF189" i="1"/>
  <c r="AE189" i="1" a="1"/>
  <c r="AE189" i="1"/>
  <c r="AD189" i="1" a="1"/>
  <c r="AD189" i="1"/>
  <c r="AC189" i="1" a="1"/>
  <c r="AC189" i="1"/>
  <c r="AB189" i="1" a="1"/>
  <c r="AB189" i="1"/>
  <c r="AA189" i="1" a="1"/>
  <c r="AA189" i="1"/>
  <c r="Z189" i="1" a="1"/>
  <c r="Z189" i="1"/>
  <c r="Y189" i="1" a="1"/>
  <c r="Y189" i="1"/>
  <c r="E110" i="1" a="1"/>
  <c r="E110" i="1"/>
  <c r="G187" i="1" a="1"/>
  <c r="G187" i="1"/>
  <c r="I187" i="1" a="1"/>
  <c r="C187" i="1" a="1"/>
  <c r="F187" i="1" a="1"/>
  <c r="D187" i="1" a="1"/>
  <c r="B187" i="1" a="1"/>
  <c r="E112" i="1"/>
  <c r="E187" i="1" a="1"/>
  <c r="H187" i="1" a="1"/>
  <c r="I187" i="1"/>
  <c r="C187" i="1"/>
  <c r="F187" i="1"/>
  <c r="D187" i="1"/>
  <c r="B187" i="1"/>
  <c r="E187" i="1"/>
  <c r="H187" i="1"/>
  <c r="AK187" i="1" a="1"/>
  <c r="AK187" i="1"/>
  <c r="AJ187" i="1" a="1"/>
  <c r="AJ187" i="1"/>
  <c r="AI187" i="1" a="1"/>
  <c r="AI187" i="1"/>
  <c r="AH187" i="1" a="1"/>
  <c r="AH187" i="1"/>
  <c r="AG187" i="1" a="1"/>
  <c r="AG187" i="1"/>
  <c r="AF187" i="1" a="1"/>
  <c r="AF187" i="1"/>
  <c r="AE187" i="1" a="1"/>
  <c r="AE187" i="1"/>
  <c r="AD187" i="1" a="1"/>
  <c r="AD187" i="1"/>
  <c r="AC187" i="1" a="1"/>
  <c r="AC187" i="1"/>
  <c r="AB187" i="1" a="1"/>
  <c r="AB187" i="1"/>
  <c r="AA187" i="1" a="1"/>
  <c r="AA187" i="1"/>
  <c r="Z187" i="1" a="1"/>
  <c r="Z187" i="1"/>
  <c r="Y187" i="1" a="1"/>
  <c r="Y187" i="1"/>
  <c r="E184" i="1"/>
  <c r="AK184" i="1" a="1"/>
  <c r="AK184" i="1"/>
  <c r="AJ184" i="1" a="1"/>
  <c r="AJ184" i="1"/>
  <c r="AI184" i="1" a="1"/>
  <c r="AI184" i="1"/>
  <c r="AH184" i="1" a="1"/>
  <c r="AH184" i="1"/>
  <c r="AG184" i="1" a="1"/>
  <c r="AG184" i="1"/>
  <c r="AF184" i="1" a="1"/>
  <c r="AF184" i="1"/>
  <c r="AE184" i="1" a="1"/>
  <c r="AE184" i="1"/>
  <c r="AD184" i="1" a="1"/>
  <c r="AD184" i="1"/>
  <c r="AC184" i="1" a="1"/>
  <c r="AC184" i="1"/>
  <c r="AB184" i="1" a="1"/>
  <c r="AB184" i="1"/>
  <c r="AA184" i="1" a="1"/>
  <c r="AA184" i="1"/>
  <c r="Z184" i="1" a="1"/>
  <c r="Z184" i="1"/>
  <c r="Y184" i="1" a="1"/>
  <c r="Y184" i="1"/>
  <c r="G182" i="1" a="1"/>
  <c r="G182" i="1"/>
  <c r="I182" i="1" a="1"/>
  <c r="I182" i="1"/>
  <c r="C182" i="1" a="1"/>
  <c r="F182" i="1" a="1"/>
  <c r="D182" i="1" a="1"/>
  <c r="B182" i="1" a="1"/>
  <c r="D112" i="1"/>
  <c r="E182" i="1" a="1"/>
  <c r="H182" i="1" a="1"/>
  <c r="C182" i="1"/>
  <c r="F182" i="1"/>
  <c r="D182" i="1"/>
  <c r="B182" i="1"/>
  <c r="E182" i="1"/>
  <c r="H182" i="1"/>
  <c r="AK182" i="1" a="1"/>
  <c r="AK182" i="1"/>
  <c r="AJ182" i="1" a="1"/>
  <c r="AJ182" i="1"/>
  <c r="AI182" i="1" a="1"/>
  <c r="AI182" i="1"/>
  <c r="AH182" i="1" a="1"/>
  <c r="AH182" i="1"/>
  <c r="AG182" i="1" a="1"/>
  <c r="AG182" i="1"/>
  <c r="AF182" i="1" a="1"/>
  <c r="AF182" i="1"/>
  <c r="AE182" i="1" a="1"/>
  <c r="AE182" i="1"/>
  <c r="AD182" i="1" a="1"/>
  <c r="AD182" i="1"/>
  <c r="AC182" i="1" a="1"/>
  <c r="AC182" i="1"/>
  <c r="AB182" i="1" a="1"/>
  <c r="AB182" i="1"/>
  <c r="AA182" i="1" a="1"/>
  <c r="AA182" i="1"/>
  <c r="Z182" i="1" a="1"/>
  <c r="Z182" i="1"/>
  <c r="Y182" i="1" a="1"/>
  <c r="Y182" i="1"/>
  <c r="E179" i="1"/>
  <c r="AK179" i="1" a="1"/>
  <c r="AK179" i="1"/>
  <c r="AJ179" i="1" a="1"/>
  <c r="AJ179" i="1"/>
  <c r="AI179" i="1" a="1"/>
  <c r="AI179" i="1"/>
  <c r="AH179" i="1" a="1"/>
  <c r="AH179" i="1"/>
  <c r="AG179" i="1" a="1"/>
  <c r="AG179" i="1"/>
  <c r="AF179" i="1" a="1"/>
  <c r="AF179" i="1"/>
  <c r="AE179" i="1" a="1"/>
  <c r="AE179" i="1"/>
  <c r="AD179" i="1" a="1"/>
  <c r="AD179" i="1"/>
  <c r="AC179" i="1" a="1"/>
  <c r="AC179" i="1"/>
  <c r="AB179" i="1" a="1"/>
  <c r="AB179" i="1"/>
  <c r="AA179" i="1" a="1"/>
  <c r="AA179" i="1"/>
  <c r="Z179" i="1" a="1"/>
  <c r="Z179" i="1"/>
  <c r="Y179" i="1" a="1"/>
  <c r="Y179" i="1"/>
  <c r="C110" i="1" a="1"/>
  <c r="C110" i="1"/>
  <c r="G177" i="1" a="1"/>
  <c r="G177" i="1"/>
  <c r="I177" i="1" a="1"/>
  <c r="C177" i="1" a="1"/>
  <c r="F177" i="1" a="1"/>
  <c r="D177" i="1" a="1"/>
  <c r="B177" i="1" a="1"/>
  <c r="C112" i="1"/>
  <c r="E177" i="1" a="1"/>
  <c r="H177" i="1" a="1"/>
  <c r="I177" i="1"/>
  <c r="C177" i="1"/>
  <c r="F177" i="1"/>
  <c r="D177" i="1"/>
  <c r="B177" i="1"/>
  <c r="E177" i="1"/>
  <c r="H177" i="1"/>
  <c r="AK177" i="1" a="1"/>
  <c r="AK177" i="1"/>
  <c r="AJ177" i="1" a="1"/>
  <c r="AJ177" i="1"/>
  <c r="AI177" i="1" a="1"/>
  <c r="AI177" i="1"/>
  <c r="AH177" i="1" a="1"/>
  <c r="AH177" i="1"/>
  <c r="AG177" i="1" a="1"/>
  <c r="AG177" i="1"/>
  <c r="AF177" i="1" a="1"/>
  <c r="AF177" i="1"/>
  <c r="AE177" i="1" a="1"/>
  <c r="AE177" i="1"/>
  <c r="AD177" i="1" a="1"/>
  <c r="AD177" i="1"/>
  <c r="AC177" i="1" a="1"/>
  <c r="AC177" i="1"/>
  <c r="AB177" i="1" a="1"/>
  <c r="AB177" i="1"/>
  <c r="AA177" i="1" a="1"/>
  <c r="AA177" i="1"/>
  <c r="Z177" i="1" a="1"/>
  <c r="Z177" i="1"/>
  <c r="Y177" i="1" a="1"/>
  <c r="Y177" i="1"/>
  <c r="C117" i="1" a="1"/>
  <c r="C117" i="1"/>
  <c r="M214" i="1" a="1"/>
  <c r="M214" i="1"/>
  <c r="L214" i="1" a="1"/>
  <c r="L214" i="1"/>
  <c r="C68" i="1" a="1"/>
  <c r="C68" i="1"/>
  <c r="K214" i="1" a="1"/>
  <c r="K214" i="1"/>
  <c r="J214" i="1" a="1"/>
  <c r="J214" i="1"/>
  <c r="A214" i="1" a="1"/>
  <c r="A214" i="1"/>
  <c r="M209" i="1" a="1"/>
  <c r="M209" i="1"/>
  <c r="L209" i="1" a="1"/>
  <c r="L209" i="1"/>
  <c r="K209" i="1" a="1"/>
  <c r="K209" i="1"/>
  <c r="A209" i="1" a="1"/>
  <c r="A209" i="1"/>
  <c r="M204" i="1" a="1"/>
  <c r="M204" i="1"/>
  <c r="L204" i="1" a="1"/>
  <c r="L204" i="1"/>
  <c r="K204" i="1" a="1"/>
  <c r="K204" i="1"/>
  <c r="A204" i="1" a="1"/>
  <c r="A204" i="1"/>
  <c r="M197" i="1" a="1"/>
  <c r="M197" i="1"/>
  <c r="L197" i="1" a="1"/>
  <c r="L197" i="1"/>
  <c r="K197" i="1" a="1"/>
  <c r="K197" i="1"/>
  <c r="A197" i="1" a="1"/>
  <c r="A197" i="1"/>
  <c r="M192" i="1" a="1"/>
  <c r="M192" i="1"/>
  <c r="L192" i="1" a="1"/>
  <c r="L192" i="1"/>
  <c r="K192" i="1" a="1"/>
  <c r="K192" i="1"/>
  <c r="A192" i="1" a="1"/>
  <c r="A192" i="1"/>
  <c r="M187" i="1" a="1"/>
  <c r="M187" i="1"/>
  <c r="L187" i="1" a="1"/>
  <c r="L187" i="1"/>
  <c r="K187" i="1" a="1"/>
  <c r="K187" i="1"/>
  <c r="J187" i="1" a="1"/>
  <c r="J187" i="1"/>
  <c r="A187" i="1" a="1"/>
  <c r="A187" i="1"/>
  <c r="M182" i="1" a="1"/>
  <c r="M182" i="1"/>
  <c r="L182" i="1" a="1"/>
  <c r="L182" i="1"/>
  <c r="K182" i="1" a="1"/>
  <c r="K182" i="1"/>
  <c r="A182" i="1" a="1"/>
  <c r="A182" i="1"/>
  <c r="M177" i="1" a="1"/>
  <c r="M177" i="1"/>
  <c r="L177" i="1" a="1"/>
  <c r="L177" i="1"/>
  <c r="K177" i="1" a="1"/>
  <c r="K177" i="1"/>
  <c r="A177" i="1" a="1"/>
  <c r="A177" i="1"/>
  <c r="B151" i="1"/>
  <c r="AK151" i="1" a="1"/>
  <c r="AK151" i="1"/>
  <c r="AJ151" i="1" a="1"/>
  <c r="AJ151" i="1"/>
  <c r="AI151" i="1" a="1"/>
  <c r="AI151" i="1"/>
  <c r="AH151" i="1" a="1"/>
  <c r="AH151" i="1"/>
  <c r="AG151" i="1" a="1"/>
  <c r="AG151" i="1"/>
  <c r="AF151" i="1" a="1"/>
  <c r="AF151" i="1"/>
  <c r="AE151" i="1" a="1"/>
  <c r="AE151" i="1"/>
  <c r="AD151" i="1" a="1"/>
  <c r="AD151" i="1"/>
  <c r="AC151" i="1" a="1"/>
  <c r="AC151" i="1"/>
  <c r="AB151" i="1" a="1"/>
  <c r="AB151" i="1"/>
  <c r="AA151" i="1" a="1"/>
  <c r="AA151" i="1"/>
  <c r="Z151" i="1" a="1"/>
  <c r="Z151" i="1"/>
  <c r="Y151" i="1" a="1"/>
  <c r="Y151" i="1"/>
  <c r="B150" i="1"/>
  <c r="AK150" i="1" a="1"/>
  <c r="AK150" i="1"/>
  <c r="AJ150" i="1" a="1"/>
  <c r="AJ150" i="1"/>
  <c r="AI150" i="1" a="1"/>
  <c r="AI150" i="1"/>
  <c r="AH150" i="1" a="1"/>
  <c r="AH150" i="1"/>
  <c r="AG150" i="1" a="1"/>
  <c r="AG150" i="1"/>
  <c r="AF150" i="1" a="1"/>
  <c r="AF150" i="1"/>
  <c r="AE150" i="1" a="1"/>
  <c r="AE150" i="1"/>
  <c r="AD150" i="1" a="1"/>
  <c r="AD150" i="1"/>
  <c r="AC150" i="1" a="1"/>
  <c r="AC150" i="1"/>
  <c r="AB150" i="1" a="1"/>
  <c r="AB150" i="1"/>
  <c r="AA150" i="1" a="1"/>
  <c r="AA150" i="1"/>
  <c r="Z150" i="1" a="1"/>
  <c r="Z150" i="1"/>
  <c r="Y150" i="1" a="1"/>
  <c r="Y150" i="1"/>
  <c r="C144" i="1" a="1"/>
  <c r="C144" i="1"/>
  <c r="C143" i="1" a="1"/>
  <c r="C143" i="1"/>
  <c r="C140" i="1" a="1"/>
  <c r="C140" i="1"/>
  <c r="C139" i="1" a="1"/>
  <c r="C139" i="1"/>
  <c r="C102" i="1" a="1"/>
  <c r="C102" i="1"/>
  <c r="C105" i="1" a="1"/>
  <c r="C105" i="1"/>
  <c r="C72" i="1" a="1"/>
  <c r="C72" i="1"/>
  <c r="C104" i="1" a="1"/>
  <c r="C104" i="1"/>
  <c r="D104" i="1" a="1"/>
  <c r="D104" i="1"/>
  <c r="C103" i="1" a="1"/>
  <c r="C103" i="1"/>
  <c r="C98" i="1" a="1"/>
  <c r="C98" i="1"/>
  <c r="C97" i="1" a="1"/>
  <c r="C97" i="1"/>
  <c r="C96" i="1" a="1"/>
  <c r="C96" i="1"/>
  <c r="C95" i="1" a="1"/>
  <c r="C95" i="1"/>
  <c r="C94" i="1" a="1"/>
  <c r="C94" i="1"/>
  <c r="C92" i="1" a="1"/>
  <c r="C92" i="1"/>
  <c r="C91" i="1" a="1"/>
  <c r="C91" i="1"/>
  <c r="C90" i="1" a="1"/>
  <c r="C90" i="1"/>
  <c r="C89" i="1" a="1"/>
  <c r="C89" i="1"/>
  <c r="C88" i="1" a="1"/>
  <c r="C88" i="1"/>
  <c r="C87" i="1" a="1"/>
  <c r="C87" i="1"/>
  <c r="C70" i="1" a="1"/>
  <c r="C70" i="1"/>
  <c r="D86" i="1" a="1"/>
  <c r="D86" i="1"/>
  <c r="C69" i="1" a="1"/>
  <c r="C69" i="1"/>
  <c r="D85" i="1" a="1"/>
  <c r="D85" i="1"/>
  <c r="C82" i="1" a="1"/>
  <c r="C82" i="1"/>
  <c r="C81" i="1" a="1"/>
  <c r="C81" i="1"/>
  <c r="D81" i="1" a="1"/>
  <c r="D81" i="1"/>
  <c r="C80" i="1" a="1"/>
  <c r="C80" i="1"/>
  <c r="C71" i="1" a="1"/>
  <c r="C71" i="1"/>
  <c r="D79" i="1" a="1"/>
  <c r="D79" i="1"/>
  <c r="C73" i="1" a="1"/>
  <c r="C73" i="1"/>
  <c r="D63" i="1" a="1"/>
  <c r="D63" i="1"/>
  <c r="C63" i="1" a="1"/>
  <c r="C63" i="1"/>
  <c r="D62" i="1" a="1"/>
  <c r="D62" i="1"/>
  <c r="C62" i="1" a="1"/>
  <c r="C62" i="1"/>
  <c r="D61" i="1" a="1"/>
  <c r="D61" i="1"/>
  <c r="C61" i="1" a="1"/>
  <c r="C61" i="1"/>
  <c r="D60" i="1" a="1"/>
  <c r="D60" i="1"/>
  <c r="C60" i="1" a="1"/>
  <c r="C60" i="1"/>
  <c r="D59" i="1" a="1"/>
  <c r="D59" i="1"/>
  <c r="C59" i="1" a="1"/>
  <c r="C59" i="1"/>
  <c r="D58" i="1" a="1"/>
  <c r="D58" i="1"/>
  <c r="C58" i="1" a="1"/>
  <c r="C58" i="1"/>
  <c r="D57" i="1" a="1"/>
  <c r="D57" i="1"/>
  <c r="C57" i="1" a="1"/>
  <c r="C57" i="1"/>
  <c r="C53" i="1" a="1"/>
  <c r="C53" i="1"/>
  <c r="H43" i="1" a="1"/>
  <c r="H43" i="1"/>
  <c r="G43" i="1" a="1"/>
  <c r="G43" i="1"/>
  <c r="F43" i="1" a="1"/>
  <c r="F43" i="1"/>
  <c r="E43" i="1" a="1"/>
  <c r="E43" i="1"/>
  <c r="D43" i="1" a="1"/>
  <c r="D43" i="1"/>
  <c r="C43" i="1" a="1"/>
  <c r="C43" i="1"/>
  <c r="H42" i="1" a="1"/>
  <c r="H42" i="1"/>
  <c r="G42" i="1" a="1"/>
  <c r="G42" i="1"/>
  <c r="F42" i="1" a="1"/>
  <c r="F42" i="1"/>
  <c r="E42" i="1" a="1"/>
  <c r="E42" i="1"/>
  <c r="D42" i="1" a="1"/>
  <c r="D42" i="1"/>
  <c r="C42" i="1" a="1"/>
  <c r="C42" i="1"/>
  <c r="H41" i="1" a="1"/>
  <c r="H41" i="1"/>
  <c r="G41" i="1" a="1"/>
  <c r="G41" i="1"/>
  <c r="F41" i="1" a="1"/>
  <c r="F41" i="1"/>
  <c r="E41" i="1" a="1"/>
  <c r="E41" i="1"/>
  <c r="D41" i="1" a="1"/>
  <c r="D41" i="1"/>
  <c r="C41" i="1" a="1"/>
  <c r="C41" i="1"/>
  <c r="H40" i="1" a="1"/>
  <c r="H40" i="1"/>
  <c r="G40" i="1" a="1"/>
  <c r="G40" i="1"/>
  <c r="F40" i="1" a="1"/>
  <c r="F40" i="1"/>
  <c r="E40" i="1" a="1"/>
  <c r="E40" i="1"/>
  <c r="D40" i="1" a="1"/>
  <c r="D40" i="1"/>
  <c r="C40" i="1" a="1"/>
  <c r="C40" i="1"/>
  <c r="H39" i="1" a="1"/>
  <c r="H39" i="1"/>
  <c r="G39" i="1" a="1"/>
  <c r="G39" i="1"/>
  <c r="F39" i="1" a="1"/>
  <c r="F39" i="1"/>
  <c r="E39" i="1" a="1"/>
  <c r="E39" i="1"/>
  <c r="D39" i="1" a="1"/>
  <c r="D39" i="1"/>
  <c r="C39" i="1" a="1"/>
  <c r="C39" i="1"/>
  <c r="H38" i="1" a="1"/>
  <c r="H38" i="1"/>
  <c r="G38" i="1" a="1"/>
  <c r="G38" i="1"/>
  <c r="F38" i="1" a="1"/>
  <c r="F38" i="1"/>
  <c r="E38" i="1" a="1"/>
  <c r="E38" i="1"/>
  <c r="D38" i="1" a="1"/>
  <c r="D38" i="1"/>
  <c r="C38" i="1" a="1"/>
  <c r="C38" i="1"/>
  <c r="H37" i="1" a="1"/>
  <c r="H37" i="1"/>
  <c r="G37" i="1" a="1"/>
  <c r="G37" i="1"/>
  <c r="F37" i="1" a="1"/>
  <c r="F37" i="1"/>
  <c r="E37" i="1" a="1"/>
  <c r="E37" i="1"/>
  <c r="D37" i="1" a="1"/>
  <c r="D37" i="1"/>
  <c r="C37" i="1" a="1"/>
  <c r="C37" i="1"/>
  <c r="G36" i="1" a="1"/>
  <c r="G36" i="1"/>
  <c r="E36" i="1" a="1"/>
  <c r="E36" i="1"/>
  <c r="D36" i="1" a="1"/>
  <c r="D36" i="1"/>
  <c r="C36" i="1" a="1"/>
  <c r="C36" i="1"/>
  <c r="H35" i="1" a="1"/>
  <c r="H35" i="1"/>
  <c r="G35" i="1" a="1"/>
  <c r="G35" i="1"/>
  <c r="F35" i="1" a="1"/>
  <c r="F35" i="1"/>
  <c r="E35" i="1" a="1"/>
  <c r="E35" i="1"/>
  <c r="D35" i="1" a="1"/>
  <c r="D35" i="1"/>
  <c r="C35" i="1" a="1"/>
  <c r="C35" i="1"/>
  <c r="H34" i="1" a="1"/>
  <c r="H34" i="1"/>
  <c r="G34" i="1" a="1"/>
  <c r="G34" i="1"/>
  <c r="F34" i="1" a="1"/>
  <c r="F34" i="1"/>
  <c r="E34" i="1" a="1"/>
  <c r="E34" i="1"/>
  <c r="D34" i="1" a="1"/>
  <c r="D34" i="1"/>
  <c r="C34" i="1" a="1"/>
  <c r="C34" i="1"/>
  <c r="H33" i="1" a="1"/>
  <c r="H33" i="1"/>
  <c r="G33" i="1" a="1"/>
  <c r="G33" i="1"/>
  <c r="F33" i="1" a="1"/>
  <c r="F33" i="1"/>
  <c r="E33" i="1" a="1"/>
  <c r="E33" i="1"/>
  <c r="D33" i="1" a="1"/>
  <c r="D33" i="1"/>
  <c r="C33" i="1" a="1"/>
  <c r="C33" i="1"/>
  <c r="H32" i="1" a="1"/>
  <c r="H32" i="1"/>
  <c r="G32" i="1" a="1"/>
  <c r="G32" i="1"/>
  <c r="F32" i="1" a="1"/>
  <c r="F32" i="1"/>
  <c r="E32" i="1" a="1"/>
  <c r="E32" i="1"/>
  <c r="D32" i="1" a="1"/>
  <c r="D32" i="1"/>
  <c r="C32" i="1" a="1"/>
  <c r="C32" i="1"/>
  <c r="C20" i="1" a="1"/>
  <c r="C20" i="1"/>
  <c r="C26" i="1" a="1"/>
  <c r="C26" i="1"/>
  <c r="C25" i="1" a="1"/>
  <c r="C25" i="1"/>
  <c r="C24" i="1" a="1"/>
  <c r="C24" i="1"/>
  <c r="C23" i="1" a="1"/>
  <c r="C23" i="1"/>
  <c r="C22" i="1" a="1"/>
  <c r="C22" i="1"/>
  <c r="C21" i="1" a="1"/>
  <c r="C21" i="1"/>
  <c r="C16" i="1" a="1"/>
  <c r="C16" i="1"/>
  <c r="P214" i="1"/>
  <c r="P209" i="1"/>
  <c r="P204" i="1"/>
  <c r="AK213" i="1"/>
  <c r="AJ213" i="1"/>
  <c r="AI213" i="1"/>
  <c r="AH213" i="1"/>
  <c r="AG213" i="1"/>
  <c r="AF213" i="1"/>
  <c r="AE213" i="1"/>
  <c r="AD213" i="1"/>
  <c r="AC213" i="1"/>
  <c r="AB213" i="1"/>
  <c r="AA213" i="1"/>
  <c r="Z213" i="1"/>
  <c r="Y213" i="1"/>
  <c r="AK208" i="1"/>
  <c r="AJ208" i="1"/>
  <c r="AI208" i="1"/>
  <c r="AH208" i="1"/>
  <c r="AG208" i="1"/>
  <c r="AF208" i="1"/>
  <c r="AE208" i="1"/>
  <c r="AD208" i="1"/>
  <c r="AC208" i="1"/>
  <c r="AB208" i="1"/>
  <c r="AA208" i="1"/>
  <c r="Z208" i="1"/>
  <c r="Y208" i="1"/>
  <c r="U172" i="1"/>
  <c r="V175" i="1"/>
  <c r="S172" i="1"/>
  <c r="Q172" i="1"/>
  <c r="Q168" i="1"/>
  <c r="U166" i="1"/>
  <c r="W164" i="1"/>
  <c r="W170" i="1"/>
  <c r="U170" i="1"/>
  <c r="W168" i="1"/>
  <c r="U168" i="1"/>
  <c r="W166" i="1"/>
  <c r="Q166" i="1"/>
  <c r="W214" i="1"/>
  <c r="V214" i="1"/>
  <c r="U214" i="1"/>
  <c r="T214" i="1"/>
  <c r="S214" i="1"/>
  <c r="R214" i="1"/>
  <c r="Q214" i="1"/>
  <c r="W209" i="1"/>
  <c r="V209" i="1"/>
  <c r="U209" i="1"/>
  <c r="T209" i="1"/>
  <c r="S209" i="1"/>
  <c r="R209" i="1"/>
  <c r="Q209" i="1"/>
  <c r="C78" i="1"/>
  <c r="AK203" i="1"/>
  <c r="AJ203" i="1"/>
  <c r="AI203" i="1"/>
  <c r="AH203" i="1"/>
  <c r="AG203" i="1"/>
  <c r="AF203" i="1"/>
  <c r="AE203" i="1"/>
  <c r="AD203" i="1"/>
  <c r="AC203" i="1"/>
  <c r="AB203" i="1"/>
  <c r="AA203" i="1"/>
  <c r="Z203" i="1"/>
  <c r="Y203" i="1"/>
  <c r="AK196" i="1"/>
  <c r="AJ196" i="1"/>
  <c r="AI196" i="1"/>
  <c r="AH196" i="1"/>
  <c r="AG196" i="1"/>
  <c r="AF196" i="1"/>
  <c r="AE196" i="1"/>
  <c r="AD196" i="1"/>
  <c r="AC196" i="1"/>
  <c r="AB196" i="1"/>
  <c r="AA196" i="1"/>
  <c r="Z196" i="1"/>
  <c r="Y196" i="1"/>
  <c r="AK191" i="1"/>
  <c r="AJ191" i="1"/>
  <c r="AI191" i="1"/>
  <c r="AH191" i="1"/>
  <c r="AG191" i="1"/>
  <c r="AF191" i="1"/>
  <c r="AE191" i="1"/>
  <c r="AD191" i="1"/>
  <c r="AC191" i="1"/>
  <c r="AB191" i="1"/>
  <c r="AA191" i="1"/>
  <c r="Z191" i="1"/>
  <c r="Y191" i="1"/>
  <c r="AK186" i="1"/>
  <c r="AJ186" i="1"/>
  <c r="AI186" i="1"/>
  <c r="AH186" i="1"/>
  <c r="AG186" i="1"/>
  <c r="AF186" i="1"/>
  <c r="AE186" i="1"/>
  <c r="AD186" i="1"/>
  <c r="AC186" i="1"/>
  <c r="AB186" i="1"/>
  <c r="AA186" i="1"/>
  <c r="Z186" i="1"/>
  <c r="Y186" i="1"/>
  <c r="AK181" i="1"/>
  <c r="AJ181" i="1"/>
  <c r="AI181" i="1"/>
  <c r="AH181" i="1"/>
  <c r="AG181" i="1"/>
  <c r="AF181" i="1"/>
  <c r="AE181" i="1"/>
  <c r="AD181" i="1"/>
  <c r="AC181" i="1"/>
  <c r="AB181" i="1"/>
  <c r="AA181" i="1"/>
  <c r="Z181" i="1"/>
  <c r="Y181" i="1"/>
  <c r="W197" i="1"/>
  <c r="V197" i="1"/>
  <c r="U197" i="1"/>
  <c r="T197" i="1"/>
  <c r="S197" i="1"/>
  <c r="R197" i="1"/>
  <c r="Q197" i="1"/>
  <c r="P197" i="1"/>
  <c r="W192" i="1"/>
  <c r="V192" i="1"/>
  <c r="U192" i="1"/>
  <c r="T192" i="1"/>
  <c r="S192" i="1"/>
  <c r="R192" i="1"/>
  <c r="Q192" i="1"/>
  <c r="P192" i="1"/>
  <c r="W187" i="1"/>
  <c r="V187" i="1"/>
  <c r="U187" i="1"/>
  <c r="T187" i="1"/>
  <c r="S187" i="1"/>
  <c r="R187" i="1"/>
  <c r="Q187" i="1"/>
  <c r="P187" i="1"/>
  <c r="D91" i="1"/>
  <c r="E91" i="1"/>
  <c r="F91" i="1"/>
  <c r="W182" i="1"/>
  <c r="V182" i="1"/>
  <c r="U182" i="1"/>
  <c r="T182" i="1"/>
  <c r="S182" i="1"/>
  <c r="R182" i="1"/>
  <c r="Q182" i="1"/>
  <c r="P182" i="1"/>
  <c r="P177" i="1"/>
  <c r="S162" i="1"/>
  <c r="Q162" i="1"/>
  <c r="AK201" i="1"/>
  <c r="AJ201" i="1"/>
  <c r="AI201" i="1"/>
  <c r="AH201" i="1"/>
  <c r="AG201" i="1"/>
  <c r="AF201" i="1"/>
  <c r="AE201" i="1"/>
  <c r="AD201" i="1"/>
  <c r="AC201" i="1"/>
  <c r="AB201" i="1"/>
  <c r="AA201" i="1"/>
  <c r="Z201" i="1"/>
  <c r="Y201" i="1"/>
  <c r="W204" i="1"/>
  <c r="V204" i="1"/>
  <c r="U204" i="1"/>
  <c r="T204" i="1"/>
  <c r="S204" i="1"/>
  <c r="R204" i="1"/>
  <c r="Q204" i="1"/>
  <c r="U164" i="1"/>
  <c r="Q170" i="1"/>
  <c r="Q164" i="1"/>
  <c r="W162" i="1"/>
  <c r="U162" i="1"/>
  <c r="W177" i="1"/>
  <c r="V177" i="1"/>
  <c r="U177" i="1"/>
  <c r="T177" i="1"/>
  <c r="S177" i="1"/>
  <c r="R177" i="1"/>
  <c r="Q177" i="1"/>
  <c r="AK176" i="1"/>
  <c r="AJ176" i="1"/>
  <c r="AI176" i="1"/>
  <c r="AH176" i="1"/>
  <c r="AG176" i="1"/>
  <c r="AF176" i="1"/>
  <c r="AE176" i="1"/>
  <c r="AD176" i="1"/>
  <c r="AC176" i="1"/>
  <c r="AB176" i="1"/>
  <c r="AA176" i="1"/>
  <c r="Z176" i="1"/>
  <c r="Y176" i="1"/>
  <c r="A5" i="1"/>
  <c r="A4" i="1"/>
  <c r="A3" i="1"/>
  <c r="A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Khristian Gimena</author>
  </authors>
  <commentList>
    <comment ref="D11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Used for CASH FLOW CHECK formulas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<sst xmlns="http://schemas.openxmlformats.org/spreadsheetml/2006/main" count="399" uniqueCount="221">
  <si>
    <t>headline year</t>
  </si>
  <si>
    <t>scenario</t>
  </si>
  <si>
    <t>status</t>
  </si>
  <si>
    <t>outcome</t>
  </si>
  <si>
    <t>function</t>
  </si>
  <si>
    <t>reason</t>
  </si>
  <si>
    <t>measure code</t>
  </si>
  <si>
    <t>id</t>
  </si>
  <si>
    <t>0000-0000</t>
  </si>
  <si>
    <t>Total approp types</t>
  </si>
  <si>
    <t>Total approp item</t>
  </si>
  <si>
    <t>Total movement</t>
  </si>
  <si>
    <t>Total related entity</t>
  </si>
  <si>
    <t>Total jurisdictions</t>
  </si>
  <si>
    <t>Total SPP</t>
  </si>
  <si>
    <t>D</t>
  </si>
  <si>
    <t>N</t>
  </si>
  <si>
    <t>[Begin Format Range]</t>
  </si>
  <si>
    <t>[End Format Range]</t>
  </si>
  <si>
    <t>Database Variables</t>
  </si>
  <si>
    <t>Database Name</t>
  </si>
  <si>
    <t>}Clients</t>
  </si>
  <si>
    <t>TM1 User</t>
  </si>
  <si>
    <t>}TM1_DefaultDisplayValue</t>
  </si>
  <si>
    <t>GEUS User Name</t>
  </si>
  <si>
    <t>Current User</t>
  </si>
  <si>
    <t>System Variables</t>
  </si>
  <si>
    <t>View</t>
  </si>
  <si>
    <t>headline scenario</t>
  </si>
  <si>
    <t>sys_application MDX</t>
  </si>
  <si>
    <t>Slice View (sys_application)</t>
  </si>
  <si>
    <t>Current Workbook</t>
  </si>
  <si>
    <t>Data Entry - New Adj 01 - Header Details</t>
  </si>
  <si>
    <t>Application</t>
  </si>
  <si>
    <t>Caption Name</t>
  </si>
  <si>
    <t>Caption</t>
  </si>
  <si>
    <t>Workbook Name</t>
  </si>
  <si>
    <t>Workbook</t>
  </si>
  <si>
    <t>Worksheet Name</t>
  </si>
  <si>
    <t>Worksheet</t>
  </si>
  <si>
    <t>Homepage - Home</t>
  </si>
  <si>
    <t>Homepage - Annual Estimates</t>
  </si>
  <si>
    <t>Homepage - Annual Estimates - Data Entry</t>
  </si>
  <si>
    <t>Adjustment - ID List</t>
  </si>
  <si>
    <t>Data Entry - New Adj 02 - Adjustment Entry</t>
  </si>
  <si>
    <t>Client Preference</t>
  </si>
  <si>
    <t>value</t>
  </si>
  <si>
    <t>validate</t>
  </si>
  <si>
    <t>sys_client preference measure</t>
  </si>
  <si>
    <t>geus hl year</t>
  </si>
  <si>
    <t>geus scenario</t>
  </si>
  <si>
    <t>geus adj</t>
  </si>
  <si>
    <t>geus programme</t>
  </si>
  <si>
    <t>AE ID Details</t>
  </si>
  <si>
    <t>Slice VIEW</t>
  </si>
  <si>
    <t>Slice</t>
  </si>
  <si>
    <t>measure</t>
  </si>
  <si>
    <t>AE Adjustments (HEADER TITLES)</t>
  </si>
  <si>
    <t>AE validation</t>
  </si>
  <si>
    <t>Cube View (Slice)</t>
  </si>
  <si>
    <t>Validation Check</t>
  </si>
  <si>
    <t>status to use</t>
  </si>
  <si>
    <t>AE Adjustments (MDX)</t>
  </si>
  <si>
    <t>Programme MDX</t>
  </si>
  <si>
    <t>Appropriation Type MDX</t>
  </si>
  <si>
    <t>Appropriation Item MDX</t>
  </si>
  <si>
    <t>Movement Account MDX</t>
  </si>
  <si>
    <t>Related Entity MDX</t>
  </si>
  <si>
    <t>Jurisdiction MDX</t>
  </si>
  <si>
    <t>SPP MDX</t>
  </si>
  <si>
    <t>{FILTER( {TM1FILTERBYLEVEL( {TM1SUBSETALL( [movement account] )}, 0)}, [movement account].[editable] = "")}</t>
  </si>
  <si>
    <t>{TM1FILTERBYLEVEL( {TM1SUBSETALL( [related entity] )}, 0)}</t>
  </si>
  <si>
    <t>{TM1FILTERBYLEVEL( {TM1SUBSETALL( [jurisdiction] )}, 0)}</t>
  </si>
  <si>
    <t>{TM1FILTERBYLEVEL( {TM1SUBSETALL( [spp] )}, 0)}</t>
  </si>
  <si>
    <t>{TM1FILTERBYLEVEL( {TM1SUBSETALL( [appropriation type] )}, 0)}</t>
  </si>
  <si>
    <t>{TM1FILTERBYLEVEL( {TM1SUBSETALL( [appropriation item] )}, 0)}</t>
  </si>
  <si>
    <t>programme code</t>
  </si>
  <si>
    <t>Programme</t>
  </si>
  <si>
    <t>Appropriation Type</t>
  </si>
  <si>
    <t>Appropriation Item</t>
  </si>
  <si>
    <t>Account</t>
  </si>
  <si>
    <t>Movement Account</t>
  </si>
  <si>
    <t>Related Entity</t>
  </si>
  <si>
    <t>Jurisdiction</t>
  </si>
  <si>
    <t>SPP</t>
  </si>
  <si>
    <t>Natural Sign</t>
  </si>
  <si>
    <t>sys_account approp mapping</t>
  </si>
  <si>
    <t>sys_account approp mapping measure</t>
  </si>
  <si>
    <t>}Element Attributes</t>
  </si>
  <si>
    <t>movement account required</t>
  </si>
  <si>
    <t>SPP required</t>
  </si>
  <si>
    <t>Period</t>
  </si>
  <si>
    <t>To Use</t>
  </si>
  <si>
    <t>FBO</t>
  </si>
  <si>
    <t>Current</t>
  </si>
  <si>
    <t>Appropriation</t>
  </si>
  <si>
    <t>DR/CR</t>
  </si>
  <si>
    <t>Show PA Years :</t>
  </si>
  <si>
    <t>Reason Code</t>
  </si>
  <si>
    <t>Measure Code</t>
  </si>
  <si>
    <t>programme</t>
  </si>
  <si>
    <t>title</t>
  </si>
  <si>
    <t>description</t>
  </si>
  <si>
    <t>DESCRIPTIONS</t>
  </si>
  <si>
    <t>Status :</t>
  </si>
  <si>
    <t>Title :</t>
  </si>
  <si>
    <t>Reason :</t>
  </si>
  <si>
    <t>Active Form View (Standard)</t>
  </si>
  <si>
    <t>status (for cash flow active form)</t>
  </si>
  <si>
    <t>Balance Check</t>
  </si>
  <si>
    <t>3800001</t>
  </si>
  <si>
    <t>balance check</t>
  </si>
  <si>
    <t>sys_ae_opening balances</t>
  </si>
  <si>
    <t>BALANCE CHECKS</t>
  </si>
  <si>
    <t>6200000</t>
  </si>
  <si>
    <t xml:space="preserve">Balance Check : </t>
  </si>
  <si>
    <t>Program :</t>
  </si>
  <si>
    <t>Headline Year :</t>
  </si>
  <si>
    <t>Scenario :</t>
  </si>
  <si>
    <t>disagree cash flow</t>
  </si>
  <si>
    <t>adj_account</t>
  </si>
  <si>
    <t>adj_movement account</t>
  </si>
  <si>
    <t>adj_related entity</t>
  </si>
  <si>
    <t>adj_jurisdiction</t>
  </si>
  <si>
    <t>adj_appropriation item</t>
  </si>
  <si>
    <t>adj_spp</t>
  </si>
  <si>
    <t>No MA</t>
  </si>
  <si>
    <t>No RE</t>
  </si>
  <si>
    <t>No Jur</t>
  </si>
  <si>
    <t>No SPP</t>
  </si>
  <si>
    <t>appropriation item</t>
  </si>
  <si>
    <t>Programme Details</t>
  </si>
  <si>
    <t>Slice View</t>
  </si>
  <si>
    <t>appropriation type</t>
  </si>
  <si>
    <t>spp</t>
  </si>
  <si>
    <t>related entity</t>
  </si>
  <si>
    <t>Data Entry - New Adj 03 - Authorise</t>
  </si>
  <si>
    <t>Data Entry - New Adj 04 - Copy</t>
  </si>
  <si>
    <t>Data Entry - New Adj 96 - Extract</t>
  </si>
  <si>
    <t>Data Entry - New Adj 98 - Attachments</t>
  </si>
  <si>
    <t>Data Entry - New Adj 99 - Validations</t>
  </si>
  <si>
    <t>Data Entry - Edit Adj 01 - Header Details</t>
  </si>
  <si>
    <t>Data Entry - View Adj 01 - Header Details</t>
  </si>
  <si>
    <t>Program</t>
  </si>
  <si>
    <t>Total Programmes</t>
  </si>
  <si>
    <t>2000000</t>
  </si>
  <si>
    <t>Expenses</t>
  </si>
  <si>
    <t>ASSETS</t>
  </si>
  <si>
    <t>REVENUE</t>
  </si>
  <si>
    <t>EXPENSES</t>
  </si>
  <si>
    <t>LIABILITIES</t>
  </si>
  <si>
    <t>EQUITY</t>
  </si>
  <si>
    <t>CASH FLOW</t>
  </si>
  <si>
    <t>MDX</t>
  </si>
  <si>
    <t>1000001</t>
  </si>
  <si>
    <t>5000000</t>
  </si>
  <si>
    <t>3000000</t>
  </si>
  <si>
    <t>4000000</t>
  </si>
  <si>
    <t>cash flow</t>
  </si>
  <si>
    <t>DCB</t>
  </si>
  <si>
    <t>Special Accounts</t>
  </si>
  <si>
    <t>6000000</t>
  </si>
  <si>
    <t>9000850</t>
  </si>
  <si>
    <t>9000020</t>
  </si>
  <si>
    <t>Total Revenue :</t>
  </si>
  <si>
    <t>Total Expenses :</t>
  </si>
  <si>
    <t xml:space="preserve">Cash Flow Movement : </t>
  </si>
  <si>
    <t>Total Equity :</t>
  </si>
  <si>
    <t>Total Liability :</t>
  </si>
  <si>
    <t>Total Assets :</t>
  </si>
  <si>
    <t>LIABILITY</t>
  </si>
  <si>
    <t>Adjustment - Extract Details</t>
  </si>
  <si>
    <t>CAPITAL BUDGET STATEMENTS</t>
  </si>
  <si>
    <t>SPECIAL ACCOUNTS</t>
  </si>
  <si>
    <t>Total Capital Budget Statements :</t>
  </si>
  <si>
    <t>Total Special Accounts :</t>
  </si>
  <si>
    <t>Description :</t>
  </si>
  <si>
    <t>Control Type</t>
  </si>
  <si>
    <t>Adjustment Type</t>
  </si>
  <si>
    <t>created by</t>
  </si>
  <si>
    <t>created date</t>
  </si>
  <si>
    <t>authorised by</t>
  </si>
  <si>
    <t>authorised date</t>
  </si>
  <si>
    <t>Adj Type :</t>
  </si>
  <si>
    <t>Created By :</t>
  </si>
  <si>
    <t>Created Date :</t>
  </si>
  <si>
    <t>Approved By :</t>
  </si>
  <si>
    <t>Approved Date :</t>
  </si>
  <si>
    <t>CBMS ID :</t>
  </si>
  <si>
    <t>ID :</t>
  </si>
  <si>
    <t>CBMS ID</t>
  </si>
  <si>
    <t>Control Type :</t>
  </si>
  <si>
    <t>Measure Code :</t>
  </si>
  <si>
    <t>Measure Title :</t>
  </si>
  <si>
    <t>Measure Fund Life :</t>
  </si>
  <si>
    <t>Comments :</t>
  </si>
  <si>
    <t>comments</t>
  </si>
  <si>
    <t>}ElementAttributes_measure code</t>
  </si>
  <si>
    <t>CBMS</t>
  </si>
  <si>
    <t>Funding Life</t>
  </si>
  <si>
    <t>CBMS measure code</t>
  </si>
  <si>
    <t>As at</t>
  </si>
  <si>
    <t>CBMS code and description</t>
  </si>
  <si>
    <t>DBRW($D$105,$C$108,$C$109,$C$111,$C$113,$G177,$C$114,$C$115,$I177,$C$116,$C177,$F177,$D177,$B177,$E177,$C$110,$H177,J$171)</t>
  </si>
  <si>
    <t>DBRW($C$105,$C$108,$C$109,$C$111,$C$113,$G172,$C$114,$C$115,$I172,$C$116,$C172,$F172,$D172,$B172,$E172,$C$110,$H172,J$171)</t>
  </si>
  <si>
    <t>DBRW($F$105,$C$108,$C$109,$C$111,$C$113,$G200,$C$114,$C$115,$I200,$C$116,$C200,$F200,$D200,$B200,$E200,$C$110,$H200,J$171)</t>
  </si>
  <si>
    <t>DBRW($G$105,$C$108,$C$109,$C$111,$C$113,$G205,$C$114,$C$115,$I205,$C$116,$C205,$F205,$D205,$B205,$E205,$C$110,$H205,J$171)</t>
  </si>
  <si>
    <t>DBRW($H$105,$C$108,$C$109,$C$111,$C$113,$G213,$C$114,$C$115,$I213,$C$116,$C213,$F213,$D213,$B213,$E213,$C$110,$H213,J$171)</t>
  </si>
  <si>
    <t>DBRW($I$105,$C$108,$C$109,$C$111,$C$113,$G217,$C$114,$C$115,$I217,$C$116,$C217,$F217,$D217,$B217,$E217,$C$110,$H217,J$171)</t>
  </si>
  <si>
    <t>DBRW($J$105,$C$108,$C$109,$C$111,$C$113,$G221,$C$114,$C$115,$I221,$C$116,$C221,$F221,$D221,$B221,$E221,$C$110,$H221,J$171)</t>
  </si>
  <si>
    <t>Group adj type</t>
  </si>
  <si>
    <t>Group Data Entry - New Adj 02 - Expense Data Entry</t>
  </si>
  <si>
    <t>Group Data Entry - New Adj 08 - Recognition</t>
  </si>
  <si>
    <t>WorkBook</t>
  </si>
  <si>
    <t>Back To Adj (Financials Button)</t>
  </si>
  <si>
    <t>UNDERLYING CASH/FISCAL BALANCE</t>
  </si>
  <si>
    <t>9000702</t>
  </si>
  <si>
    <t>9000701</t>
  </si>
  <si>
    <t xml:space="preserve">Fiscal Balance : </t>
  </si>
  <si>
    <t xml:space="preserve">Underlying Cash : </t>
  </si>
  <si>
    <t>finance_geus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</si>
</sst>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[Red]* \(#,##0\)_-;_-* &quot;-&quot;??_-;_-@_-"/>
    <numFmt numFmtId="165" formatCode="dd\ mmmm\ yyyy\ h:mm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9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sz val="28"/>
      <color theme="0"/>
      <name val="Calibri"/>
      <family val="2"/>
      <scheme val="minor"/>
    </font>
    <font>
      <b/>
      <sz val="11"/>
      <color rgb="FF9D2022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indexed="81"/>
      <name val="Tahoma"/>
      <family val="2"/>
    </font>
    <font>
      <b/>
      <sz val="11"/>
      <color rgb="FF0070C0"/>
      <name val="Calibri"/>
      <family val="2"/>
      <scheme val="minor"/>
    </font>
    <font>
      <sz val="9"/>
      <name val="Calibri"/>
      <family val="2"/>
      <scheme val="minor"/>
    </font>
    <font>
      <b/>
      <i/>
      <sz val="11"/>
      <color rgb="FF0070C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6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3F2F2"/>
        <bgColor indexed="64"/>
      </patternFill>
    </fill>
    <fill>
      <patternFill patternType="solid">
        <fgColor rgb="FFBBDDE6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2" borderId="0" xfId="0" applyFont="1" applyFill="1"/>
    <xf numFmtId="0" fontId="2" fillId="3" borderId="0" xfId="0" applyFont="1" applyFill="1"/>
    <xf numFmtId="0" fontId="2" fillId="0" borderId="0" xfId="0" applyFont="1"/>
    <xf numFmtId="0" fontId="1" fillId="0" borderId="5" xfId="0" applyFont="1" applyBorder="1"/>
    <xf numFmtId="0" fontId="0" fillId="0" borderId="5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left"/>
    </xf>
    <xf numFmtId="0" fontId="0" fillId="0" borderId="5" xfId="0" applyBorder="1"/>
    <xf numFmtId="0" fontId="1" fillId="4" borderId="1" xfId="0" applyFont="1" applyFill="1" applyBorder="1"/>
    <xf numFmtId="0" fontId="1" fillId="4" borderId="6" xfId="0" applyFont="1" applyFill="1" applyBorder="1"/>
    <xf numFmtId="0" fontId="1" fillId="0" borderId="5" xfId="0" applyFont="1" applyBorder="1" applyAlignment="1">
      <alignment horizontal="center"/>
    </xf>
    <xf numFmtId="0" fontId="0" fillId="5" borderId="5" xfId="0" applyFill="1" applyBorder="1"/>
    <xf numFmtId="0" fontId="2" fillId="0" borderId="5" xfId="0" applyFont="1" applyBorder="1" applyProtection="1">
      <protection locked="0"/>
    </xf>
    <xf numFmtId="0" fontId="3" fillId="6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left" vertical="center"/>
    </xf>
    <xf numFmtId="0" fontId="4" fillId="7" borderId="0" xfId="0" applyFont="1" applyFill="1" applyAlignment="1">
      <alignment horizontal="center"/>
    </xf>
    <xf numFmtId="0" fontId="0" fillId="4" borderId="5" xfId="0" applyFill="1" applyBorder="1"/>
    <xf numFmtId="0" fontId="0" fillId="4" borderId="6" xfId="0" applyFill="1" applyBorder="1"/>
    <xf numFmtId="0" fontId="0" fillId="4" borderId="0" xfId="0" applyFill="1"/>
    <xf numFmtId="0" fontId="5" fillId="2" borderId="1" xfId="0" applyFont="1" applyFill="1" applyBorder="1"/>
    <xf numFmtId="0" fontId="2" fillId="2" borderId="1" xfId="0" applyFont="1" applyFill="1" applyBorder="1"/>
    <xf numFmtId="0" fontId="2" fillId="0" borderId="5" xfId="0" applyFont="1" applyBorder="1"/>
    <xf numFmtId="0" fontId="2" fillId="8" borderId="5" xfId="0" applyFont="1" applyFill="1" applyBorder="1" applyAlignment="1">
      <alignment horizontal="left" wrapText="1"/>
    </xf>
    <xf numFmtId="0" fontId="2" fillId="8" borderId="5" xfId="0" applyFont="1" applyFill="1" applyBorder="1"/>
    <xf numFmtId="0" fontId="2" fillId="8" borderId="5" xfId="0" applyFont="1" applyFill="1" applyBorder="1" applyAlignment="1">
      <alignment horizontal="center"/>
    </xf>
    <xf numFmtId="0" fontId="2" fillId="2" borderId="5" xfId="0" applyFont="1" applyFill="1" applyBorder="1"/>
    <xf numFmtId="0" fontId="6" fillId="6" borderId="0" xfId="0" applyFont="1" applyFill="1" applyAlignment="1">
      <alignment horizontal="right" vertical="center"/>
    </xf>
    <xf numFmtId="0" fontId="7" fillId="6" borderId="0" xfId="0" applyFont="1" applyFill="1" applyAlignment="1">
      <alignment horizontal="right" vertical="center"/>
    </xf>
    <xf numFmtId="0" fontId="1" fillId="0" borderId="0" xfId="0" applyFont="1" applyAlignment="1">
      <alignment horizontal="right" indent="1"/>
    </xf>
    <xf numFmtId="0" fontId="8" fillId="9" borderId="5" xfId="0" applyFont="1" applyFill="1" applyBorder="1" applyAlignment="1">
      <alignment horizontal="center" vertical="center"/>
    </xf>
    <xf numFmtId="0" fontId="1" fillId="9" borderId="5" xfId="0" applyFont="1" applyFill="1" applyBorder="1" applyAlignment="1">
      <alignment horizontal="center"/>
    </xf>
    <xf numFmtId="49" fontId="2" fillId="2" borderId="5" xfId="0" applyNumberFormat="1" applyFont="1" applyFill="1" applyBorder="1"/>
    <xf numFmtId="49" fontId="2" fillId="0" borderId="5" xfId="0" applyNumberFormat="1" applyFont="1" applyBorder="1"/>
    <xf numFmtId="0" fontId="5" fillId="0" borderId="0" xfId="0" applyFont="1" applyAlignment="1">
      <alignment horizontal="right"/>
    </xf>
    <xf numFmtId="0" fontId="0" fillId="0" borderId="0" xfId="0" quotePrefix="1"/>
    <xf numFmtId="164" fontId="2" fillId="0" borderId="5" xfId="0" applyNumberFormat="1" applyFont="1" applyBorder="1"/>
    <xf numFmtId="164" fontId="2" fillId="4" borderId="5" xfId="0" applyNumberFormat="1" applyFont="1" applyFill="1" applyBorder="1"/>
    <xf numFmtId="0" fontId="10" fillId="0" borderId="0" xfId="0" applyFont="1" applyAlignment="1">
      <alignment horizontal="right" indent="1"/>
    </xf>
    <xf numFmtId="0" fontId="1" fillId="0" borderId="0" xfId="0" applyFont="1"/>
    <xf numFmtId="0" fontId="0" fillId="4" borderId="5" xfId="0" quotePrefix="1" applyFill="1" applyBorder="1"/>
    <xf numFmtId="0" fontId="10" fillId="0" borderId="0" xfId="0" applyFont="1" applyAlignment="1">
      <alignment horizontal="right"/>
    </xf>
    <xf numFmtId="0" fontId="11" fillId="9" borderId="5" xfId="0" applyFont="1" applyFill="1" applyBorder="1" applyAlignment="1">
      <alignment horizontal="center" vertical="center"/>
    </xf>
    <xf numFmtId="0" fontId="11" fillId="9" borderId="5" xfId="0" applyFont="1" applyFill="1" applyBorder="1" applyAlignment="1">
      <alignment horizontal="center"/>
    </xf>
    <xf numFmtId="0" fontId="0" fillId="0" borderId="5" xfId="0" quotePrefix="1" applyBorder="1"/>
    <xf numFmtId="0" fontId="2" fillId="8" borderId="5" xfId="0" applyFont="1" applyFill="1" applyBorder="1" applyAlignment="1">
      <alignment horizontal="left" indent="1"/>
    </xf>
    <xf numFmtId="0" fontId="1" fillId="8" borderId="5" xfId="0" applyFont="1" applyFill="1" applyBorder="1" applyAlignment="1">
      <alignment horizontal="center"/>
    </xf>
    <xf numFmtId="0" fontId="2" fillId="0" borderId="5" xfId="0" applyFont="1" applyBorder="1" applyAlignment="1">
      <alignment vertical="top"/>
    </xf>
    <xf numFmtId="0" fontId="2" fillId="0" borderId="5" xfId="0" applyFont="1" applyBorder="1" applyAlignment="1">
      <alignment horizontal="center" vertical="top"/>
    </xf>
    <xf numFmtId="0" fontId="2" fillId="0" borderId="5" xfId="0" applyFont="1" applyBorder="1" applyAlignment="1">
      <alignment horizontal="left" vertical="top"/>
    </xf>
    <xf numFmtId="0" fontId="2" fillId="8" borderId="5" xfId="0" applyFont="1" applyFill="1" applyBorder="1" applyAlignment="1">
      <alignment horizontal="left" vertical="top" wrapText="1"/>
    </xf>
    <xf numFmtId="0" fontId="2" fillId="8" borderId="5" xfId="0" applyFont="1" applyFill="1" applyBorder="1" applyAlignment="1">
      <alignment vertical="top"/>
    </xf>
    <xf numFmtId="0" fontId="2" fillId="8" borderId="5" xfId="0" applyFont="1" applyFill="1" applyBorder="1" applyAlignment="1">
      <alignment horizontal="center" vertical="top"/>
    </xf>
    <xf numFmtId="0" fontId="13" fillId="9" borderId="5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/>
    </xf>
    <xf numFmtId="0" fontId="14" fillId="9" borderId="5" xfId="0" applyFont="1" applyFill="1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0" borderId="11" xfId="0" applyFont="1" applyBorder="1" applyAlignment="1">
      <alignment horizontal="right" indent="1"/>
    </xf>
    <xf numFmtId="0" fontId="9" fillId="0" borderId="0" xfId="0" applyFont="1" applyAlignment="1">
      <alignment horizontal="right" indent="1"/>
    </xf>
    <xf numFmtId="0" fontId="0" fillId="0" borderId="12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15" fillId="0" borderId="0" xfId="0" applyFont="1" applyAlignment="1">
      <alignment horizontal="right"/>
    </xf>
    <xf numFmtId="0" fontId="2" fillId="10" borderId="7" xfId="0" applyFont="1" applyFill="1" applyBorder="1" applyAlignment="1" applyProtection="1">
      <alignment horizontal="center"/>
      <protection locked="0"/>
    </xf>
    <xf numFmtId="0" fontId="3" fillId="6" borderId="0" xfId="0" quotePrefix="1" applyFont="1" applyFill="1" applyAlignment="1">
      <alignment horizontal="center" vertical="center"/>
    </xf>
    <xf numFmtId="0" fontId="2" fillId="9" borderId="5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165" fontId="15" fillId="0" borderId="0" xfId="0" applyNumberFormat="1" applyFont="1" applyAlignment="1">
      <alignment horizontal="left" indent="1"/>
    </xf>
    <xf numFmtId="0" fontId="2" fillId="8" borderId="5" xfId="0" applyFont="1" applyFill="1" applyBorder="1" applyAlignment="1">
      <alignment horizontal="left" vertical="center" wrapText="1" indent="1"/>
    </xf>
    <xf numFmtId="0" fontId="2" fillId="8" borderId="5" xfId="0" applyFont="1" applyFill="1" applyBorder="1" applyAlignment="1">
      <alignment horizontal="left" indent="1"/>
    </xf>
  </cellXfs>
  <cellStyles count="1">
    <cellStyle name="Normal" xfId="0" builtinId="0"/>
  </cellStyles>
  <dxfs count="2">
    <dxf>
      <font>
        <b/>
        <i val="0"/>
        <color rgb="FF00B050"/>
      </font>
    </dxf>
    <dxf>
      <font>
        <b/>
        <i val="0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1.emf"/><Relationship Id="rId3" Type="http://schemas.openxmlformats.org/officeDocument/2006/relationships/image" Target="../media/image5.emf"/><Relationship Id="rId7" Type="http://schemas.openxmlformats.org/officeDocument/2006/relationships/image" Target="../media/image8.emf"/><Relationship Id="rId2" Type="http://schemas.openxmlformats.org/officeDocument/2006/relationships/image" Target="../media/image6.emf"/><Relationship Id="rId1" Type="http://schemas.openxmlformats.org/officeDocument/2006/relationships/image" Target="../media/image7.emf"/><Relationship Id="rId6" Type="http://schemas.openxmlformats.org/officeDocument/2006/relationships/image" Target="../media/image2.emf"/><Relationship Id="rId5" Type="http://schemas.openxmlformats.org/officeDocument/2006/relationships/image" Target="../media/image3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47625</xdr:colOff>
      <xdr:row>155</xdr:row>
      <xdr:rowOff>28575</xdr:rowOff>
    </xdr:from>
    <xdr:to>
      <xdr:col>15</xdr:col>
      <xdr:colOff>1805940</xdr:colOff>
      <xdr:row>155</xdr:row>
      <xdr:rowOff>474345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28575"/>
          <a:ext cx="18097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9525</xdr:colOff>
          <xdr:row>157</xdr:row>
          <xdr:rowOff>9525</xdr:rowOff>
        </xdr:from>
        <xdr:to>
          <xdr:col>15</xdr:col>
          <xdr:colOff>647700</xdr:colOff>
          <xdr:row>157</xdr:row>
          <xdr:rowOff>257175</xdr:rowOff>
        </xdr:to>
        <xdr:sp macro="" textlink="">
          <xdr:nvSpPr>
            <xdr:cNvPr id="1029" name="TIButton4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685800</xdr:colOff>
          <xdr:row>157</xdr:row>
          <xdr:rowOff>9525</xdr:rowOff>
        </xdr:from>
        <xdr:to>
          <xdr:col>15</xdr:col>
          <xdr:colOff>1809750</xdr:colOff>
          <xdr:row>157</xdr:row>
          <xdr:rowOff>257175</xdr:rowOff>
        </xdr:to>
        <xdr:sp macro="" textlink="">
          <xdr:nvSpPr>
            <xdr:cNvPr id="1030" name="TIButton2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1095375</xdr:colOff>
          <xdr:row>157</xdr:row>
          <xdr:rowOff>9525</xdr:rowOff>
        </xdr:from>
        <xdr:to>
          <xdr:col>19</xdr:col>
          <xdr:colOff>695325</xdr:colOff>
          <xdr:row>157</xdr:row>
          <xdr:rowOff>257175</xdr:rowOff>
        </xdr:to>
        <xdr:sp macro="" textlink="">
          <xdr:nvSpPr>
            <xdr:cNvPr id="1031" name="TIButton3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1838325</xdr:colOff>
          <xdr:row>157</xdr:row>
          <xdr:rowOff>9525</xdr:rowOff>
        </xdr:from>
        <xdr:to>
          <xdr:col>16</xdr:col>
          <xdr:colOff>847725</xdr:colOff>
          <xdr:row>157</xdr:row>
          <xdr:rowOff>257175</xdr:rowOff>
        </xdr:to>
        <xdr:sp macro="" textlink="">
          <xdr:nvSpPr>
            <xdr:cNvPr id="1032" name="TIButton5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876300</xdr:colOff>
          <xdr:row>157</xdr:row>
          <xdr:rowOff>9525</xdr:rowOff>
        </xdr:from>
        <xdr:to>
          <xdr:col>16</xdr:col>
          <xdr:colOff>1752600</xdr:colOff>
          <xdr:row>157</xdr:row>
          <xdr:rowOff>257175</xdr:rowOff>
        </xdr:to>
        <xdr:sp macro="" textlink="">
          <xdr:nvSpPr>
            <xdr:cNvPr id="1034" name="TIButton6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1809750</xdr:colOff>
          <xdr:row>157</xdr:row>
          <xdr:rowOff>9525</xdr:rowOff>
        </xdr:from>
        <xdr:to>
          <xdr:col>17</xdr:col>
          <xdr:colOff>714375</xdr:colOff>
          <xdr:row>157</xdr:row>
          <xdr:rowOff>257175</xdr:rowOff>
        </xdr:to>
        <xdr:sp macro="" textlink="">
          <xdr:nvSpPr>
            <xdr:cNvPr id="1039" name="TIButton11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762000</xdr:colOff>
          <xdr:row>157</xdr:row>
          <xdr:rowOff>9525</xdr:rowOff>
        </xdr:from>
        <xdr:to>
          <xdr:col>17</xdr:col>
          <xdr:colOff>2095500</xdr:colOff>
          <xdr:row>157</xdr:row>
          <xdr:rowOff>257175</xdr:rowOff>
        </xdr:to>
        <xdr:sp macro="" textlink="">
          <xdr:nvSpPr>
            <xdr:cNvPr id="1040" name="TIButton1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2133600</xdr:colOff>
          <xdr:row>157</xdr:row>
          <xdr:rowOff>9525</xdr:rowOff>
        </xdr:from>
        <xdr:to>
          <xdr:col>18</xdr:col>
          <xdr:colOff>1038225</xdr:colOff>
          <xdr:row>157</xdr:row>
          <xdr:rowOff>257175</xdr:rowOff>
        </xdr:to>
        <xdr:sp macro="" textlink="">
          <xdr:nvSpPr>
            <xdr:cNvPr id="1041" name="TIButton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18" Type="http://schemas.openxmlformats.org/officeDocument/2006/relationships/control" Target="../activeX/activeX8.xml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17" Type="http://schemas.openxmlformats.org/officeDocument/2006/relationships/image" Target="../media/image7.emf"/><Relationship Id="rId2" Type="http://schemas.openxmlformats.org/officeDocument/2006/relationships/drawing" Target="../drawings/drawing1.xml"/><Relationship Id="rId16" Type="http://schemas.openxmlformats.org/officeDocument/2006/relationships/control" Target="../activeX/activeX7.xml"/><Relationship Id="rId20" Type="http://schemas.openxmlformats.org/officeDocument/2006/relationships/comments" Target="../comments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control" Target="../activeX/activeX4.xml"/><Relationship Id="rId19" Type="http://schemas.openxmlformats.org/officeDocument/2006/relationships/image" Target="../media/image8.emf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howOutlineSymbols="0"/>
    <pageSetUpPr fitToPage="1"/>
  </sheetPr>
  <dimension ref="A1:AK220"/>
  <sheetViews>
    <sheetView showGridLines="0" tabSelected="1" showOutlineSymbols="0" topLeftCell="O156" zoomScaleNormal="100" workbookViewId="0">
      <pane xSplit="10" ySplit="21" topLeftCell="Y177" activePane="bottomRight" state="frozen"/>
      <selection activeCell="O156" sqref="O156"/>
      <selection pane="topRight" activeCell="Y156" sqref="Y156"/>
      <selection pane="bottomLeft" activeCell="O177" sqref="O177"/>
      <selection pane="bottomRight" activeCell="Q156" sqref="Q156"/>
    </sheetView>
  </sheetViews>
  <sheetFormatPr defaultRowHeight="15" outlineLevelRow="1" outlineLevelCol="1" x14ac:dyDescent="0.25"/>
  <cols>
    <col min="1" max="1" width="18.5703125" hidden="1" customWidth="1" outlineLevel="1"/>
    <col min="2" max="2" width="33.28515625" hidden="1" customWidth="1" outlineLevel="1"/>
    <col min="3" max="3" width="25.5703125" hidden="1" customWidth="1" outlineLevel="1"/>
    <col min="4" max="5" width="25.7109375" hidden="1" customWidth="1" outlineLevel="1"/>
    <col min="6" max="6" width="18.28515625" hidden="1" customWidth="1" outlineLevel="1"/>
    <col min="7" max="7" width="22.28515625" hidden="1" customWidth="1" outlineLevel="1"/>
    <col min="8" max="8" width="22.42578125" hidden="1" customWidth="1" outlineLevel="1"/>
    <col min="9" max="9" width="20.28515625" hidden="1" customWidth="1" outlineLevel="1"/>
    <col min="10" max="10" width="8.42578125" hidden="1" customWidth="1" outlineLevel="1"/>
    <col min="11" max="11" width="11.7109375" hidden="1" customWidth="1" outlineLevel="1"/>
    <col min="12" max="12" width="12.7109375" hidden="1" customWidth="1" outlineLevel="1"/>
    <col min="13" max="13" width="12.42578125" hidden="1" customWidth="1" outlineLevel="1"/>
    <col min="14" max="14" width="9.140625" hidden="1" customWidth="1" outlineLevel="1"/>
    <col min="15" max="15" width="0.85546875" customWidth="1" collapsed="1"/>
    <col min="16" max="16" width="30.7109375" customWidth="1"/>
    <col min="17" max="18" width="35.7109375" customWidth="1"/>
    <col min="19" max="20" width="17.7109375" customWidth="1"/>
    <col min="21" max="21" width="35.7109375" customWidth="1"/>
    <col min="22" max="22" width="17.7109375" customWidth="1"/>
    <col min="23" max="23" width="11.7109375" customWidth="1"/>
    <col min="24" max="24" width="0.85546875" customWidth="1"/>
    <col min="25" max="37" width="10.7109375" customWidth="1"/>
  </cols>
  <sheetData>
    <row r="1" spans="1:37" s="3" customFormat="1" ht="12" hidden="1" outlineLevel="1" x14ac:dyDescent="0.2">
      <c r="A1" s="3" t="s">
        <v>17</v>
      </c>
    </row>
    <row r="2" spans="1:37" s="3" customFormat="1" ht="12" hidden="1" outlineLevel="1" x14ac:dyDescent="0.2">
      <c r="A2" s="3">
        <f>0</f>
        <v>0</v>
      </c>
      <c r="B2" s="20"/>
      <c r="C2" s="1"/>
      <c r="D2" s="1"/>
      <c r="E2" s="1"/>
      <c r="F2" s="1"/>
      <c r="G2" s="1"/>
      <c r="H2" s="1"/>
      <c r="I2" s="1"/>
      <c r="J2" s="1"/>
    </row>
    <row r="3" spans="1:37" s="3" customFormat="1" ht="12" hidden="1" outlineLevel="1" x14ac:dyDescent="0.2">
      <c r="A3" s="3">
        <f>1</f>
        <v>1</v>
      </c>
      <c r="B3" s="21"/>
      <c r="C3" s="2"/>
      <c r="D3" s="2"/>
      <c r="E3" s="2"/>
      <c r="F3" s="2"/>
      <c r="G3" s="2"/>
      <c r="H3" s="2"/>
      <c r="I3" s="2"/>
      <c r="J3" s="2"/>
    </row>
    <row r="4" spans="1:37" s="3" customFormat="1" ht="12" hidden="1" outlineLevel="1" x14ac:dyDescent="0.2">
      <c r="A4" s="3">
        <f>2</f>
        <v>2</v>
      </c>
      <c r="B4" s="21"/>
      <c r="C4" s="2"/>
      <c r="D4" s="2"/>
      <c r="E4" s="2"/>
      <c r="F4" s="2"/>
      <c r="G4" s="2"/>
      <c r="H4" s="2"/>
      <c r="I4" s="2"/>
      <c r="J4" s="2"/>
    </row>
    <row r="5" spans="1:37" s="3" customFormat="1" ht="12" hidden="1" outlineLevel="1" x14ac:dyDescent="0.2">
      <c r="A5" s="3">
        <f>3</f>
        <v>3</v>
      </c>
      <c r="B5" s="21"/>
      <c r="C5" s="2"/>
      <c r="D5" s="2"/>
      <c r="E5" s="2"/>
      <c r="F5" s="2"/>
      <c r="G5" s="2"/>
      <c r="H5" s="2"/>
      <c r="I5" s="2"/>
      <c r="J5" s="2"/>
    </row>
    <row r="6" spans="1:37" s="3" customFormat="1" ht="12" hidden="1" outlineLevel="1" x14ac:dyDescent="0.2">
      <c r="A6" s="3" t="s">
        <v>15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P6" s="47"/>
      <c r="Q6" s="47"/>
      <c r="R6" s="47"/>
      <c r="S6" s="47"/>
      <c r="T6" s="48"/>
      <c r="U6" s="49"/>
      <c r="V6" s="47"/>
      <c r="W6" s="47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</row>
    <row r="7" spans="1:37" s="3" customFormat="1" ht="12" hidden="1" outlineLevel="1" x14ac:dyDescent="0.2">
      <c r="A7" s="3" t="s">
        <v>16</v>
      </c>
      <c r="B7" s="26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P7" s="50"/>
      <c r="Q7" s="50"/>
      <c r="R7" s="50"/>
      <c r="S7" s="51"/>
      <c r="T7" s="52"/>
      <c r="U7" s="50"/>
      <c r="V7" s="52"/>
      <c r="W7" s="52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</row>
    <row r="8" spans="1:37" hidden="1" outlineLevel="1" x14ac:dyDescent="0.25">
      <c r="A8" t="s">
        <v>18</v>
      </c>
      <c r="X8" s="3"/>
    </row>
    <row r="9" spans="1:37" hidden="1" outlineLevel="1" x14ac:dyDescent="0.25">
      <c r="X9" s="3"/>
    </row>
    <row r="10" spans="1:37" hidden="1" outlineLevel="1" x14ac:dyDescent="0.25"/>
    <row r="11" spans="1:37" hidden="1" outlineLevel="1" x14ac:dyDescent="0.25">
      <c r="B11" s="70" t="s">
        <v>19</v>
      </c>
      <c r="C11" s="71"/>
      <c r="D11" s="72"/>
    </row>
    <row r="12" spans="1:37" hidden="1" outlineLevel="1" x14ac:dyDescent="0.25">
      <c r="B12" s="4" t="s">
        <v>20</v>
      </c>
      <c r="C12" s="5" t="s">
        <v>220</v>
      </c>
      <c r="D12" s="6"/>
    </row>
    <row r="13" spans="1:37" hidden="1" outlineLevel="1" x14ac:dyDescent="0.25">
      <c r="B13" s="4" t="s">
        <v>21</v>
      </c>
      <c r="C13" s="7" t="e" cm="1">
        <f t="array" aca="1" ref="C13" ca="1">_xll.VIEW(db_name&amp;":}ElementAttributes_}Clients","!","!")</f>
        <v>#NAME?</v>
      </c>
      <c r="D13" s="6"/>
    </row>
    <row r="14" spans="1:37" hidden="1" outlineLevel="1" x14ac:dyDescent="0.25">
      <c r="B14" s="4" t="s">
        <v>22</v>
      </c>
      <c r="C14" s="5" t="e" cm="1">
        <f t="array" aca="1" ref="C14" ca="1">_xll.TM1USER(db_name)</f>
        <v>#NAME?</v>
      </c>
      <c r="D14" s="6"/>
    </row>
    <row r="15" spans="1:37" hidden="1" outlineLevel="1" x14ac:dyDescent="0.25">
      <c r="B15" s="4" t="s">
        <v>23</v>
      </c>
      <c r="C15" s="5" t="e" cm="1">
        <f t="array" aca="1" ref="C15" ca="1">_xll.DBR($C$13,$C$14,$B15)</f>
        <v>#NAME?</v>
      </c>
      <c r="D15" s="6"/>
    </row>
    <row r="16" spans="1:37" hidden="1" outlineLevel="1" x14ac:dyDescent="0.25">
      <c r="B16" s="4" t="s">
        <v>24</v>
      </c>
      <c r="C16" s="5" t="e" cm="1">
        <f t="array" aca="1" ref="C16" ca="1">_xll.DBR($C$13,$C$14,$B16)</f>
        <v>#NAME?</v>
      </c>
      <c r="D16" s="6"/>
    </row>
    <row r="17" spans="2:8" hidden="1" outlineLevel="1" x14ac:dyDescent="0.25">
      <c r="B17" s="4" t="s">
        <v>25</v>
      </c>
      <c r="C17" s="5" t="e">
        <f ca="1">IF(LEFT($C$15,6)="CAM_AD",$C$16,$C$15)</f>
        <v>#NAME?</v>
      </c>
      <c r="D17" s="8"/>
    </row>
    <row r="18" spans="2:8" hidden="1" outlineLevel="1" x14ac:dyDescent="0.25"/>
    <row r="19" spans="2:8" hidden="1" outlineLevel="1" x14ac:dyDescent="0.25">
      <c r="B19" s="70" t="s">
        <v>26</v>
      </c>
      <c r="C19" s="71"/>
      <c r="D19" s="72"/>
    </row>
    <row r="20" spans="2:8" hidden="1" outlineLevel="1" x14ac:dyDescent="0.25">
      <c r="B20" s="4" t="s">
        <v>27</v>
      </c>
      <c r="C20" s="8" t="e" cm="1">
        <f t="array" aca="1" ref="C20" ca="1">_xll.VIEW(db_name&amp;":}ElementAttributes_variables","!","!")</f>
        <v>#NAME?</v>
      </c>
      <c r="D20" s="8"/>
    </row>
    <row r="21" spans="2:8" hidden="1" outlineLevel="1" x14ac:dyDescent="0.25">
      <c r="B21" s="4" t="s">
        <v>0</v>
      </c>
      <c r="C21" s="8" t="e" cm="1">
        <f t="array" aca="1" ref="C21" ca="1">_xll.DBR($C$20,$B21,"value")</f>
        <v>#NAME?</v>
      </c>
      <c r="D21" s="8"/>
    </row>
    <row r="22" spans="2:8" hidden="1" outlineLevel="1" x14ac:dyDescent="0.25">
      <c r="B22" s="4" t="s">
        <v>28</v>
      </c>
      <c r="C22" s="8" t="e" cm="1">
        <f t="array" aca="1" ref="C22" ca="1">_xll.DBR($C$20,$B22,"value")</f>
        <v>#NAME?</v>
      </c>
      <c r="D22" s="8"/>
    </row>
    <row r="23" spans="2:8" hidden="1" outlineLevel="1" x14ac:dyDescent="0.25">
      <c r="B23" s="4" t="s">
        <v>126</v>
      </c>
      <c r="C23" s="8" t="e" cm="1">
        <f t="array" aca="1" ref="C23" ca="1">_xll.DBR($C$20,$B23,"value")</f>
        <v>#NAME?</v>
      </c>
      <c r="D23" s="8"/>
    </row>
    <row r="24" spans="2:8" hidden="1" outlineLevel="1" x14ac:dyDescent="0.25">
      <c r="B24" s="4" t="s">
        <v>127</v>
      </c>
      <c r="C24" s="8" t="e" cm="1">
        <f t="array" aca="1" ref="C24" ca="1">_xll.DBR($C$20,$B24,"value")</f>
        <v>#NAME?</v>
      </c>
      <c r="D24" s="8"/>
    </row>
    <row r="25" spans="2:8" hidden="1" outlineLevel="1" x14ac:dyDescent="0.25">
      <c r="B25" s="4" t="s">
        <v>128</v>
      </c>
      <c r="C25" s="8" t="e" cm="1">
        <f t="array" aca="1" ref="C25" ca="1">_xll.DBR($C$20,$B25,"value")</f>
        <v>#NAME?</v>
      </c>
      <c r="D25" s="8"/>
    </row>
    <row r="26" spans="2:8" hidden="1" outlineLevel="1" x14ac:dyDescent="0.25">
      <c r="B26" s="4" t="s">
        <v>129</v>
      </c>
      <c r="C26" s="8" t="e" cm="1">
        <f t="array" aca="1" ref="C26" ca="1">_xll.DBR($C$20,$B26,"value")</f>
        <v>#NAME?</v>
      </c>
      <c r="D26" s="8"/>
    </row>
    <row r="27" spans="2:8" hidden="1" outlineLevel="1" x14ac:dyDescent="0.25"/>
    <row r="28" spans="2:8" hidden="1" outlineLevel="1" x14ac:dyDescent="0.25">
      <c r="B28" s="70" t="s">
        <v>29</v>
      </c>
      <c r="C28" s="71"/>
      <c r="D28" s="72"/>
    </row>
    <row r="29" spans="2:8" hidden="1" outlineLevel="1" x14ac:dyDescent="0.25">
      <c r="B29" s="8" t="s">
        <v>30</v>
      </c>
      <c r="C29" s="8" t="e">
        <f t="array" aca="1" ref="C29" ca="1">_xll.VIEW(db_name&amp;":sys_application","!","!")</f>
        <v>#NAME?</v>
      </c>
    </row>
    <row r="30" spans="2:8" hidden="1" outlineLevel="1" x14ac:dyDescent="0.25">
      <c r="B30" s="8" t="s">
        <v>31</v>
      </c>
      <c r="C30" s="8" t="s">
        <v>32</v>
      </c>
    </row>
    <row r="31" spans="2:8" hidden="1" outlineLevel="1" x14ac:dyDescent="0.25">
      <c r="B31" s="9" t="s">
        <v>33</v>
      </c>
      <c r="C31" s="10" t="s">
        <v>34</v>
      </c>
      <c r="D31" s="10" t="s">
        <v>35</v>
      </c>
      <c r="E31" s="10" t="s">
        <v>36</v>
      </c>
      <c r="F31" s="10" t="s">
        <v>37</v>
      </c>
      <c r="G31" s="10" t="s">
        <v>38</v>
      </c>
      <c r="H31" s="10" t="s">
        <v>39</v>
      </c>
    </row>
    <row r="32" spans="2:8" hidden="1" outlineLevel="1" x14ac:dyDescent="0.25">
      <c r="B32" s="8" t="s">
        <v>40</v>
      </c>
      <c r="C32" s="8" t="e" cm="1">
        <f t="array" aca="1" ref="C32" ca="1">_xll.DBR($C$29,$B32,C$31)</f>
        <v>#NAME?</v>
      </c>
      <c r="D32" s="8" t="e" cm="1">
        <f t="array" aca="1" ref="D32" ca="1">_xll.DBR($C$29,$B32,D$31)</f>
        <v>#NAME?</v>
      </c>
      <c r="E32" s="8" t="e" cm="1">
        <f t="array" aca="1" ref="E32" ca="1">_xll.DBR($C$29,$B32,E$31)</f>
        <v>#NAME?</v>
      </c>
      <c r="F32" s="8" t="e" cm="1">
        <f t="array" aca="1" ref="F32" ca="1">_xll.DBR($C$29,$B32,F$31)</f>
        <v>#NAME?</v>
      </c>
      <c r="G32" s="8" t="e" cm="1">
        <f t="array" aca="1" ref="G32" ca="1">_xll.DBR($C$29,$B32,G$31)</f>
        <v>#NAME?</v>
      </c>
      <c r="H32" s="8" t="e" cm="1">
        <f t="array" aca="1" ref="H32" ca="1">_xll.DBR($C$29,$B32,H$31)</f>
        <v>#NAME?</v>
      </c>
    </row>
    <row r="33" spans="2:8" hidden="1" outlineLevel="1" x14ac:dyDescent="0.25">
      <c r="B33" s="8" t="s">
        <v>41</v>
      </c>
      <c r="C33" s="8" t="e" cm="1">
        <f t="array" aca="1" ref="C33" ca="1">_xll.DBR($C$29,$B33,C$31)</f>
        <v>#NAME?</v>
      </c>
      <c r="D33" s="8" t="e" cm="1">
        <f t="array" aca="1" ref="D33" ca="1">_xll.DBR($C$29,$B33,D$31)</f>
        <v>#NAME?</v>
      </c>
      <c r="E33" s="8" t="e" cm="1">
        <f t="array" aca="1" ref="E33" ca="1">_xll.DBR($C$29,$B33,E$31)</f>
        <v>#NAME?</v>
      </c>
      <c r="F33" s="8" t="e" cm="1">
        <f t="array" aca="1" ref="F33" ca="1">_xll.DBR($C$29,$B33,F$31)</f>
        <v>#NAME?</v>
      </c>
      <c r="G33" s="8" t="e" cm="1">
        <f t="array" aca="1" ref="G33" ca="1">_xll.DBR($C$29,$B33,G$31)</f>
        <v>#NAME?</v>
      </c>
      <c r="H33" s="8" t="e" cm="1">
        <f t="array" aca="1" ref="H33" ca="1">_xll.DBR($C$29,$B33,H$31)</f>
        <v>#NAME?</v>
      </c>
    </row>
    <row r="34" spans="2:8" hidden="1" outlineLevel="1" x14ac:dyDescent="0.25">
      <c r="B34" s="8" t="s">
        <v>42</v>
      </c>
      <c r="C34" s="8" t="e" cm="1">
        <f t="array" aca="1" ref="C34" ca="1">_xll.DBR($C$29,$B34,C$31)</f>
        <v>#NAME?</v>
      </c>
      <c r="D34" s="8" t="e" cm="1">
        <f t="array" aca="1" ref="D34" ca="1">_xll.DBR($C$29,$B34,D$31)</f>
        <v>#NAME?</v>
      </c>
      <c r="E34" s="8" t="e" cm="1">
        <f t="array" aca="1" ref="E34" ca="1">_xll.DBR($C$29,$B34,E$31)</f>
        <v>#NAME?</v>
      </c>
      <c r="F34" s="8" t="e" cm="1">
        <f t="array" aca="1" ref="F34" ca="1">_xll.DBR($C$29,$B34,F$31)</f>
        <v>#NAME?</v>
      </c>
      <c r="G34" s="8" t="e" cm="1">
        <f t="array" aca="1" ref="G34" ca="1">_xll.DBR($C$29,$B34,G$31)</f>
        <v>#NAME?</v>
      </c>
      <c r="H34" s="8" t="e" cm="1">
        <f t="array" aca="1" ref="H34" ca="1">_xll.DBR($C$29,$B34,H$31)</f>
        <v>#NAME?</v>
      </c>
    </row>
    <row r="35" spans="2:8" hidden="1" outlineLevel="1" x14ac:dyDescent="0.25">
      <c r="B35" s="8" t="s">
        <v>43</v>
      </c>
      <c r="C35" s="8" t="e" cm="1">
        <f t="array" aca="1" ref="C35" ca="1">_xll.DBR($C$29,$B35,C$31)</f>
        <v>#NAME?</v>
      </c>
      <c r="D35" s="8" t="e" cm="1">
        <f t="array" aca="1" ref="D35" ca="1">_xll.DBR($C$29,$B35,D$31)</f>
        <v>#NAME?</v>
      </c>
      <c r="E35" s="8" t="e" cm="1">
        <f t="array" aca="1" ref="E35" ca="1">_xll.DBR($C$29,$B35,E$31)</f>
        <v>#NAME?</v>
      </c>
      <c r="F35" s="8" t="e" cm="1">
        <f t="array" aca="1" ref="F35" ca="1">_xll.DBR($C$29,$B35,F$31)</f>
        <v>#NAME?</v>
      </c>
      <c r="G35" s="8" t="e" cm="1">
        <f t="array" aca="1" ref="G35" ca="1">_xll.DBR($C$29,$B35,G$31)</f>
        <v>#NAME?</v>
      </c>
      <c r="H35" s="8" t="e" cm="1">
        <f t="array" aca="1" ref="H35" ca="1">_xll.DBR($C$29,$B35,H$31)</f>
        <v>#NAME?</v>
      </c>
    </row>
    <row r="36" spans="2:8" hidden="1" outlineLevel="1" x14ac:dyDescent="0.25">
      <c r="B36" s="8" t="s">
        <v>44</v>
      </c>
      <c r="C36" s="8" t="e" cm="1">
        <f t="array" aca="1" ref="C36" ca="1">_xll.DBR($C$29,$B36,C$31)</f>
        <v>#NAME?</v>
      </c>
      <c r="D36" s="8" t="e" cm="1">
        <f t="array" aca="1" ref="D36" ca="1">_xll.DBR($C$29,$B36,D$31)</f>
        <v>#NAME?</v>
      </c>
      <c r="E36" s="8" t="e" cm="1">
        <f t="array" aca="1" ref="E36" ca="1">_xll.DBR($C$29,$B36,E$31)</f>
        <v>#NAME?</v>
      </c>
      <c r="F36" s="8" t="e" cm="1">
        <f t="array" aca="1" ref="F36" ca="1">_xll.DBR($C$29,$B36,F$31)</f>
        <v>#NAME?</v>
      </c>
      <c r="G36" s="8" t="e" cm="1">
        <f t="array" aca="1" ref="G36" ca="1">_xll.DBR($C$29,$B36,G$31)</f>
        <v>#NAME?</v>
      </c>
      <c r="H36" s="8" t="e" cm="1">
        <f t="array" aca="1" ref="H36" ca="1">_xll.DBR($C$29,$B36,H$31)</f>
        <v>#NAME?</v>
      </c>
    </row>
    <row r="37" spans="2:8" hidden="1" outlineLevel="1" x14ac:dyDescent="0.25">
      <c r="B37" s="8" t="s">
        <v>136</v>
      </c>
      <c r="C37" s="8" t="e" cm="1">
        <f t="array" aca="1" ref="C37" ca="1">_xll.DBR($C$29,$B37,C$31)</f>
        <v>#NAME?</v>
      </c>
      <c r="D37" s="8" t="e" cm="1">
        <f t="array" aca="1" ref="D37" ca="1">_xll.DBR($C$29,$B37,D$31)</f>
        <v>#NAME?</v>
      </c>
      <c r="E37" s="8" t="e" cm="1">
        <f t="array" aca="1" ref="E37" ca="1">_xll.DBR($C$29,$B37,E$31)</f>
        <v>#NAME?</v>
      </c>
      <c r="F37" s="8" t="e" cm="1">
        <f t="array" aca="1" ref="F37" ca="1">_xll.DBR($C$29,$B37,F$31)</f>
        <v>#NAME?</v>
      </c>
      <c r="G37" s="8" t="e" cm="1">
        <f t="array" aca="1" ref="G37" ca="1">_xll.DBR($C$29,$B37,G$31)</f>
        <v>#NAME?</v>
      </c>
      <c r="H37" s="8" t="e" cm="1">
        <f t="array" aca="1" ref="H37" ca="1">_xll.DBR($C$29,$B37,H$31)</f>
        <v>#NAME?</v>
      </c>
    </row>
    <row r="38" spans="2:8" hidden="1" outlineLevel="1" x14ac:dyDescent="0.25">
      <c r="B38" s="8" t="s">
        <v>137</v>
      </c>
      <c r="C38" s="8" t="e" cm="1">
        <f t="array" aca="1" ref="C38" ca="1">_xll.DBR($C$29,$B38,C$31)</f>
        <v>#NAME?</v>
      </c>
      <c r="D38" s="8" t="e" cm="1">
        <f t="array" aca="1" ref="D38" ca="1">_xll.DBR($C$29,$B38,D$31)</f>
        <v>#NAME?</v>
      </c>
      <c r="E38" s="8" t="e" cm="1">
        <f t="array" aca="1" ref="E38" ca="1">_xll.DBR($C$29,$B38,E$31)</f>
        <v>#NAME?</v>
      </c>
      <c r="F38" s="8" t="e" cm="1">
        <f t="array" aca="1" ref="F38" ca="1">_xll.DBR($C$29,$B38,F$31)</f>
        <v>#NAME?</v>
      </c>
      <c r="G38" s="8" t="e" cm="1">
        <f t="array" aca="1" ref="G38" ca="1">_xll.DBR($C$29,$B38,G$31)</f>
        <v>#NAME?</v>
      </c>
      <c r="H38" s="8" t="e" cm="1">
        <f t="array" aca="1" ref="H38" ca="1">_xll.DBR($C$29,$B38,H$31)</f>
        <v>#NAME?</v>
      </c>
    </row>
    <row r="39" spans="2:8" hidden="1" outlineLevel="1" x14ac:dyDescent="0.25">
      <c r="B39" s="8" t="s">
        <v>138</v>
      </c>
      <c r="C39" s="8" t="e" cm="1">
        <f t="array" aca="1" ref="C39" ca="1">_xll.DBR($C$29,$B39,C$31)</f>
        <v>#NAME?</v>
      </c>
      <c r="D39" s="8" t="e" cm="1">
        <f t="array" aca="1" ref="D39" ca="1">_xll.DBR($C$29,$B39,D$31)</f>
        <v>#NAME?</v>
      </c>
      <c r="E39" s="8" t="e" cm="1">
        <f t="array" aca="1" ref="E39" ca="1">_xll.DBR($C$29,$B39,E$31)</f>
        <v>#NAME?</v>
      </c>
      <c r="F39" s="8" t="e" cm="1">
        <f t="array" aca="1" ref="F39" ca="1">_xll.DBR($C$29,$B39,F$31)</f>
        <v>#NAME?</v>
      </c>
      <c r="G39" s="8" t="e" cm="1">
        <f t="array" aca="1" ref="G39" ca="1">_xll.DBR($C$29,$B39,G$31)</f>
        <v>#NAME?</v>
      </c>
      <c r="H39" s="8" t="e" cm="1">
        <f t="array" aca="1" ref="H39" ca="1">_xll.DBR($C$29,$B39,H$31)</f>
        <v>#NAME?</v>
      </c>
    </row>
    <row r="40" spans="2:8" hidden="1" outlineLevel="1" x14ac:dyDescent="0.25">
      <c r="B40" s="8" t="s">
        <v>139</v>
      </c>
      <c r="C40" s="8" t="e" cm="1">
        <f t="array" aca="1" ref="C40" ca="1">_xll.DBR($C$29,$B40,C$31)</f>
        <v>#NAME?</v>
      </c>
      <c r="D40" s="8" t="e" cm="1">
        <f t="array" aca="1" ref="D40" ca="1">_xll.DBR($C$29,$B40,D$31)</f>
        <v>#NAME?</v>
      </c>
      <c r="E40" s="8" t="e" cm="1">
        <f t="array" aca="1" ref="E40" ca="1">_xll.DBR($C$29,$B40,E$31)</f>
        <v>#NAME?</v>
      </c>
      <c r="F40" s="8" t="e" cm="1">
        <f t="array" aca="1" ref="F40" ca="1">_xll.DBR($C$29,$B40,F$31)</f>
        <v>#NAME?</v>
      </c>
      <c r="G40" s="8" t="e" cm="1">
        <f t="array" aca="1" ref="G40" ca="1">_xll.DBR($C$29,$B40,G$31)</f>
        <v>#NAME?</v>
      </c>
      <c r="H40" s="8" t="e" cm="1">
        <f t="array" aca="1" ref="H40" ca="1">_xll.DBR($C$29,$B40,H$31)</f>
        <v>#NAME?</v>
      </c>
    </row>
    <row r="41" spans="2:8" hidden="1" outlineLevel="1" x14ac:dyDescent="0.25">
      <c r="B41" s="8" t="s">
        <v>140</v>
      </c>
      <c r="C41" s="8" t="e" cm="1">
        <f t="array" aca="1" ref="C41" ca="1">_xll.DBR($C$29,$B41,C$31)</f>
        <v>#NAME?</v>
      </c>
      <c r="D41" s="8" t="e" cm="1">
        <f t="array" aca="1" ref="D41" ca="1">_xll.DBR($C$29,$B41,D$31)</f>
        <v>#NAME?</v>
      </c>
      <c r="E41" s="8" t="e" cm="1">
        <f t="array" aca="1" ref="E41" ca="1">_xll.DBR($C$29,$B41,E$31)</f>
        <v>#NAME?</v>
      </c>
      <c r="F41" s="8" t="e" cm="1">
        <f t="array" aca="1" ref="F41" ca="1">_xll.DBR($C$29,$B41,F$31)</f>
        <v>#NAME?</v>
      </c>
      <c r="G41" s="8" t="e" cm="1">
        <f t="array" aca="1" ref="G41" ca="1">_xll.DBR($C$29,$B41,G$31)</f>
        <v>#NAME?</v>
      </c>
      <c r="H41" s="8" t="e" cm="1">
        <f t="array" aca="1" ref="H41" ca="1">_xll.DBR($C$29,$B41,H$31)</f>
        <v>#NAME?</v>
      </c>
    </row>
    <row r="42" spans="2:8" hidden="1" outlineLevel="1" x14ac:dyDescent="0.25">
      <c r="B42" s="8" t="s">
        <v>141</v>
      </c>
      <c r="C42" s="8" t="e" cm="1">
        <f t="array" aca="1" ref="C42" ca="1">_xll.DBR($C$29,$B42,C$31)</f>
        <v>#NAME?</v>
      </c>
      <c r="D42" s="8" t="e" cm="1">
        <f t="array" aca="1" ref="D42" ca="1">_xll.DBR($C$29,$B42,D$31)</f>
        <v>#NAME?</v>
      </c>
      <c r="E42" s="8" t="e" cm="1">
        <f t="array" aca="1" ref="E42" ca="1">_xll.DBR($C$29,$B42,E$31)</f>
        <v>#NAME?</v>
      </c>
      <c r="F42" s="8" t="e" cm="1">
        <f t="array" aca="1" ref="F42" ca="1">_xll.DBR($C$29,$B42,F$31)</f>
        <v>#NAME?</v>
      </c>
      <c r="G42" s="8" t="e" cm="1">
        <f t="array" aca="1" ref="G42" ca="1">_xll.DBR($C$29,$B42,G$31)</f>
        <v>#NAME?</v>
      </c>
      <c r="H42" s="8" t="e" cm="1">
        <f t="array" aca="1" ref="H42" ca="1">_xll.DBR($C$29,$B42,H$31)</f>
        <v>#NAME?</v>
      </c>
    </row>
    <row r="43" spans="2:8" hidden="1" outlineLevel="1" x14ac:dyDescent="0.25">
      <c r="B43" s="8" t="s">
        <v>142</v>
      </c>
      <c r="C43" s="8" t="e" cm="1">
        <f t="array" aca="1" ref="C43" ca="1">_xll.DBR($C$29,$B43,C$31)</f>
        <v>#NAME?</v>
      </c>
      <c r="D43" s="8" t="e" cm="1">
        <f t="array" aca="1" ref="D43" ca="1">_xll.DBR($C$29,$B43,D$31)</f>
        <v>#NAME?</v>
      </c>
      <c r="E43" s="8" t="e" cm="1">
        <f t="array" aca="1" ref="E43" ca="1">_xll.DBR($C$29,$B43,E$31)</f>
        <v>#NAME?</v>
      </c>
      <c r="F43" s="8" t="e" cm="1">
        <f t="array" aca="1" ref="F43" ca="1">_xll.DBR($C$29,$B43,F$31)</f>
        <v>#NAME?</v>
      </c>
      <c r="G43" s="8" t="e" cm="1">
        <f t="array" aca="1" ref="G43" ca="1">_xll.DBR($C$29,$B43,G$31)</f>
        <v>#NAME?</v>
      </c>
      <c r="H43" s="8" t="e" cm="1">
        <f t="array" aca="1" ref="H43" ca="1">_xll.DBR($C$29,$B43,H$31)</f>
        <v>#NAME?</v>
      </c>
    </row>
    <row r="44" spans="2:8" hidden="1" outlineLevel="1" x14ac:dyDescent="0.25">
      <c r="B44" s="8" t="s">
        <v>211</v>
      </c>
      <c r="C44" s="8" t="e" cm="1">
        <f t="array" aca="1" ref="C44" ca="1">_xll.DBR($C$29,$B44,C$31)</f>
        <v>#NAME?</v>
      </c>
      <c r="D44" s="8" t="e" cm="1">
        <f t="array" aca="1" ref="D44" ca="1">_xll.DBR($C$29,$B44,D$31)</f>
        <v>#NAME?</v>
      </c>
      <c r="E44" s="8" t="e" cm="1">
        <f t="array" aca="1" ref="E44" ca="1">_xll.DBR($C$29,$B44,E$31)</f>
        <v>#NAME?</v>
      </c>
      <c r="F44" s="8" t="e" cm="1">
        <f t="array" aca="1" ref="F44" ca="1">_xll.DBR($C$29,$B44,F$31)</f>
        <v>#NAME?</v>
      </c>
      <c r="G44" s="8" t="e" cm="1">
        <f t="array" aca="1" ref="G44" ca="1">_xll.DBR($C$29,$B44,G$31)</f>
        <v>#NAME?</v>
      </c>
      <c r="H44" s="8" t="e" cm="1">
        <f t="array" aca="1" ref="H44" ca="1">_xll.DBR($C$29,$B44,H$31)</f>
        <v>#NAME?</v>
      </c>
    </row>
    <row r="45" spans="2:8" hidden="1" outlineLevel="1" x14ac:dyDescent="0.25">
      <c r="B45" s="8" t="s">
        <v>212</v>
      </c>
      <c r="C45" s="8" t="e" cm="1">
        <f t="array" aca="1" ref="C45" ca="1">_xll.DBR($C$29,$B45,C$31)</f>
        <v>#NAME?</v>
      </c>
      <c r="D45" s="8" t="e" cm="1">
        <f t="array" aca="1" ref="D45" ca="1">_xll.DBR($C$29,$B45,D$31)</f>
        <v>#NAME?</v>
      </c>
      <c r="E45" s="8" t="e" cm="1">
        <f t="array" aca="1" ref="E45" ca="1">_xll.DBR($C$29,$B45,E$31)</f>
        <v>#NAME?</v>
      </c>
      <c r="F45" s="8" t="e" cm="1">
        <f t="array" aca="1" ref="F45" ca="1">_xll.DBR($C$29,$B45,F$31)</f>
        <v>#NAME?</v>
      </c>
      <c r="G45" s="8" t="e" cm="1">
        <f t="array" aca="1" ref="G45" ca="1">_xll.DBR($C$29,$B45,G$31)</f>
        <v>#NAME?</v>
      </c>
      <c r="H45" s="8" t="e" cm="1">
        <f t="array" aca="1" ref="H45" ca="1">_xll.DBR($C$29,$B45,H$31)</f>
        <v>#NAME?</v>
      </c>
    </row>
    <row r="46" spans="2:8" hidden="1" outlineLevel="1" x14ac:dyDescent="0.25"/>
    <row r="47" spans="2:8" hidden="1" outlineLevel="1" x14ac:dyDescent="0.25">
      <c r="C47" s="11" t="s">
        <v>213</v>
      </c>
      <c r="D47" s="11" t="s">
        <v>39</v>
      </c>
    </row>
    <row r="48" spans="2:8" hidden="1" outlineLevel="1" x14ac:dyDescent="0.25">
      <c r="B48" s="4" t="s">
        <v>214</v>
      </c>
      <c r="C48" s="8" t="e">
        <f ca="1">IF($C$93="Group",IF($C$99="Compliance",TM1GrpNewAdj08RecogDataEntryWB,TM1GrpNewAdj02ExpDataEntryWB),TM1NewAdj02DataEntryWB)</f>
        <v>#NAME?</v>
      </c>
      <c r="D48" s="8" t="e">
        <f ca="1">IF($C$93="Group",IF($C$99="Compliance",TM1GrpNewAdj08RecogDataEntryWS,TM1GrpNewAdj02ExpDataEntryWS),TM1NewAdj02DataEntryWS)</f>
        <v>#NAME?</v>
      </c>
    </row>
    <row r="49" spans="2:4" hidden="1" outlineLevel="1" x14ac:dyDescent="0.25"/>
    <row r="50" spans="2:4" hidden="1" outlineLevel="1" x14ac:dyDescent="0.25">
      <c r="B50" s="70" t="s">
        <v>45</v>
      </c>
      <c r="C50" s="71"/>
      <c r="D50" s="72"/>
    </row>
    <row r="51" spans="2:4" hidden="1" outlineLevel="1" x14ac:dyDescent="0.25">
      <c r="B51" s="4" t="s">
        <v>27</v>
      </c>
      <c r="C51" s="8" t="e" cm="1">
        <f t="array" aca="1" ref="C51" ca="1">_xll.VIEW(db_name&amp;":sys_client preference","!","!","!")</f>
        <v>#NAME?</v>
      </c>
      <c r="D51" s="8"/>
    </row>
    <row r="52" spans="2:4" hidden="1" outlineLevel="1" x14ac:dyDescent="0.25">
      <c r="B52" s="4"/>
      <c r="C52" s="11" t="s">
        <v>46</v>
      </c>
      <c r="D52" s="11" t="s">
        <v>47</v>
      </c>
    </row>
    <row r="53" spans="2:4" hidden="1" outlineLevel="1" x14ac:dyDescent="0.25">
      <c r="B53" s="4" t="s">
        <v>48</v>
      </c>
      <c r="C53" s="8" t="e" cm="1">
        <f t="array" aca="1" ref="C53" ca="1">_xll.SUBNM(db_name&amp;":sys_client preference measure","","value")</f>
        <v>#NAME?</v>
      </c>
      <c r="D53" s="11"/>
    </row>
    <row r="54" spans="2:4" hidden="1" outlineLevel="1" x14ac:dyDescent="0.25">
      <c r="B54" s="4" t="s">
        <v>49</v>
      </c>
      <c r="C54" s="8" t="e" cm="1">
        <f t="array" aca="1" ref="C54" ca="1">_xll.DBR($C$51,psUser,$B54,"value")</f>
        <v>#NAME?</v>
      </c>
      <c r="D54" s="8"/>
    </row>
    <row r="55" spans="2:4" hidden="1" outlineLevel="1" x14ac:dyDescent="0.25">
      <c r="B55" s="4" t="s">
        <v>50</v>
      </c>
      <c r="C55" s="8" t="e" cm="1">
        <f t="array" aca="1" ref="C55" ca="1">_xll.DBR($C$51,psUser,$B55,"value")</f>
        <v>#NAME?</v>
      </c>
      <c r="D55" s="8"/>
    </row>
    <row r="56" spans="2:4" hidden="1" outlineLevel="1" x14ac:dyDescent="0.25">
      <c r="B56" s="4" t="s">
        <v>51</v>
      </c>
      <c r="C56" s="8" t="e" cm="1">
        <f t="array" aca="1" ref="C56" ca="1">_xll.DBR($C$51,psUser,$B56,"value")</f>
        <v>#NAME?</v>
      </c>
      <c r="D56" s="8"/>
    </row>
    <row r="57" spans="2:4" hidden="1" outlineLevel="1" x14ac:dyDescent="0.25">
      <c r="B57" s="4" t="s">
        <v>52</v>
      </c>
      <c r="C57" s="8" t="e" cm="1">
        <f t="array" aca="1" ref="C57" ca="1">_xll.DBR($C$51,psUser,$B57,C$52)</f>
        <v>#NAME?</v>
      </c>
      <c r="D57" s="8" t="e" cm="1">
        <f t="array" aca="1" ref="D57" ca="1">_xll.DBR($C$51,psUser,$B57,D$52)</f>
        <v>#NAME?</v>
      </c>
    </row>
    <row r="58" spans="2:4" hidden="1" outlineLevel="1" x14ac:dyDescent="0.25">
      <c r="B58" s="4" t="s">
        <v>120</v>
      </c>
      <c r="C58" s="8" t="e" cm="1">
        <f t="array" aca="1" ref="C58" ca="1">_xll.DBR($C$51,psUser,$B58,C$52)</f>
        <v>#NAME?</v>
      </c>
      <c r="D58" s="8" t="e" cm="1">
        <f t="array" aca="1" ref="D58" ca="1">_xll.DBR($C$51,psUser,$B58,D$52)</f>
        <v>#NAME?</v>
      </c>
    </row>
    <row r="59" spans="2:4" hidden="1" outlineLevel="1" x14ac:dyDescent="0.25">
      <c r="B59" s="4" t="s">
        <v>121</v>
      </c>
      <c r="C59" s="8" t="e" cm="1">
        <f t="array" aca="1" ref="C59" ca="1">_xll.DBR($C$51,psUser,$B59,C$52)</f>
        <v>#NAME?</v>
      </c>
      <c r="D59" s="8" t="e" cm="1">
        <f t="array" aca="1" ref="D59" ca="1">_xll.DBR($C$51,psUser,$B59,D$52)</f>
        <v>#NAME?</v>
      </c>
    </row>
    <row r="60" spans="2:4" hidden="1" outlineLevel="1" x14ac:dyDescent="0.25">
      <c r="B60" s="4" t="s">
        <v>122</v>
      </c>
      <c r="C60" s="8" t="e" cm="1">
        <f t="array" aca="1" ref="C60" ca="1">_xll.DBR($C$51,psUser,$B60,C$52)</f>
        <v>#NAME?</v>
      </c>
      <c r="D60" s="8" t="e" cm="1">
        <f t="array" aca="1" ref="D60" ca="1">_xll.DBR($C$51,psUser,$B60,D$52)</f>
        <v>#NAME?</v>
      </c>
    </row>
    <row r="61" spans="2:4" hidden="1" outlineLevel="1" x14ac:dyDescent="0.25">
      <c r="B61" s="4" t="s">
        <v>123</v>
      </c>
      <c r="C61" s="8" t="e" cm="1">
        <f t="array" aca="1" ref="C61" ca="1">_xll.DBR($C$51,psUser,$B61,C$52)</f>
        <v>#NAME?</v>
      </c>
      <c r="D61" s="8" t="e" cm="1">
        <f t="array" aca="1" ref="D61" ca="1">_xll.DBR($C$51,psUser,$B61,D$52)</f>
        <v>#NAME?</v>
      </c>
    </row>
    <row r="62" spans="2:4" hidden="1" outlineLevel="1" x14ac:dyDescent="0.25">
      <c r="B62" s="4" t="s">
        <v>124</v>
      </c>
      <c r="C62" s="8" t="e" cm="1">
        <f t="array" aca="1" ref="C62" ca="1">_xll.DBR($C$51,psUser,$B62,C$52)</f>
        <v>#NAME?</v>
      </c>
      <c r="D62" s="8" t="e" cm="1">
        <f t="array" aca="1" ref="D62" ca="1">_xll.DBR($C$51,psUser,$B62,D$52)</f>
        <v>#NAME?</v>
      </c>
    </row>
    <row r="63" spans="2:4" hidden="1" outlineLevel="1" x14ac:dyDescent="0.25">
      <c r="B63" s="4" t="s">
        <v>125</v>
      </c>
      <c r="C63" s="8" t="e" cm="1">
        <f t="array" aca="1" ref="C63" ca="1">_xll.DBR($C$51,psUser,$B63,C$52)</f>
        <v>#NAME?</v>
      </c>
      <c r="D63" s="8" t="e" cm="1">
        <f t="array" aca="1" ref="D63" ca="1">_xll.DBR($C$51,psUser,$B63,D$52)</f>
        <v>#NAME?</v>
      </c>
    </row>
    <row r="64" spans="2:4" hidden="1" outlineLevel="1" x14ac:dyDescent="0.25">
      <c r="B64" s="4"/>
      <c r="C64" s="8"/>
      <c r="D64" s="8"/>
    </row>
    <row r="65" spans="2:4" hidden="1" outlineLevel="1" x14ac:dyDescent="0.25">
      <c r="B65" s="39"/>
    </row>
    <row r="66" spans="2:4" hidden="1" outlineLevel="1" x14ac:dyDescent="0.25">
      <c r="B66" s="70" t="s">
        <v>88</v>
      </c>
      <c r="C66" s="71"/>
    </row>
    <row r="67" spans="2:4" hidden="1" outlineLevel="1" x14ac:dyDescent="0.25">
      <c r="B67" s="8" t="s">
        <v>80</v>
      </c>
      <c r="C67" s="8" t="e" cm="1">
        <f t="array" aca="1" ref="C67" ca="1">_xll.VIEW(db_name&amp;":}ElementAttributes_account","!","!")</f>
        <v>#NAME?</v>
      </c>
    </row>
    <row r="68" spans="2:4" hidden="1" outlineLevel="1" x14ac:dyDescent="0.25">
      <c r="B68" s="8" t="s">
        <v>81</v>
      </c>
      <c r="C68" s="8" t="e" cm="1">
        <f t="array" aca="1" ref="C68" ca="1">_xll.VIEW(db_name&amp;":}ElementAttributes_movement account","!","!")</f>
        <v>#NAME?</v>
      </c>
    </row>
    <row r="69" spans="2:4" hidden="1" outlineLevel="1" x14ac:dyDescent="0.25">
      <c r="B69" s="8" t="s">
        <v>98</v>
      </c>
      <c r="C69" s="8" t="e" cm="1">
        <f t="array" aca="1" ref="C69" ca="1">_xll.VIEW(db_name&amp;":}ElementAttributes_reason","!","!")</f>
        <v>#NAME?</v>
      </c>
    </row>
    <row r="70" spans="2:4" hidden="1" outlineLevel="1" x14ac:dyDescent="0.25">
      <c r="B70" s="8" t="s">
        <v>99</v>
      </c>
      <c r="C70" s="8" t="e" cm="1">
        <f t="array" aca="1" ref="C70" ca="1">_xll.VIEW(db_name&amp;":}ElementAttributes_measure code","!","!")</f>
        <v>#NAME?</v>
      </c>
    </row>
    <row r="71" spans="2:4" hidden="1" outlineLevel="1" x14ac:dyDescent="0.25">
      <c r="B71" s="8" t="s">
        <v>100</v>
      </c>
      <c r="C71" s="8" t="e" cm="1">
        <f t="array" aca="1" ref="C71" ca="1">_xll.VIEW(db_name&amp;":}ElementAttributes_programme","!","!")</f>
        <v>#NAME?</v>
      </c>
    </row>
    <row r="72" spans="2:4" hidden="1" outlineLevel="1" x14ac:dyDescent="0.25">
      <c r="B72" s="8" t="s">
        <v>130</v>
      </c>
      <c r="C72" s="8" t="e" cm="1">
        <f t="array" aca="1" ref="C72" ca="1">_xll.VIEW(db_name&amp;":}ElementAttributes_appropriation item","!","!")</f>
        <v>#NAME?</v>
      </c>
    </row>
    <row r="73" spans="2:4" hidden="1" outlineLevel="1" x14ac:dyDescent="0.25">
      <c r="B73" s="8" t="s">
        <v>135</v>
      </c>
      <c r="C73" s="8" t="e" cm="1">
        <f t="array" aca="1" ref="C73" ca="1">_xll.VIEW(db_name&amp;":}ElementAttributes_related entity","!","!")</f>
        <v>#NAME?</v>
      </c>
    </row>
    <row r="74" spans="2:4" hidden="1" outlineLevel="1" x14ac:dyDescent="0.25">
      <c r="B74" s="39"/>
    </row>
    <row r="75" spans="2:4" hidden="1" outlineLevel="1" x14ac:dyDescent="0.25">
      <c r="B75" s="70" t="s">
        <v>53</v>
      </c>
      <c r="C75" s="71"/>
      <c r="D75" s="72"/>
    </row>
    <row r="76" spans="2:4" hidden="1" outlineLevel="1" x14ac:dyDescent="0.25">
      <c r="B76" s="4" t="s">
        <v>55</v>
      </c>
      <c r="C76" s="8" t="e" cm="1">
        <f t="array" aca="1" ref="C76" ca="1">_xll.VIEW(db_name&amp;":AE id details",$C$54,$C$55,$C$56,"!")</f>
        <v>#NAME?</v>
      </c>
      <c r="D76" s="4" t="s">
        <v>103</v>
      </c>
    </row>
    <row r="77" spans="2:4" hidden="1" outlineLevel="1" x14ac:dyDescent="0.25">
      <c r="B77" s="4" t="s">
        <v>2</v>
      </c>
      <c r="C77" s="8" t="e" cm="1">
        <f t="array" aca="1" ref="C77" ca="1">_xll.DBR($C$76,$C$54,$C$55,$C$56,$B77)</f>
        <v>#NAME?</v>
      </c>
      <c r="D77" s="8"/>
    </row>
    <row r="78" spans="2:4" hidden="1" outlineLevel="1" x14ac:dyDescent="0.25">
      <c r="B78" s="4" t="s">
        <v>61</v>
      </c>
      <c r="C78" s="12" t="e">
        <f ca="1">IF(OR($C$77="unauthorised",$C$77="draft",$C$77="unbalanced"),"data",$C$77)</f>
        <v>#NAME?</v>
      </c>
      <c r="D78" s="8"/>
    </row>
    <row r="79" spans="2:4" hidden="1" outlineLevel="1" x14ac:dyDescent="0.25">
      <c r="B79" s="4" t="s">
        <v>76</v>
      </c>
      <c r="C79" s="8" t="e" cm="1">
        <f t="array" aca="1" ref="C79" ca="1">_xll.DBR($C$76,$C$54,$C$55,$C$56,$B79)</f>
        <v>#NAME?</v>
      </c>
      <c r="D79" s="8" t="e" cm="1">
        <f t="array" aca="1" ref="D79" ca="1">_xll.DBR($C$71,$C79,"Code and description")</f>
        <v>#NAME?</v>
      </c>
    </row>
    <row r="80" spans="2:4" hidden="1" outlineLevel="1" x14ac:dyDescent="0.25">
      <c r="B80" s="4" t="s">
        <v>133</v>
      </c>
      <c r="C80" s="8" t="e" cm="1">
        <f t="array" aca="1" ref="C80" ca="1">_xll.DBR($C$76,$C$54,$C$55,$C$56,$B80)</f>
        <v>#NAME?</v>
      </c>
      <c r="D80" s="8"/>
    </row>
    <row r="81" spans="2:6" hidden="1" outlineLevel="1" x14ac:dyDescent="0.25">
      <c r="B81" s="4" t="s">
        <v>130</v>
      </c>
      <c r="C81" s="8" t="e" cm="1">
        <f t="array" aca="1" ref="C81" ca="1">_xll.DBR($C$76,$C$54,$C$55,$C$56,$B81)</f>
        <v>#NAME?</v>
      </c>
      <c r="D81" s="8" t="e" cm="1">
        <f t="array" aca="1" ref="D81" ca="1">_xll.DBR($C$72,$C81,"code and description")</f>
        <v>#NAME?</v>
      </c>
    </row>
    <row r="82" spans="2:6" hidden="1" outlineLevel="1" x14ac:dyDescent="0.25">
      <c r="B82" s="4" t="s">
        <v>134</v>
      </c>
      <c r="C82" s="8" t="e" cm="1">
        <f t="array" aca="1" ref="C82" ca="1">_xll.DBR($C$76,$C$54,$C$55,$C$56,$B82)</f>
        <v>#NAME?</v>
      </c>
      <c r="D82" s="8"/>
    </row>
    <row r="83" spans="2:6" hidden="1" outlineLevel="1" x14ac:dyDescent="0.25">
      <c r="B83" s="4" t="s">
        <v>3</v>
      </c>
      <c r="C83" s="8" t="e" cm="1">
        <f t="array" aca="1" ref="C83" ca="1">_xll.DBR($C$76,$C$54,$C$55,$C$56,$B83)</f>
        <v>#NAME?</v>
      </c>
      <c r="D83" s="8"/>
    </row>
    <row r="84" spans="2:6" hidden="1" outlineLevel="1" x14ac:dyDescent="0.25">
      <c r="B84" s="4" t="s">
        <v>4</v>
      </c>
      <c r="C84" s="8" t="e" cm="1">
        <f t="array" aca="1" ref="C84" ca="1">_xll.DBR($C$76,$C$54,$C$55,$C$56,$B84)</f>
        <v>#NAME?</v>
      </c>
      <c r="D84" s="8"/>
    </row>
    <row r="85" spans="2:6" hidden="1" outlineLevel="1" x14ac:dyDescent="0.25">
      <c r="B85" s="4" t="s">
        <v>5</v>
      </c>
      <c r="C85" s="8" t="e" cm="1">
        <f t="array" aca="1" ref="C85" ca="1">_xll.DBR($C$76,$C$54,$C$55,$C$56,$B85)</f>
        <v>#NAME?</v>
      </c>
      <c r="D85" s="8" t="e" cm="1">
        <f t="array" aca="1" ref="D85" ca="1">_xll.DBR($C$69,$C85,"CBMS code and description")</f>
        <v>#NAME?</v>
      </c>
    </row>
    <row r="86" spans="2:6" hidden="1" outlineLevel="1" x14ac:dyDescent="0.25">
      <c r="B86" s="4" t="s">
        <v>56</v>
      </c>
      <c r="C86" s="8" t="e" cm="1">
        <f t="array" aca="1" ref="C86" ca="1">_xll.DBR($C$76,$C$54,$C$55,$C$56,$B86)</f>
        <v>#NAME?</v>
      </c>
      <c r="D86" s="8" t="e" cm="1">
        <f t="array" aca="1" ref="D86" ca="1">_xll.DBR($C$70,$C86,"CBMS code and description")</f>
        <v>#NAME?</v>
      </c>
    </row>
    <row r="87" spans="2:6" hidden="1" outlineLevel="1" x14ac:dyDescent="0.25">
      <c r="B87" s="4" t="s">
        <v>200</v>
      </c>
      <c r="C87" s="8" t="e" cm="1">
        <f t="array" aca="1" ref="C87" ca="1">_xll.DBR($C$76,$C$54,$C$55,$C$56,$B87)</f>
        <v>#NAME?</v>
      </c>
      <c r="D87" s="8"/>
    </row>
    <row r="88" spans="2:6" hidden="1" outlineLevel="1" x14ac:dyDescent="0.25">
      <c r="B88" s="4" t="s">
        <v>101</v>
      </c>
      <c r="C88" s="8" t="e" cm="1">
        <f t="array" aca="1" ref="C88" ca="1">_xll.DBR($C$76,$C$54,$C$55,$C$56,$B88)</f>
        <v>#NAME?</v>
      </c>
      <c r="D88" s="8"/>
    </row>
    <row r="89" spans="2:6" hidden="1" outlineLevel="1" x14ac:dyDescent="0.25">
      <c r="B89" s="4" t="s">
        <v>102</v>
      </c>
      <c r="C89" s="8" t="e" cm="1">
        <f t="array" aca="1" ref="C89" ca="1">_xll.DBR($C$76,$C$54,$C$55,$C$56,$B89)</f>
        <v>#NAME?</v>
      </c>
      <c r="D89" s="8"/>
    </row>
    <row r="90" spans="2:6" hidden="1" outlineLevel="1" x14ac:dyDescent="0.25">
      <c r="B90" s="4" t="s">
        <v>196</v>
      </c>
      <c r="C90" s="8" t="e" cm="1">
        <f t="array" aca="1" ref="C90" ca="1">_xll.DBR($C$76,$C$54,$C$55,$C$56,$B90)</f>
        <v>#NAME?</v>
      </c>
      <c r="D90" s="8"/>
    </row>
    <row r="91" spans="2:6" hidden="1" outlineLevel="1" x14ac:dyDescent="0.25">
      <c r="B91" s="4" t="s">
        <v>119</v>
      </c>
      <c r="C91" s="8" t="e" cm="1">
        <f t="array" aca="1" ref="C91" ca="1">_xll.DBR($C$76,$C$54,$C$55,$C$56,$B91)</f>
        <v>#NAME?</v>
      </c>
      <c r="D91" s="8" t="e">
        <f ca="1">IF(OR($C$91="",$C$91="*KEY_ERR"),"System Derived","Agency Entered")</f>
        <v>#NAME?</v>
      </c>
      <c r="E91" s="8" t="e">
        <f ca="1">"sys_"&amp;$D$91</f>
        <v>#NAME?</v>
      </c>
      <c r="F91" s="8" t="e">
        <f ca="1">IF(OR($C$77="unauthorised",$C$77="draft",$C$77="unbalanced"),"sys_all-n",$E$91)</f>
        <v>#NAME?</v>
      </c>
    </row>
    <row r="92" spans="2:6" hidden="1" outlineLevel="1" x14ac:dyDescent="0.25">
      <c r="B92" s="4" t="s">
        <v>177</v>
      </c>
      <c r="C92" s="8" t="e" cm="1">
        <f t="array" aca="1" ref="C92" ca="1">_xll.DBR($C$76,$C$54,$C$55,$C$56,$B92)</f>
        <v>#NAME?</v>
      </c>
      <c r="D92" s="8"/>
    </row>
    <row r="93" spans="2:6" hidden="1" outlineLevel="1" x14ac:dyDescent="0.25">
      <c r="B93" s="4" t="s">
        <v>178</v>
      </c>
      <c r="C93" s="8" t="e" cm="1">
        <f t="array" aca="1" ref="C93" ca="1">_xll.DBR($C$76,$C$54,$C$55,$C$56,$B93)</f>
        <v>#NAME?</v>
      </c>
      <c r="D93" s="8"/>
    </row>
    <row r="94" spans="2:6" hidden="1" outlineLevel="1" x14ac:dyDescent="0.25">
      <c r="B94" s="4" t="s">
        <v>179</v>
      </c>
      <c r="C94" s="8" t="e" cm="1">
        <f t="array" aca="1" ref="C94" ca="1">_xll.DBR($C$76,$C$54,$C$55,$C$56,$B94)</f>
        <v>#NAME?</v>
      </c>
      <c r="D94" s="8"/>
    </row>
    <row r="95" spans="2:6" hidden="1" outlineLevel="1" x14ac:dyDescent="0.25">
      <c r="B95" s="4" t="s">
        <v>180</v>
      </c>
      <c r="C95" s="8" t="e" cm="1">
        <f t="array" aca="1" ref="C95" ca="1">_xll.DBR($C$76,$C$54,$C$55,$C$56,$B95)</f>
        <v>#NAME?</v>
      </c>
      <c r="D95" s="8"/>
    </row>
    <row r="96" spans="2:6" hidden="1" outlineLevel="1" x14ac:dyDescent="0.25">
      <c r="B96" s="4" t="s">
        <v>181</v>
      </c>
      <c r="C96" s="8" t="e" cm="1">
        <f t="array" aca="1" ref="C96" ca="1">_xll.DBR($C$76,$C$54,$C$55,$C$56,$B96)</f>
        <v>#NAME?</v>
      </c>
      <c r="D96" s="8"/>
    </row>
    <row r="97" spans="2:10" hidden="1" outlineLevel="1" x14ac:dyDescent="0.25">
      <c r="B97" s="4" t="s">
        <v>182</v>
      </c>
      <c r="C97" s="8" t="e" cm="1">
        <f t="array" aca="1" ref="C97" ca="1">_xll.DBR($C$76,$C$54,$C$55,$C$56,$B97)</f>
        <v>#NAME?</v>
      </c>
      <c r="D97" s="8"/>
    </row>
    <row r="98" spans="2:10" hidden="1" outlineLevel="1" x14ac:dyDescent="0.25">
      <c r="B98" s="4" t="s">
        <v>190</v>
      </c>
      <c r="C98" s="8" t="e" cm="1">
        <f t="array" aca="1" ref="C98" ca="1">_xll.DBR($C$76,$C$54,$C$55,$C$56,$B98)</f>
        <v>#NAME?</v>
      </c>
      <c r="D98" s="8"/>
    </row>
    <row r="99" spans="2:10" hidden="1" outlineLevel="1" x14ac:dyDescent="0.25">
      <c r="B99" s="39" t="s">
        <v>210</v>
      </c>
      <c r="C99" s="8" t="e" cm="1">
        <f t="array" aca="1" ref="C99" ca="1">_xll.DBR($C$76,$C$54,$C$55,$C$56,$B99)</f>
        <v>#NAME?</v>
      </c>
    </row>
    <row r="100" spans="2:10" hidden="1" outlineLevel="1" x14ac:dyDescent="0.25"/>
    <row r="101" spans="2:10" hidden="1" outlineLevel="1" x14ac:dyDescent="0.25">
      <c r="B101" s="70" t="s">
        <v>131</v>
      </c>
      <c r="C101" s="71"/>
      <c r="D101" s="72"/>
    </row>
    <row r="102" spans="2:10" hidden="1" outlineLevel="1" x14ac:dyDescent="0.25">
      <c r="B102" s="4" t="s">
        <v>132</v>
      </c>
      <c r="C102" s="8" t="e" cm="1">
        <f t="array" aca="1" ref="C102" ca="1">_xll.VIEW(db_name&amp;":programme details",$C$54,$C$55,"!","!")</f>
        <v>#NAME?</v>
      </c>
      <c r="D102" s="8"/>
    </row>
    <row r="103" spans="2:10" hidden="1" outlineLevel="1" x14ac:dyDescent="0.25">
      <c r="B103" s="4" t="s">
        <v>133</v>
      </c>
      <c r="C103" s="8" t="e" cm="1">
        <f t="array" aca="1" ref="C103" ca="1">_xll.DBR($C$102,$C$54,$C$55,$C$79,$B103)</f>
        <v>#NAME?</v>
      </c>
      <c r="D103" s="8"/>
    </row>
    <row r="104" spans="2:10" hidden="1" outlineLevel="1" x14ac:dyDescent="0.25">
      <c r="B104" s="4" t="s">
        <v>130</v>
      </c>
      <c r="C104" s="8" t="e" cm="1">
        <f t="array" aca="1" ref="C104" ca="1">_xll.DBR($C$102,$C$54,$C$55,$C$79,$B104)</f>
        <v>#NAME?</v>
      </c>
      <c r="D104" s="8" t="e" cm="1">
        <f t="array" aca="1" ref="D104" ca="1">_xll.DBR($C$72,$C104,"code and description")</f>
        <v>#NAME?</v>
      </c>
    </row>
    <row r="105" spans="2:10" hidden="1" outlineLevel="1" x14ac:dyDescent="0.25">
      <c r="B105" s="4" t="s">
        <v>134</v>
      </c>
      <c r="C105" s="8" t="e" cm="1">
        <f t="array" aca="1" ref="C105" ca="1">_xll.DBR($C$102,$C$54,$C$55,$C$79,$B105)</f>
        <v>#NAME?</v>
      </c>
      <c r="D105" s="8"/>
    </row>
    <row r="106" spans="2:10" hidden="1" outlineLevel="1" x14ac:dyDescent="0.25"/>
    <row r="107" spans="2:10" hidden="1" outlineLevel="1" x14ac:dyDescent="0.25">
      <c r="B107" s="70" t="s">
        <v>57</v>
      </c>
      <c r="C107" s="71"/>
      <c r="D107" s="72"/>
    </row>
    <row r="108" spans="2:10" hidden="1" outlineLevel="1" x14ac:dyDescent="0.25">
      <c r="B108" s="4" t="s">
        <v>54</v>
      </c>
      <c r="C108" s="8" t="e">
        <f t="array" aca="1" ref="C108" ca="1">_xll.VIEW(db_name&amp;":AE adjustments",$C$113,$C$114,$C$116,$C$118,"!",$C$119,$C$120,"!",$C$121,"!","!","!","!","!",$C$115,"!","!")</f>
        <v>#NAME?</v>
      </c>
    </row>
    <row r="109" spans="2:10" hidden="1" outlineLevel="1" x14ac:dyDescent="0.25">
      <c r="B109" s="4"/>
      <c r="C109" s="46" t="s">
        <v>148</v>
      </c>
      <c r="D109" s="46" t="s">
        <v>149</v>
      </c>
      <c r="E109" s="46" t="s">
        <v>147</v>
      </c>
      <c r="F109" s="46" t="s">
        <v>150</v>
      </c>
      <c r="G109" s="46" t="s">
        <v>151</v>
      </c>
      <c r="H109" s="46" t="s">
        <v>152</v>
      </c>
      <c r="I109" s="46" t="s">
        <v>159</v>
      </c>
      <c r="J109" s="46" t="s">
        <v>160</v>
      </c>
    </row>
    <row r="110" spans="2:10" hidden="1" outlineLevel="1" x14ac:dyDescent="0.25">
      <c r="B110" s="4" t="s">
        <v>107</v>
      </c>
      <c r="C110" s="8" t="e">
        <f t="array" aca="1" ref="C110" ca="1">_xll.TM1RPTVIEW(db_name&amp;":AE adjustments:1", 1, _xll.TM1RPTTITLE(db_name&amp;":headline year",$C$113), _xll.TM1RPTTITLE(db_name&amp;":scenario",$C$114), _xll.TM1RPTTITLE(db_name&amp;":status",$C$116), _xll.TM1RPTTITLE(db_name&amp;":outcome",$C$118), _xll.TM1RPTTITLE(db_name&amp;":function",$C$119), _xll.TM1RPTTITLE(db_name&amp;":reason",$C$120), _xll.TM1RPTTITLE(db_name&amp;":measure code",$C$121), _xll.TM1RPTTITLE(db_name&amp;":id",$C$115),TM1RPTFMTRNG,TM1RPTFMTIDCOL)</f>
        <v>#NAME?</v>
      </c>
      <c r="D110" s="8" t="e">
        <f t="array" aca="1" ref="D110" ca="1">_xll.TM1RPTVIEW(db_name&amp;":AE adjustments:ARPT2", 1, _xll.TM1RPTTITLE(db_name&amp;":headline year",$C$113), _xll.TM1RPTTITLE(db_name&amp;":scenario",$C$114), _xll.TM1RPTTITLE(db_name&amp;":status",$C$116), _xll.TM1RPTTITLE(db_name&amp;":outcome",$C$118), _xll.TM1RPTTITLE(db_name&amp;":function",$C$119), _xll.TM1RPTTITLE(db_name&amp;":reason",$C$120), _xll.TM1RPTTITLE(db_name&amp;":measure code",$C$121), _xll.TM1RPTTITLE(db_name&amp;":id",$C$115),TM1RPTFMTRNG,TM1RPTFMTIDCOL)</f>
        <v>#NAME?</v>
      </c>
      <c r="E110" s="8" t="e">
        <f t="array" aca="1" ref="E110" ca="1">_xll.TM1RPTVIEW(db_name&amp;":AE adjustments:ARPT4", 1, _xll.TM1RPTTITLE(db_name&amp;":headline year",$C$113), _xll.TM1RPTTITLE(db_name&amp;":scenario",$C$114), _xll.TM1RPTTITLE(db_name&amp;":status",$C$116), _xll.TM1RPTTITLE(db_name&amp;":outcome",$C$118), _xll.TM1RPTTITLE(db_name&amp;":function",$C$119), _xll.TM1RPTTITLE(db_name&amp;":reason",$C$120), _xll.TM1RPTTITLE(db_name&amp;":measure code",$C$121), _xll.TM1RPTTITLE(db_name&amp;":id",$C$115),TM1RPTFMTRNG,TM1RPTFMTIDCOL)</f>
        <v>#NAME?</v>
      </c>
      <c r="F110" s="8" t="e">
        <f t="array" aca="1" ref="F110" ca="1">_xll.TM1RPTVIEW(db_name&amp;":AE adjustments:ARPT3", 1, _xll.TM1RPTTITLE(db_name&amp;":headline year",$C$113), _xll.TM1RPTTITLE(db_name&amp;":scenario",$C$114), _xll.TM1RPTTITLE(db_name&amp;":status",$C$116), _xll.TM1RPTTITLE(db_name&amp;":outcome",$C$118), _xll.TM1RPTTITLE(db_name&amp;":function",$C$119), _xll.TM1RPTTITLE(db_name&amp;":reason",$C$120), _xll.TM1RPTTITLE(db_name&amp;":measure code",$C$121), _xll.TM1RPTTITLE(db_name&amp;":id",$C$115),TM1RPTFMTRNG,TM1RPTFMTIDCOL)</f>
        <v>#NAME?</v>
      </c>
      <c r="G110" s="8" t="e">
        <f t="array" aca="1" ref="G110" ca="1">_xll.TM1RPTVIEW(db_name&amp;":AE adjustments:ARPT5", 1, _xll.TM1RPTTITLE(db_name&amp;":headline year",$C$113), _xll.TM1RPTTITLE(db_name&amp;":scenario",$C$114), _xll.TM1RPTTITLE(db_name&amp;":status",$C$116), _xll.TM1RPTTITLE(db_name&amp;":outcome",$C$118), _xll.TM1RPTTITLE(db_name&amp;":function",$C$119), _xll.TM1RPTTITLE(db_name&amp;":reason",$C$120), _xll.TM1RPTTITLE(db_name&amp;":measure code",$C$121), _xll.TM1RPTTITLE(db_name&amp;":id",$C$115),TM1RPTFMTRNG,TM1RPTFMTIDCOL)</f>
        <v>#NAME?</v>
      </c>
      <c r="H110" s="8" t="e">
        <f t="array" aca="1" ref="H110" ca="1">_xll.TM1RPTVIEW(db_name&amp;":AE adjustments:ARPT1", 1, _xll.TM1RPTTITLE(db_name&amp;":headline year",$C$113), _xll.TM1RPTTITLE(db_name&amp;":scenario",$C$114), _xll.TM1RPTTITLE(db_name&amp;":status",$C$116), _xll.TM1RPTTITLE(db_name&amp;":outcome",$C$118), _xll.TM1RPTTITLE(db_name&amp;":function",$C$119), _xll.TM1RPTTITLE(db_name&amp;":reason",$C$120), _xll.TM1RPTTITLE(db_name&amp;":measure code",$C$121), _xll.TM1RPTTITLE(db_name&amp;":id",$C$115),TM1RPTFMTRNG,TM1RPTFMTIDCOL)</f>
        <v>#NAME?</v>
      </c>
      <c r="I110" s="8" t="e">
        <f t="array" aca="1" ref="I110" ca="1">_xll.TM1RPTVIEW(db_name&amp;":AE adjustments:ARPT6", 1, _xll.TM1RPTTITLE(db_name&amp;":headline year",$C$113), _xll.TM1RPTTITLE(db_name&amp;":scenario",$C$114), _xll.TM1RPTTITLE(db_name&amp;":status",$C$116), _xll.TM1RPTTITLE(db_name&amp;":outcome",$C$118), _xll.TM1RPTTITLE(db_name&amp;":function",$C$119), _xll.TM1RPTTITLE(db_name&amp;":reason",$C$120), _xll.TM1RPTTITLE(db_name&amp;":measure code",$C$121), _xll.TM1RPTTITLE(db_name&amp;":id",$C$115),TM1RPTFMTRNG,TM1RPTFMTIDCOL)</f>
        <v>#NAME?</v>
      </c>
      <c r="J110" s="8" t="e">
        <f t="array" aca="1" ref="J110" ca="1">_xll.TM1RPTVIEW(db_name&amp;":AE adjustments:ARPT7", 1, _xll.TM1RPTTITLE(db_name&amp;":headline year",$C$113), _xll.TM1RPTTITLE(db_name&amp;":scenario",$C$114), _xll.TM1RPTTITLE(db_name&amp;":status",$C$116), _xll.TM1RPTTITLE(db_name&amp;":outcome",$C$118), _xll.TM1RPTTITLE(db_name&amp;":function",$C$119), _xll.TM1RPTTITLE(db_name&amp;":reason",$C$120), _xll.TM1RPTTITLE(db_name&amp;":measure code",$C$121), _xll.TM1RPTTITLE(db_name&amp;":id",$C$115),TM1RPTFMTRNG,TM1RPTFMTIDCOL)</f>
        <v>#NAME?</v>
      </c>
    </row>
    <row r="111" spans="2:10" hidden="1" outlineLevel="1" x14ac:dyDescent="0.25">
      <c r="B111" s="4" t="s">
        <v>80</v>
      </c>
      <c r="C111" s="44" t="s">
        <v>154</v>
      </c>
      <c r="D111" s="44" t="s">
        <v>145</v>
      </c>
      <c r="E111" s="44" t="s">
        <v>155</v>
      </c>
      <c r="F111" s="44" t="s">
        <v>156</v>
      </c>
      <c r="G111" s="44" t="s">
        <v>157</v>
      </c>
      <c r="H111" s="44" t="s">
        <v>161</v>
      </c>
      <c r="I111" s="44" t="s">
        <v>163</v>
      </c>
      <c r="J111" s="44" t="s">
        <v>162</v>
      </c>
    </row>
    <row r="112" spans="2:10" hidden="1" outlineLevel="1" x14ac:dyDescent="0.25">
      <c r="B112" s="4" t="s">
        <v>153</v>
      </c>
      <c r="C112" s="8" t="str">
        <f>"{TM1SORT( {TM1FILTERBYLEVEL( {TM1DRILLDOWNMEMBER( {[account].[" &amp;C$111 &amp;"]}, ALL, RECURSIVE )}, 0)}, ASC)}"</f>
        <v>{TM1SORT( {TM1FILTERBYLEVEL( {TM1DRILLDOWNMEMBER( {[account].[1000001]}, ALL, RECURSIVE )}, 0)}, ASC)}</v>
      </c>
      <c r="D112" s="8" t="str">
        <f t="shared" ref="D112:G112" si="0">"{TM1SORT( {TM1FILTERBYLEVEL( {TM1DRILLDOWNMEMBER( {[account].[" &amp;D$111 &amp;"]}, ALL, RECURSIVE )}, 0)}, ASC)}"</f>
        <v>{TM1SORT( {TM1FILTERBYLEVEL( {TM1DRILLDOWNMEMBER( {[account].[2000000]}, ALL, RECURSIVE )}, 0)}, ASC)}</v>
      </c>
      <c r="E112" s="8" t="str">
        <f t="shared" si="0"/>
        <v>{TM1SORT( {TM1FILTERBYLEVEL( {TM1DRILLDOWNMEMBER( {[account].[5000000]}, ALL, RECURSIVE )}, 0)}, ASC)}</v>
      </c>
      <c r="F112" s="8" t="str">
        <f t="shared" si="0"/>
        <v>{TM1SORT( {TM1FILTERBYLEVEL( {TM1DRILLDOWNMEMBER( {[account].[3000000]}, ALL, RECURSIVE )}, 0)}, ASC)}</v>
      </c>
      <c r="G112" s="8" t="str">
        <f t="shared" si="0"/>
        <v>{TM1SORT( {TM1FILTERBYLEVEL( {TM1DRILLDOWNMEMBER( {[account].[4000000]}, ALL, RECURSIVE )}, 0)}, ASC)}</v>
      </c>
      <c r="H112" s="8" t="str">
        <f>"{ EXCEPT( {TM1SORT( {TM1FILTERBYLEVEL( {TM1DRILLDOWNMEMBER( {[account].[" &amp;H$111 &amp;"]}, ALL, RECURSIVE )}, 0)}, ASC)}, { [account].[6100001] }) }"</f>
        <v>{ EXCEPT( {TM1SORT( {TM1FILTERBYLEVEL( {TM1DRILLDOWNMEMBER( {[account].[6000000]}, ALL, RECURSIVE )}, 0)}, ASC)}, { [account].[6100001] }) }</v>
      </c>
      <c r="I112" s="8" t="str">
        <f>"{TM1SORT( {TM1FILTERBYLEVEL( {TM1DRILLDOWNMEMBER( {[account].[" &amp;I$111 &amp;"]}, ALL, RECURSIVE )}, 0)}, ASC)}"</f>
        <v>{TM1SORT( {TM1FILTERBYLEVEL( {TM1DRILLDOWNMEMBER( {[account].[9000020]}, ALL, RECURSIVE )}, 0)}, ASC)}</v>
      </c>
      <c r="J112" s="8" t="str">
        <f>"{TM1SORT( {TM1FILTERBYLEVEL( {TM1DRILLDOWNMEMBER( {[account].[" &amp;J$111 &amp;"]}, ALL, RECURSIVE )}, 0)}, ASC)}"</f>
        <v>{TM1SORT( {TM1FILTERBYLEVEL( {TM1DRILLDOWNMEMBER( {[account].[9000850]}, ALL, RECURSIVE )}, 0)}, ASC)}</v>
      </c>
    </row>
    <row r="113" spans="2:4" hidden="1" outlineLevel="1" x14ac:dyDescent="0.25">
      <c r="B113" s="4" t="s">
        <v>0</v>
      </c>
      <c r="C113" s="8" t="e">
        <f t="array" aca="1" ref="C113" ca="1">_xll.SUBNM(db_name&amp;":headline year","",$C$54)</f>
        <v>#NAME?</v>
      </c>
    </row>
    <row r="114" spans="2:4" hidden="1" outlineLevel="1" x14ac:dyDescent="0.25">
      <c r="B114" s="4" t="s">
        <v>1</v>
      </c>
      <c r="C114" s="8" t="e">
        <f t="array" aca="1" ref="C114" ca="1">_xll.SUBNM(db_name&amp;":scenario","",$C$55)</f>
        <v>#NAME?</v>
      </c>
    </row>
    <row r="115" spans="2:4" hidden="1" outlineLevel="1" x14ac:dyDescent="0.25">
      <c r="B115" s="4" t="s">
        <v>7</v>
      </c>
      <c r="C115" s="8" t="e">
        <f t="array" aca="1" ref="C115" ca="1">_xll.SUBNM(db_name&amp;":id","",$C$56)</f>
        <v>#NAME?</v>
      </c>
    </row>
    <row r="116" spans="2:4" hidden="1" outlineLevel="1" x14ac:dyDescent="0.25">
      <c r="B116" s="4" t="s">
        <v>2</v>
      </c>
      <c r="C116" s="8" t="e">
        <f t="array" aca="1" ref="C116" ca="1">_xll.SUBNM(db_name&amp;":status","",$C$77)</f>
        <v>#NAME?</v>
      </c>
    </row>
    <row r="117" spans="2:4" hidden="1" outlineLevel="1" x14ac:dyDescent="0.25">
      <c r="B117" s="4" t="s">
        <v>108</v>
      </c>
      <c r="C117" s="8" t="e">
        <f t="array" aca="1" ref="C117" ca="1">_xll.SUBNM(db_name&amp;":status","","cash flow")</f>
        <v>#NAME?</v>
      </c>
      <c r="D117" s="8" t="s">
        <v>158</v>
      </c>
    </row>
    <row r="118" spans="2:4" hidden="1" outlineLevel="1" x14ac:dyDescent="0.25">
      <c r="B118" s="4" t="s">
        <v>3</v>
      </c>
      <c r="C118" s="8" t="e">
        <f t="array" aca="1" ref="C118" ca="1">_xll.SUBNM(db_name&amp;":outcome","",$C$83)</f>
        <v>#NAME?</v>
      </c>
    </row>
    <row r="119" spans="2:4" hidden="1" outlineLevel="1" x14ac:dyDescent="0.25">
      <c r="B119" s="4" t="s">
        <v>4</v>
      </c>
      <c r="C119" s="8" t="e">
        <f t="array" aca="1" ref="C119" ca="1">_xll.SUBNM(db_name&amp;":function","",$C$84)</f>
        <v>#NAME?</v>
      </c>
    </row>
    <row r="120" spans="2:4" hidden="1" outlineLevel="1" x14ac:dyDescent="0.25">
      <c r="B120" s="4" t="s">
        <v>5</v>
      </c>
      <c r="C120" s="8" t="e">
        <f t="array" aca="1" ref="C120" ca="1">_xll.SUBNM(db_name&amp;":reason","",$C$85,"CBMS code and description")</f>
        <v>#NAME?</v>
      </c>
      <c r="D120" t="e">
        <f ca="1">IF(MID($C120,1,4)="1040","Yes","No")</f>
        <v>#NAME?</v>
      </c>
    </row>
    <row r="121" spans="2:4" hidden="1" outlineLevel="1" x14ac:dyDescent="0.25">
      <c r="B121" s="4" t="s">
        <v>6</v>
      </c>
      <c r="C121" s="8" t="e">
        <f t="array" aca="1" ref="C121" ca="1">_xll.SUBNM(db_name&amp;":measure code","",$C$86,"CBMS code and description")</f>
        <v>#NAME?</v>
      </c>
    </row>
    <row r="122" spans="2:4" hidden="1" outlineLevel="1" x14ac:dyDescent="0.25"/>
    <row r="123" spans="2:4" hidden="1" outlineLevel="1" x14ac:dyDescent="0.25">
      <c r="B123" s="70" t="s">
        <v>197</v>
      </c>
      <c r="C123" s="71"/>
    </row>
    <row r="124" spans="2:4" hidden="1" outlineLevel="1" x14ac:dyDescent="0.25">
      <c r="B124" s="8" t="s">
        <v>99</v>
      </c>
      <c r="C124" s="8" t="e" cm="1">
        <f t="array" aca="1" ref="C124" ca="1">_xll.VIEW(db_name&amp;":}ElementAttributes_measure code","!","!")</f>
        <v>#NAME?</v>
      </c>
    </row>
    <row r="125" spans="2:4" hidden="1" outlineLevel="1" x14ac:dyDescent="0.25">
      <c r="B125" s="8" t="s">
        <v>198</v>
      </c>
      <c r="C125" s="8" t="e" cm="1">
        <f t="array" aca="1" ref="C125" ca="1">_xll.DBR($C$124,$C$86,$B125)</f>
        <v>#NAME?</v>
      </c>
    </row>
    <row r="126" spans="2:4" hidden="1" outlineLevel="1" x14ac:dyDescent="0.25">
      <c r="B126" s="8" t="s">
        <v>199</v>
      </c>
      <c r="C126" s="8" t="e" cm="1">
        <f t="array" aca="1" ref="C126" ca="1">_xll.DBR($C$124,$C$86,$B126)</f>
        <v>#NAME?</v>
      </c>
    </row>
    <row r="127" spans="2:4" hidden="1" outlineLevel="1" x14ac:dyDescent="0.25">
      <c r="B127" s="8" t="s">
        <v>202</v>
      </c>
      <c r="C127" s="8" t="e" cm="1">
        <f t="array" aca="1" ref="C127" ca="1">_xll.DBR($C$124,$C$86,$B127)</f>
        <v>#NAME?</v>
      </c>
    </row>
    <row r="128" spans="2:4" hidden="1" outlineLevel="1" x14ac:dyDescent="0.25"/>
    <row r="129" spans="2:37" hidden="1" outlineLevel="1" x14ac:dyDescent="0.25">
      <c r="B129" s="70" t="s">
        <v>62</v>
      </c>
      <c r="C129" s="71"/>
      <c r="D129" s="72"/>
    </row>
    <row r="130" spans="2:37" hidden="1" outlineLevel="1" x14ac:dyDescent="0.25">
      <c r="B130" s="4" t="s">
        <v>63</v>
      </c>
      <c r="C130" s="8" t="e">
        <f ca="1">"{TM1FILTERBYLEVEL( {TM1DRILLDOWNMEMBER( {[programme].[" &amp;$C$79 &amp; "]}, ALL, RECURSIVE )}, 0)}"</f>
        <v>#NAME?</v>
      </c>
      <c r="D130" s="8"/>
    </row>
    <row r="131" spans="2:37" hidden="1" outlineLevel="1" x14ac:dyDescent="0.25">
      <c r="B131" s="4" t="s">
        <v>64</v>
      </c>
      <c r="C131" s="13" t="s">
        <v>74</v>
      </c>
      <c r="D131" s="8"/>
    </row>
    <row r="132" spans="2:37" hidden="1" outlineLevel="1" x14ac:dyDescent="0.25">
      <c r="B132" s="4" t="s">
        <v>65</v>
      </c>
      <c r="C132" s="13" t="s">
        <v>75</v>
      </c>
      <c r="D132" s="8"/>
    </row>
    <row r="133" spans="2:37" hidden="1" outlineLevel="1" x14ac:dyDescent="0.25">
      <c r="B133" s="4" t="s">
        <v>66</v>
      </c>
      <c r="C133" s="8" t="s">
        <v>70</v>
      </c>
      <c r="D133" s="8"/>
    </row>
    <row r="134" spans="2:37" hidden="1" outlineLevel="1" x14ac:dyDescent="0.25">
      <c r="B134" s="4" t="s">
        <v>67</v>
      </c>
      <c r="C134" s="13" t="s">
        <v>71</v>
      </c>
      <c r="D134" s="8"/>
    </row>
    <row r="135" spans="2:37" hidden="1" outlineLevel="1" x14ac:dyDescent="0.25">
      <c r="B135" s="4" t="s">
        <v>68</v>
      </c>
      <c r="C135" s="13" t="s">
        <v>72</v>
      </c>
      <c r="D135" s="8"/>
    </row>
    <row r="136" spans="2:37" hidden="1" outlineLevel="1" x14ac:dyDescent="0.25">
      <c r="B136" s="4" t="s">
        <v>69</v>
      </c>
      <c r="C136" s="13" t="s">
        <v>73</v>
      </c>
      <c r="D136" s="8"/>
      <c r="W136" s="16" t="s">
        <v>91</v>
      </c>
    </row>
    <row r="137" spans="2:37" hidden="1" outlineLevel="1" x14ac:dyDescent="0.25">
      <c r="V137" t="s">
        <v>91</v>
      </c>
      <c r="W137" s="17" t="e">
        <f ca="1">RIGHT($C$113,9)</f>
        <v>#NAME?</v>
      </c>
      <c r="Y137" s="18" t="e" cm="1">
        <f t="array" aca="1" ref="Y137" ca="1">_xll.DIMNM(db_name&amp;":period",_xll.DIMIX(db_name&amp;":period",$W$137)+Y$138)</f>
        <v>#NAME?</v>
      </c>
      <c r="Z137" s="18" t="e" cm="1">
        <f t="array" aca="1" ref="Z137" ca="1">_xll.DIMNM(db_name&amp;":period",_xll.DIMIX(db_name&amp;":period",$W$137)+Z$138)</f>
        <v>#NAME?</v>
      </c>
      <c r="AA137" s="18" t="e" cm="1">
        <f t="array" aca="1" ref="AA137" ca="1">_xll.DIMNM(db_name&amp;":period",_xll.DIMIX(db_name&amp;":period",$W$137)+AA$138)</f>
        <v>#NAME?</v>
      </c>
      <c r="AB137" s="18" t="e" cm="1">
        <f t="array" aca="1" ref="AB137" ca="1">_xll.DIMNM(db_name&amp;":period",_xll.DIMIX(db_name&amp;":period",$W$137)+AB$138)</f>
        <v>#NAME?</v>
      </c>
      <c r="AC137" s="18" t="e" cm="1">
        <f t="array" aca="1" ref="AC137" ca="1">_xll.DIMNM(db_name&amp;":period",_xll.DIMIX(db_name&amp;":period",$W$137)+AC$138)</f>
        <v>#NAME?</v>
      </c>
      <c r="AD137" s="18" t="e" cm="1">
        <f t="array" aca="1" ref="AD137" ca="1">_xll.DIMNM(db_name&amp;":period",_xll.DIMIX(db_name&amp;":period",$W$137)+AD$138)</f>
        <v>#NAME?</v>
      </c>
      <c r="AE137" s="18" t="e" cm="1">
        <f t="array" aca="1" ref="AE137" ca="1">_xll.DIMNM(db_name&amp;":period",_xll.DIMIX(db_name&amp;":period",$W$137)+AE$138)</f>
        <v>#NAME?</v>
      </c>
      <c r="AF137" s="18" t="e" cm="1">
        <f t="array" aca="1" ref="AF137" ca="1">_xll.DIMNM(db_name&amp;":period",_xll.DIMIX(db_name&amp;":period",$W$137)+AF$138)</f>
        <v>#NAME?</v>
      </c>
      <c r="AG137" s="18" t="e" cm="1">
        <f t="array" aca="1" ref="AG137" ca="1">_xll.DIMNM(db_name&amp;":period",_xll.DIMIX(db_name&amp;":period",$W$137)+AG$138)</f>
        <v>#NAME?</v>
      </c>
      <c r="AH137" s="18" t="e" cm="1">
        <f t="array" aca="1" ref="AH137" ca="1">_xll.DIMNM(db_name&amp;":period",_xll.DIMIX(db_name&amp;":period",$W$137)+AH$138)</f>
        <v>#NAME?</v>
      </c>
      <c r="AI137" s="18" t="e" cm="1">
        <f t="array" aca="1" ref="AI137" ca="1">_xll.DIMNM(db_name&amp;":period",_xll.DIMIX(db_name&amp;":period",$W$137)+AI$138)</f>
        <v>#NAME?</v>
      </c>
      <c r="AJ137" s="18" t="e" cm="1">
        <f t="array" aca="1" ref="AJ137" ca="1">_xll.DIMNM(db_name&amp;":period",_xll.DIMIX(db_name&amp;":period",$W$137)+AJ$138)</f>
        <v>#NAME?</v>
      </c>
      <c r="AK137" s="19" t="e" cm="1">
        <f t="array" aca="1" ref="AK137" ca="1">_xll.DIMNM(db_name&amp;":period",_xll.DIMIX(db_name&amp;":period",$W$137)+AK$138)</f>
        <v>#NAME?</v>
      </c>
    </row>
    <row r="138" spans="2:37" hidden="1" outlineLevel="1" x14ac:dyDescent="0.25">
      <c r="B138" s="70" t="s">
        <v>58</v>
      </c>
      <c r="C138" s="71"/>
      <c r="W138" s="17" t="s">
        <v>92</v>
      </c>
      <c r="Y138" s="17" t="e">
        <f t="shared" ref="Y138:AK138" ca="1" si="1">IF($AA172="No",Y$140,Y$139)</f>
        <v>#NAME?</v>
      </c>
      <c r="Z138" s="17" t="e">
        <f t="shared" ca="1" si="1"/>
        <v>#NAME?</v>
      </c>
      <c r="AA138" s="17" t="e">
        <f t="shared" ca="1" si="1"/>
        <v>#NAME?</v>
      </c>
      <c r="AB138" s="17" t="e">
        <f t="shared" ca="1" si="1"/>
        <v>#NAME?</v>
      </c>
      <c r="AC138" s="17" t="e">
        <f t="shared" ca="1" si="1"/>
        <v>#NAME?</v>
      </c>
      <c r="AD138" s="17" t="e">
        <f t="shared" ca="1" si="1"/>
        <v>#NAME?</v>
      </c>
      <c r="AE138" s="17" t="e">
        <f t="shared" ca="1" si="1"/>
        <v>#NAME?</v>
      </c>
      <c r="AF138" s="17" t="e">
        <f t="shared" ca="1" si="1"/>
        <v>#NAME?</v>
      </c>
      <c r="AG138" s="17" t="e">
        <f t="shared" ca="1" si="1"/>
        <v>#NAME?</v>
      </c>
      <c r="AH138" s="17" t="e">
        <f t="shared" ca="1" si="1"/>
        <v>#NAME?</v>
      </c>
      <c r="AI138" s="17" t="e">
        <f t="shared" ca="1" si="1"/>
        <v>#NAME?</v>
      </c>
      <c r="AJ138" s="17" t="e">
        <f t="shared" ca="1" si="1"/>
        <v>#NAME?</v>
      </c>
      <c r="AK138" s="17" t="e">
        <f t="shared" ca="1" si="1"/>
        <v>#NAME?</v>
      </c>
    </row>
    <row r="139" spans="2:37" hidden="1" outlineLevel="1" x14ac:dyDescent="0.25">
      <c r="B139" s="4" t="s">
        <v>59</v>
      </c>
      <c r="C139" s="8" t="e" cm="1">
        <f t="array" aca="1" ref="C139" ca="1">_xll.VIEW(db_name&amp;":AE validation",$C$113,$C$114,"!",$C$115,"!")</f>
        <v>#NAME?</v>
      </c>
      <c r="W139" s="8" t="s">
        <v>93</v>
      </c>
      <c r="Y139" s="8">
        <v>-2</v>
      </c>
      <c r="Z139" s="8">
        <v>-1</v>
      </c>
      <c r="AA139" s="8">
        <v>0</v>
      </c>
      <c r="AB139" s="8">
        <v>1</v>
      </c>
      <c r="AC139" s="8">
        <v>2</v>
      </c>
      <c r="AD139" s="8">
        <v>3</v>
      </c>
      <c r="AE139" s="8">
        <v>4</v>
      </c>
      <c r="AF139" s="8">
        <v>5</v>
      </c>
      <c r="AG139" s="8">
        <v>6</v>
      </c>
      <c r="AH139" s="8">
        <v>7</v>
      </c>
      <c r="AI139" s="8">
        <v>8</v>
      </c>
      <c r="AJ139" s="8">
        <v>9</v>
      </c>
      <c r="AK139" s="8">
        <v>10</v>
      </c>
    </row>
    <row r="140" spans="2:37" hidden="1" outlineLevel="1" x14ac:dyDescent="0.25">
      <c r="B140" s="4" t="s">
        <v>60</v>
      </c>
      <c r="C140" s="8" t="e" cm="1">
        <f t="array" aca="1" ref="C140" ca="1">_xll.DBR(db_name&amp;":AE validations",$C$113,$C$114,"Total",$C$115,"Total Years")</f>
        <v>#NAME?</v>
      </c>
      <c r="W140" s="8" t="s">
        <v>94</v>
      </c>
      <c r="Y140" s="8">
        <v>-1</v>
      </c>
      <c r="Z140" s="8">
        <v>0</v>
      </c>
      <c r="AA140" s="8">
        <v>1</v>
      </c>
      <c r="AB140" s="8">
        <v>2</v>
      </c>
      <c r="AC140" s="8">
        <v>3</v>
      </c>
      <c r="AD140" s="8">
        <v>4</v>
      </c>
      <c r="AE140" s="8">
        <v>5</v>
      </c>
      <c r="AF140" s="8">
        <v>6</v>
      </c>
      <c r="AG140" s="8">
        <v>7</v>
      </c>
      <c r="AH140" s="8">
        <v>8</v>
      </c>
      <c r="AI140" s="8">
        <v>9</v>
      </c>
      <c r="AJ140" s="8">
        <v>10</v>
      </c>
      <c r="AK140" s="8">
        <v>11</v>
      </c>
    </row>
    <row r="141" spans="2:37" hidden="1" outlineLevel="1" x14ac:dyDescent="0.25"/>
    <row r="142" spans="2:37" hidden="1" outlineLevel="1" x14ac:dyDescent="0.25">
      <c r="B142" s="70" t="s">
        <v>86</v>
      </c>
      <c r="C142" s="71"/>
    </row>
    <row r="143" spans="2:37" hidden="1" outlineLevel="1" x14ac:dyDescent="0.25">
      <c r="B143" s="4" t="s">
        <v>59</v>
      </c>
      <c r="C143" s="8" t="e" cm="1">
        <f t="array" aca="1" ref="C143" ca="1">_xll.VIEW(db_name&amp;":sys_account approp mapping","!","!","!",$C$144)</f>
        <v>#NAME?</v>
      </c>
    </row>
    <row r="144" spans="2:37" hidden="1" outlineLevel="1" x14ac:dyDescent="0.25">
      <c r="B144" s="4" t="s">
        <v>87</v>
      </c>
      <c r="C144" s="8" t="e" cm="1">
        <f t="array" aca="1" ref="C144" ca="1">_xll.SUBNM(db_name&amp;":sys_account approp mapping measure","","flag")</f>
        <v>#NAME?</v>
      </c>
    </row>
    <row r="145" spans="2:37" hidden="1" outlineLevel="1" x14ac:dyDescent="0.25"/>
    <row r="146" spans="2:37" hidden="1" outlineLevel="1" x14ac:dyDescent="0.25"/>
    <row r="147" spans="2:37" hidden="1" outlineLevel="1" x14ac:dyDescent="0.25"/>
    <row r="148" spans="2:37" hidden="1" outlineLevel="1" x14ac:dyDescent="0.25"/>
    <row r="149" spans="2:37" hidden="1" outlineLevel="1" x14ac:dyDescent="0.25">
      <c r="B149" s="39" t="s">
        <v>113</v>
      </c>
    </row>
    <row r="150" spans="2:37" hidden="1" outlineLevel="1" x14ac:dyDescent="0.25">
      <c r="B150" s="17" t="e">
        <f ca="1">$C$79</f>
        <v>#NAME?</v>
      </c>
      <c r="C150" s="17" t="s">
        <v>9</v>
      </c>
      <c r="D150" s="17" t="s">
        <v>10</v>
      </c>
      <c r="E150" s="40" t="s">
        <v>110</v>
      </c>
      <c r="F150" s="17" t="s">
        <v>111</v>
      </c>
      <c r="G150" s="17" t="s">
        <v>12</v>
      </c>
      <c r="H150" s="17" t="s">
        <v>13</v>
      </c>
      <c r="I150" s="17" t="s">
        <v>14</v>
      </c>
      <c r="W150" s="34" t="s">
        <v>109</v>
      </c>
      <c r="Y150" s="37" t="e" cm="1">
        <f t="array" aca="1" ref="Y150" ca="1">_xll.DBRW($C$108,$C$113,$C$114,$C$116,$C$118,$G150,$C$119,$C$120,$I150,$C$121,$C150,$F150,$D150,$B150,$E150,$C$115,$H150,Y$137)</f>
        <v>#NAME?</v>
      </c>
      <c r="Z150" s="37" t="e" cm="1">
        <f t="array" aca="1" ref="Z150" ca="1">_xll.DBRW($C$108,$C$113,$C$114,$C$116,$C$118,$G150,$C$119,$C$120,$I150,$C$121,$C150,$F150,$D150,$B150,$E150,$C$115,$H150,Z$137)</f>
        <v>#NAME?</v>
      </c>
      <c r="AA150" s="37" t="e" cm="1">
        <f t="array" aca="1" ref="AA150" ca="1">_xll.DBRW($C$108,$C$113,$C$114,$C$116,$C$118,$G150,$C$119,$C$120,$I150,$C$121,$C150,$F150,$D150,$B150,$E150,$C$115,$H150,AA$137)</f>
        <v>#NAME?</v>
      </c>
      <c r="AB150" s="37" t="e" cm="1">
        <f t="array" aca="1" ref="AB150" ca="1">_xll.DBRW($C$108,$C$113,$C$114,$C$116,$C$118,$G150,$C$119,$C$120,$I150,$C$121,$C150,$F150,$D150,$B150,$E150,$C$115,$H150,AB$137)</f>
        <v>#NAME?</v>
      </c>
      <c r="AC150" s="37" t="e" cm="1">
        <f t="array" aca="1" ref="AC150" ca="1">_xll.DBRW($C$108,$C$113,$C$114,$C$116,$C$118,$G150,$C$119,$C$120,$I150,$C$121,$C150,$F150,$D150,$B150,$E150,$C$115,$H150,AC$137)</f>
        <v>#NAME?</v>
      </c>
      <c r="AD150" s="37" t="e" cm="1">
        <f t="array" aca="1" ref="AD150" ca="1">_xll.DBRW($C$108,$C$113,$C$114,$C$116,$C$118,$G150,$C$119,$C$120,$I150,$C$121,$C150,$F150,$D150,$B150,$E150,$C$115,$H150,AD$137)</f>
        <v>#NAME?</v>
      </c>
      <c r="AE150" s="37" t="e" cm="1">
        <f t="array" aca="1" ref="AE150" ca="1">_xll.DBRW($C$108,$C$113,$C$114,$C$116,$C$118,$G150,$C$119,$C$120,$I150,$C$121,$C150,$F150,$D150,$B150,$E150,$C$115,$H150,AE$137)</f>
        <v>#NAME?</v>
      </c>
      <c r="AF150" s="37" t="e" cm="1">
        <f t="array" aca="1" ref="AF150" ca="1">_xll.DBRW($C$108,$C$113,$C$114,$C$116,$C$118,$G150,$C$119,$C$120,$I150,$C$121,$C150,$F150,$D150,$B150,$E150,$C$115,$H150,AF$137)</f>
        <v>#NAME?</v>
      </c>
      <c r="AG150" s="37" t="e" cm="1">
        <f t="array" aca="1" ref="AG150" ca="1">_xll.DBRW($C$108,$C$113,$C$114,$C$116,$C$118,$G150,$C$119,$C$120,$I150,$C$121,$C150,$F150,$D150,$B150,$E150,$C$115,$H150,AG$137)</f>
        <v>#NAME?</v>
      </c>
      <c r="AH150" s="37" t="e" cm="1">
        <f t="array" aca="1" ref="AH150" ca="1">_xll.DBRW($C$108,$C$113,$C$114,$C$116,$C$118,$G150,$C$119,$C$120,$I150,$C$121,$C150,$F150,$D150,$B150,$E150,$C$115,$H150,AH$137)</f>
        <v>#NAME?</v>
      </c>
      <c r="AI150" s="37" t="e" cm="1">
        <f t="array" aca="1" ref="AI150" ca="1">_xll.DBRW($C$108,$C$113,$C$114,$C$116,$C$118,$G150,$C$119,$C$120,$I150,$C$121,$C150,$F150,$D150,$B150,$E150,$C$115,$H150,AI$137)</f>
        <v>#NAME?</v>
      </c>
      <c r="AJ150" s="37" t="e" cm="1">
        <f t="array" aca="1" ref="AJ150" ca="1">_xll.DBRW($C$108,$C$113,$C$114,$C$116,$C$118,$G150,$C$119,$C$120,$I150,$C$121,$C150,$F150,$D150,$B150,$E150,$C$115,$H150,AJ$137)</f>
        <v>#NAME?</v>
      </c>
      <c r="AK150" s="37" t="e" cm="1">
        <f t="array" aca="1" ref="AK150" ca="1">_xll.DBRW($C$108,$C$113,$C$114,$C$116,$C$118,$G150,$C$119,$C$120,$I150,$C$121,$C150,$F150,$D150,$B150,$E150,$C$115,$H150,AK$137)</f>
        <v>#NAME?</v>
      </c>
    </row>
    <row r="151" spans="2:37" hidden="1" outlineLevel="1" x14ac:dyDescent="0.25">
      <c r="B151" s="17" t="e">
        <f ca="1">$C$79</f>
        <v>#NAME?</v>
      </c>
      <c r="C151" s="17" t="s">
        <v>9</v>
      </c>
      <c r="D151" s="17" t="s">
        <v>10</v>
      </c>
      <c r="E151" s="40" t="s">
        <v>112</v>
      </c>
      <c r="F151" s="17" t="s">
        <v>111</v>
      </c>
      <c r="G151" s="17" t="s">
        <v>12</v>
      </c>
      <c r="H151" s="17" t="s">
        <v>13</v>
      </c>
      <c r="I151" s="17" t="s">
        <v>14</v>
      </c>
      <c r="W151" s="34" t="s">
        <v>109</v>
      </c>
      <c r="Y151" s="37" t="e" cm="1">
        <f t="array" aca="1" ref="Y151" ca="1">_xll.DBRW($C$108,$C$113,$C$114,$C$116,$C$118,$G151,$C$119,$C$120,$I151,$C$121,$C151,$F151,$D151,$B151,$E151,$C$115,$H151,Y$137)</f>
        <v>#NAME?</v>
      </c>
      <c r="Z151" s="37" t="e" cm="1">
        <f t="array" aca="1" ref="Z151" ca="1">_xll.DBRW($C$108,$C$113,$C$114,$C$116,$C$118,$G151,$C$119,$C$120,$I151,$C$121,$C151,$F151,$D151,$B151,$E151,$C$115,$H151,Z$137)</f>
        <v>#NAME?</v>
      </c>
      <c r="AA151" s="37" t="e" cm="1">
        <f t="array" aca="1" ref="AA151" ca="1">_xll.DBRW($C$108,$C$113,$C$114,$C$116,$C$118,$G151,$C$119,$C$120,$I151,$C$121,$C151,$F151,$D151,$B151,$E151,$C$115,$H151,AA$137)</f>
        <v>#NAME?</v>
      </c>
      <c r="AB151" s="37" t="e" cm="1">
        <f t="array" aca="1" ref="AB151" ca="1">_xll.DBRW($C$108,$C$113,$C$114,$C$116,$C$118,$G151,$C$119,$C$120,$I151,$C$121,$C151,$F151,$D151,$B151,$E151,$C$115,$H151,AB$137)</f>
        <v>#NAME?</v>
      </c>
      <c r="AC151" s="37" t="e" cm="1">
        <f t="array" aca="1" ref="AC151" ca="1">_xll.DBRW($C$108,$C$113,$C$114,$C$116,$C$118,$G151,$C$119,$C$120,$I151,$C$121,$C151,$F151,$D151,$B151,$E151,$C$115,$H151,AC$137)</f>
        <v>#NAME?</v>
      </c>
      <c r="AD151" s="37" t="e" cm="1">
        <f t="array" aca="1" ref="AD151" ca="1">_xll.DBRW($C$108,$C$113,$C$114,$C$116,$C$118,$G151,$C$119,$C$120,$I151,$C$121,$C151,$F151,$D151,$B151,$E151,$C$115,$H151,AD$137)</f>
        <v>#NAME?</v>
      </c>
      <c r="AE151" s="37" t="e" cm="1">
        <f t="array" aca="1" ref="AE151" ca="1">_xll.DBRW($C$108,$C$113,$C$114,$C$116,$C$118,$G151,$C$119,$C$120,$I151,$C$121,$C151,$F151,$D151,$B151,$E151,$C$115,$H151,AE$137)</f>
        <v>#NAME?</v>
      </c>
      <c r="AF151" s="37" t="e" cm="1">
        <f t="array" aca="1" ref="AF151" ca="1">_xll.DBRW($C$108,$C$113,$C$114,$C$116,$C$118,$G151,$C$119,$C$120,$I151,$C$121,$C151,$F151,$D151,$B151,$E151,$C$115,$H151,AF$137)</f>
        <v>#NAME?</v>
      </c>
      <c r="AG151" s="37" t="e" cm="1">
        <f t="array" aca="1" ref="AG151" ca="1">_xll.DBRW($C$108,$C$113,$C$114,$C$116,$C$118,$G151,$C$119,$C$120,$I151,$C$121,$C151,$F151,$D151,$B151,$E151,$C$115,$H151,AG$137)</f>
        <v>#NAME?</v>
      </c>
      <c r="AH151" s="37" t="e" cm="1">
        <f t="array" aca="1" ref="AH151" ca="1">_xll.DBRW($C$108,$C$113,$C$114,$C$116,$C$118,$G151,$C$119,$C$120,$I151,$C$121,$C151,$F151,$D151,$B151,$E151,$C$115,$H151,AH$137)</f>
        <v>#NAME?</v>
      </c>
      <c r="AI151" s="37" t="e" cm="1">
        <f t="array" aca="1" ref="AI151" ca="1">_xll.DBRW($C$108,$C$113,$C$114,$C$116,$C$118,$G151,$C$119,$C$120,$I151,$C$121,$C151,$F151,$D151,$B151,$E151,$C$115,$H151,AI$137)</f>
        <v>#NAME?</v>
      </c>
      <c r="AJ151" s="37" t="e" cm="1">
        <f t="array" aca="1" ref="AJ151" ca="1">_xll.DBRW($C$108,$C$113,$C$114,$C$116,$C$118,$G151,$C$119,$C$120,$I151,$C$121,$C151,$F151,$D151,$B151,$E151,$C$115,$H151,AJ$137)</f>
        <v>#NAME?</v>
      </c>
      <c r="AK151" s="37" t="e" cm="1">
        <f t="array" aca="1" ref="AK151" ca="1">_xll.DBRW($C$108,$C$113,$C$114,$C$116,$C$118,$G151,$C$119,$C$120,$I151,$C$121,$C151,$F151,$D151,$B151,$E151,$C$115,$H151,AK$137)</f>
        <v>#NAME?</v>
      </c>
    </row>
    <row r="152" spans="2:37" hidden="1" outlineLevel="1" x14ac:dyDescent="0.25"/>
    <row r="153" spans="2:37" hidden="1" outlineLevel="1" x14ac:dyDescent="0.25"/>
    <row r="154" spans="2:37" hidden="1" outlineLevel="1" x14ac:dyDescent="0.25"/>
    <row r="155" spans="2:37" hidden="1" outlineLevel="1" x14ac:dyDescent="0.25"/>
    <row r="156" spans="2:37" ht="39.75" customHeight="1" collapsed="1" x14ac:dyDescent="0.25">
      <c r="O156" s="27"/>
      <c r="P156" s="27"/>
      <c r="Q156" s="27"/>
      <c r="R156" s="27"/>
      <c r="S156" s="27"/>
      <c r="T156" s="27"/>
      <c r="U156" s="27"/>
      <c r="V156" s="27"/>
      <c r="W156" s="27" t="s">
        <v>171</v>
      </c>
      <c r="X156" s="27"/>
      <c r="Y156" s="27"/>
      <c r="Z156" s="27"/>
      <c r="AA156" s="27"/>
      <c r="AB156" s="27"/>
      <c r="AC156" s="27"/>
      <c r="AD156" s="28"/>
      <c r="AE156" s="27"/>
      <c r="AF156" s="27"/>
      <c r="AG156" s="27"/>
      <c r="AH156" s="27"/>
      <c r="AI156" s="27"/>
      <c r="AJ156" s="27"/>
      <c r="AK156" s="27"/>
    </row>
    <row r="157" spans="2:37" ht="4.5" customHeight="1" x14ac:dyDescent="0.25"/>
    <row r="158" spans="2:37" ht="24" customHeight="1" x14ac:dyDescent="0.25"/>
    <row r="159" spans="2:37" ht="1.5" customHeight="1" x14ac:dyDescent="0.25"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</row>
    <row r="160" spans="2:37" ht="4.5" customHeight="1" thickBot="1" x14ac:dyDescent="0.3"/>
    <row r="161" spans="2:37" ht="4.5" customHeight="1" x14ac:dyDescent="0.25">
      <c r="P161" s="56"/>
      <c r="Q161" s="57"/>
      <c r="R161" s="57"/>
      <c r="S161" s="57"/>
      <c r="T161" s="57"/>
      <c r="U161" s="57"/>
      <c r="V161" s="57"/>
      <c r="W161" s="57"/>
      <c r="X161" s="58"/>
    </row>
    <row r="162" spans="2:37" x14ac:dyDescent="0.25">
      <c r="P162" s="59" t="s">
        <v>117</v>
      </c>
      <c r="Q162" s="42" t="e">
        <f ca="1">$C$113</f>
        <v>#NAME?</v>
      </c>
      <c r="R162" s="60" t="s">
        <v>118</v>
      </c>
      <c r="S162" s="43" t="e">
        <f ca="1">$C$114</f>
        <v>#NAME?</v>
      </c>
      <c r="T162" s="60" t="s">
        <v>104</v>
      </c>
      <c r="U162" s="31" t="e">
        <f ca="1">$C$77</f>
        <v>#NAME?</v>
      </c>
      <c r="V162" s="29" t="s">
        <v>189</v>
      </c>
      <c r="W162" s="30" t="e">
        <f ca="1">$C$115</f>
        <v>#NAME?</v>
      </c>
      <c r="X162" s="61"/>
    </row>
    <row r="163" spans="2:37" ht="4.5" customHeight="1" x14ac:dyDescent="0.25">
      <c r="P163" s="62"/>
      <c r="X163" s="61"/>
    </row>
    <row r="164" spans="2:37" x14ac:dyDescent="0.25">
      <c r="P164" s="59" t="s">
        <v>105</v>
      </c>
      <c r="Q164" s="74" t="e">
        <f ca="1">$C$88</f>
        <v>#NAME?</v>
      </c>
      <c r="R164" s="74"/>
      <c r="S164" s="74"/>
      <c r="T164" s="60" t="s">
        <v>106</v>
      </c>
      <c r="U164" s="69" t="e">
        <f ca="1">$C$120</f>
        <v>#NAME?</v>
      </c>
      <c r="V164" s="29" t="s">
        <v>188</v>
      </c>
      <c r="W164" s="53" t="e">
        <f ca="1">$C$98</f>
        <v>#NAME?</v>
      </c>
      <c r="X164" s="61"/>
    </row>
    <row r="165" spans="2:37" ht="5.0999999999999996" customHeight="1" x14ac:dyDescent="0.25">
      <c r="P165" s="62"/>
      <c r="X165" s="61"/>
    </row>
    <row r="166" spans="2:37" x14ac:dyDescent="0.25">
      <c r="P166" s="59" t="s">
        <v>176</v>
      </c>
      <c r="Q166" s="75" t="e">
        <f ca="1">$C$89</f>
        <v>#NAME?</v>
      </c>
      <c r="R166" s="75"/>
      <c r="S166" s="75"/>
      <c r="T166" s="60" t="s">
        <v>191</v>
      </c>
      <c r="U166" s="54" t="e">
        <f ca="1">$C$92</f>
        <v>#NAME?</v>
      </c>
      <c r="V166" s="29" t="s">
        <v>183</v>
      </c>
      <c r="W166" s="55" t="e">
        <f ca="1">$C$93</f>
        <v>#NAME?</v>
      </c>
      <c r="X166" s="61"/>
    </row>
    <row r="167" spans="2:37" ht="4.5" customHeight="1" x14ac:dyDescent="0.25">
      <c r="P167" s="62"/>
      <c r="X167" s="61"/>
    </row>
    <row r="168" spans="2:37" x14ac:dyDescent="0.25">
      <c r="P168" s="59" t="s">
        <v>195</v>
      </c>
      <c r="Q168" s="75" t="e">
        <f ca="1">$C$90</f>
        <v>#NAME?</v>
      </c>
      <c r="R168" s="75"/>
      <c r="S168" s="75"/>
      <c r="T168" s="60" t="s">
        <v>184</v>
      </c>
      <c r="U168" s="55" t="e">
        <f ca="1">$C$94</f>
        <v>#NAME?</v>
      </c>
      <c r="V168" s="29" t="s">
        <v>185</v>
      </c>
      <c r="W168" s="55" t="e">
        <f ca="1">$C$95</f>
        <v>#NAME?</v>
      </c>
      <c r="X168" s="61"/>
    </row>
    <row r="169" spans="2:37" ht="4.5" customHeight="1" x14ac:dyDescent="0.25">
      <c r="P169" s="62"/>
      <c r="T169" s="60"/>
      <c r="V169" s="29"/>
      <c r="X169" s="61"/>
    </row>
    <row r="170" spans="2:37" x14ac:dyDescent="0.25">
      <c r="P170" s="59" t="s">
        <v>116</v>
      </c>
      <c r="Q170" s="75" t="e">
        <f ca="1">$D$79</f>
        <v>#NAME?</v>
      </c>
      <c r="R170" s="75"/>
      <c r="S170" s="75"/>
      <c r="T170" s="60" t="s">
        <v>186</v>
      </c>
      <c r="U170" s="55" t="e">
        <f ca="1">$C$96</f>
        <v>#NAME?</v>
      </c>
      <c r="V170" s="29" t="s">
        <v>187</v>
      </c>
      <c r="W170" s="55" t="e">
        <f ca="1">$C$97</f>
        <v>#NAME?</v>
      </c>
      <c r="X170" s="61"/>
    </row>
    <row r="171" spans="2:37" ht="4.5" customHeight="1" x14ac:dyDescent="0.25">
      <c r="P171" s="62"/>
      <c r="X171" s="61"/>
    </row>
    <row r="172" spans="2:37" x14ac:dyDescent="0.25">
      <c r="P172" s="59" t="s">
        <v>192</v>
      </c>
      <c r="Q172" s="45" t="e">
        <f ca="1">$C$87</f>
        <v>#NAME?</v>
      </c>
      <c r="R172" s="29" t="s">
        <v>194</v>
      </c>
      <c r="S172" s="55" t="e">
        <f ca="1">$C$126</f>
        <v>#NAME?</v>
      </c>
      <c r="T172" s="29" t="s">
        <v>193</v>
      </c>
      <c r="U172" s="75" t="e">
        <f ca="1">$C$127</f>
        <v>#NAME?</v>
      </c>
      <c r="V172" s="75"/>
      <c r="W172" s="75"/>
      <c r="X172" s="61"/>
      <c r="Z172" s="29" t="s">
        <v>97</v>
      </c>
      <c r="AA172" s="67" t="e">
        <f ca="1">_xll.SUBNM(db_name&amp;":sys_YesNo","",$D$120)</f>
        <v>#NAME?</v>
      </c>
    </row>
    <row r="173" spans="2:37" ht="4.5" customHeight="1" thickBot="1" x14ac:dyDescent="0.3">
      <c r="P173" s="63"/>
      <c r="Q173" s="64"/>
      <c r="R173" s="64"/>
      <c r="S173" s="64"/>
      <c r="T173" s="64"/>
      <c r="U173" s="64"/>
      <c r="V173" s="64"/>
      <c r="W173" s="64"/>
      <c r="X173" s="65"/>
    </row>
    <row r="174" spans="2:37" ht="4.5" customHeight="1" x14ac:dyDescent="0.25"/>
    <row r="175" spans="2:37" x14ac:dyDescent="0.25">
      <c r="J175" s="35" t="s">
        <v>204</v>
      </c>
      <c r="P175" s="39" t="s">
        <v>148</v>
      </c>
      <c r="U175" s="66" t="s">
        <v>201</v>
      </c>
      <c r="V175" s="73">
        <f ca="1">NOW()</f>
        <v>45874.609900000003</v>
      </c>
      <c r="W175" s="73"/>
    </row>
    <row r="176" spans="2:37" x14ac:dyDescent="0.25">
      <c r="B176" s="14" t="s">
        <v>77</v>
      </c>
      <c r="C176" s="14" t="s">
        <v>78</v>
      </c>
      <c r="D176" s="14" t="s">
        <v>79</v>
      </c>
      <c r="E176" s="14" t="s">
        <v>80</v>
      </c>
      <c r="F176" s="14" t="s">
        <v>81</v>
      </c>
      <c r="G176" s="14" t="s">
        <v>82</v>
      </c>
      <c r="H176" s="14" t="s">
        <v>83</v>
      </c>
      <c r="I176" s="14" t="s">
        <v>84</v>
      </c>
      <c r="J176" s="14" t="s">
        <v>8</v>
      </c>
      <c r="K176" s="14" t="s">
        <v>85</v>
      </c>
      <c r="L176" s="15" t="s">
        <v>89</v>
      </c>
      <c r="M176" s="14" t="s">
        <v>90</v>
      </c>
      <c r="P176" s="14" t="s">
        <v>143</v>
      </c>
      <c r="Q176" s="14" t="s">
        <v>80</v>
      </c>
      <c r="R176" s="14" t="s">
        <v>81</v>
      </c>
      <c r="S176" s="14" t="s">
        <v>82</v>
      </c>
      <c r="T176" s="14" t="s">
        <v>83</v>
      </c>
      <c r="U176" s="14" t="s">
        <v>95</v>
      </c>
      <c r="V176" s="14" t="s">
        <v>84</v>
      </c>
      <c r="W176" s="14" t="s">
        <v>96</v>
      </c>
      <c r="Y176" s="14" t="e">
        <f ca="1">Y$137</f>
        <v>#NAME?</v>
      </c>
      <c r="Z176" s="14" t="e">
        <f t="shared" ref="Z176:AK176" ca="1" si="2">Z$137</f>
        <v>#NAME?</v>
      </c>
      <c r="AA176" s="14" t="e">
        <f t="shared" ca="1" si="2"/>
        <v>#NAME?</v>
      </c>
      <c r="AB176" s="14" t="e">
        <f t="shared" ca="1" si="2"/>
        <v>#NAME?</v>
      </c>
      <c r="AC176" s="14" t="e">
        <f t="shared" ca="1" si="2"/>
        <v>#NAME?</v>
      </c>
      <c r="AD176" s="14" t="e">
        <f t="shared" ca="1" si="2"/>
        <v>#NAME?</v>
      </c>
      <c r="AE176" s="14" t="e">
        <f t="shared" ca="1" si="2"/>
        <v>#NAME?</v>
      </c>
      <c r="AF176" s="14" t="e">
        <f t="shared" ca="1" si="2"/>
        <v>#NAME?</v>
      </c>
      <c r="AG176" s="14" t="e">
        <f t="shared" ca="1" si="2"/>
        <v>#NAME?</v>
      </c>
      <c r="AH176" s="14" t="e">
        <f t="shared" ca="1" si="2"/>
        <v>#NAME?</v>
      </c>
      <c r="AI176" s="14" t="e">
        <f t="shared" ca="1" si="2"/>
        <v>#NAME?</v>
      </c>
      <c r="AJ176" s="14" t="e">
        <f t="shared" ca="1" si="2"/>
        <v>#NAME?</v>
      </c>
      <c r="AK176" s="14" t="e">
        <f t="shared" ca="1" si="2"/>
        <v>#NAME?</v>
      </c>
    </row>
    <row r="177" spans="1:37" ht="24" customHeight="1" x14ac:dyDescent="0.25">
      <c r="A177" s="3" t="e" cm="1">
        <f t="array" aca="1" ref="A177" ca="1">IF(_xll.TM1RPTELISCONSOLIDATED($I$177,$I177),IF(_xll.TM1RPTELLEV($I$177,$I177)&lt;=3,_xll.TM1RPTELLEV($I$177,$I177),"D"),"N")</f>
        <v>#NAME?</v>
      </c>
      <c r="B177" s="32" t="e">
        <f t="array" aca="1" ref="B177" ca="1">_xll.TM1RPTROW($C$110,db_name&amp;":programme","","","code and description",0,$C$130)</f>
        <v>#NAME?</v>
      </c>
      <c r="C177" s="33" t="e">
        <f t="array" aca="1" ref="C177" ca="1">_xll.TM1RPTROW($C$110,db_name&amp;":appropriation type","","","code and description",0,$C$131)</f>
        <v>#NAME?</v>
      </c>
      <c r="D177" s="33" t="e">
        <f t="array" aca="1" ref="D177" ca="1">_xll.TM1RPTROW($C$110,db_name&amp;":appropriation item","","","code and description",0,$C$132)</f>
        <v>#NAME?</v>
      </c>
      <c r="E177" s="33" t="e">
        <f t="array" aca="1" ref="E177" ca="1">_xll.TM1RPTROW($C$110,db_name&amp;":account","","","code and description",0,$C$112)</f>
        <v>#NAME?</v>
      </c>
      <c r="F177" s="33" t="e">
        <f t="array" aca="1" ref="F177" ca="1">_xll.TM1RPTROW($C$110,db_name&amp;":movement account","","","code and description",0,$C$133)</f>
        <v>#NAME?</v>
      </c>
      <c r="G177" s="33" t="e">
        <f t="array" aca="1" ref="G177" ca="1">_xll.TM1RPTROW($C$110,db_name&amp;":related entity","","","code and description",0,$C$134)</f>
        <v>#NAME?</v>
      </c>
      <c r="H177" s="33" t="e">
        <f t="array" aca="1" ref="H177" ca="1">_xll.TM1RPTROW($C$110,db_name&amp;":jurisdiction","","","description",0,$C$135)</f>
        <v>#NAME?</v>
      </c>
      <c r="I177" s="33" t="e">
        <f t="array" aca="1" ref="I177" ca="1">_xll.TM1RPTROW($C$110,db_name&amp;":spp","","","code and description",0,$C$136)</f>
        <v>#NAME?</v>
      </c>
      <c r="J177" s="22"/>
      <c r="K177" s="22" t="e" cm="1">
        <f t="array" aca="1" ref="K177" ca="1">IF($L177="",_xll.DBR($C$67,$E177,"DR/CR"),_xll.DBR($C$68,$F177,"DR/CR"))</f>
        <v>#NAME?</v>
      </c>
      <c r="L177" s="22" t="e" cm="1">
        <f t="array" aca="1" ref="L177" ca="1">_xll.DBR($C$67,$E177,L$176)</f>
        <v>#NAME?</v>
      </c>
      <c r="M177" s="22" t="e" cm="1">
        <f t="array" aca="1" ref="M177" ca="1">_xll.DBR($C$67,$E177,M$176)</f>
        <v>#NAME?</v>
      </c>
      <c r="N177" s="3"/>
      <c r="O177" s="3"/>
      <c r="P177" s="50" t="e">
        <f ca="1">$B177</f>
        <v>#NAME?</v>
      </c>
      <c r="Q177" s="50" t="e">
        <f ca="1">$E177</f>
        <v>#NAME?</v>
      </c>
      <c r="R177" s="50" t="e">
        <f ca="1">$F177</f>
        <v>#NAME?</v>
      </c>
      <c r="S177" s="51" t="e">
        <f ca="1">$G177</f>
        <v>#NAME?</v>
      </c>
      <c r="T177" s="52" t="e">
        <f ca="1">$H177</f>
        <v>#NAME?</v>
      </c>
      <c r="U177" s="50" t="e">
        <f ca="1">$D177</f>
        <v>#NAME?</v>
      </c>
      <c r="V177" s="52" t="e">
        <f ca="1">$I177</f>
        <v>#NAME?</v>
      </c>
      <c r="W177" s="52" t="e">
        <f ca="1">$K177</f>
        <v>#NAME?</v>
      </c>
      <c r="X177" s="3"/>
      <c r="Y177" s="36" t="e">
        <f t="array" aca="1" ref="Y177" ca="1">_xll.DBRW($C$110,$C$113,$C$114,$C$116,$C$118,$G177,$C$119,$C$120,$I177,$C$86,$C177,$F177,$D177,$B177,$E177,$C$115,$H177,Y$137)</f>
        <v>#NAME?</v>
      </c>
      <c r="Z177" s="36" t="e">
        <f t="array" aca="1" ref="Z177" ca="1">_xll.DBRW($C$110,$C$113,$C$114,$C$116,$C$118,$G177,$C$119,$C$120,$I177,$C$86,$C177,$F177,$D177,$B177,$E177,$C$115,$H177,Z$137)</f>
        <v>#NAME?</v>
      </c>
      <c r="AA177" s="36" t="e">
        <f t="array" aca="1" ref="AA177" ca="1">_xll.DBRW($C$110,$C$113,$C$114,$C$116,$C$118,$G177,$C$119,$C$120,$I177,$C$86,$C177,$F177,$D177,$B177,$E177,$C$115,$H177,AA$137)</f>
        <v>#NAME?</v>
      </c>
      <c r="AB177" s="36" t="e">
        <f t="array" aca="1" ref="AB177" ca="1">_xll.DBRW($C$110,$C$113,$C$114,$C$116,$C$118,$G177,$C$119,$C$120,$I177,$C$86,$C177,$F177,$D177,$B177,$E177,$C$115,$H177,AB$137)</f>
        <v>#NAME?</v>
      </c>
      <c r="AC177" s="36" t="e">
        <f t="array" aca="1" ref="AC177" ca="1">_xll.DBRW($C$110,$C$113,$C$114,$C$116,$C$118,$G177,$C$119,$C$120,$I177,$C$86,$C177,$F177,$D177,$B177,$E177,$C$115,$H177,AC$137)</f>
        <v>#NAME?</v>
      </c>
      <c r="AD177" s="36" t="e">
        <f t="array" aca="1" ref="AD177" ca="1">_xll.DBRW($C$110,$C$113,$C$114,$C$116,$C$118,$G177,$C$119,$C$120,$I177,$C$86,$C177,$F177,$D177,$B177,$E177,$C$115,$H177,AD$137)</f>
        <v>#NAME?</v>
      </c>
      <c r="AE177" s="36" t="e">
        <f t="array" aca="1" ref="AE177" ca="1">_xll.DBRW($C$110,$C$113,$C$114,$C$116,$C$118,$G177,$C$119,$C$120,$I177,$C$86,$C177,$F177,$D177,$B177,$E177,$C$115,$H177,AE$137)</f>
        <v>#NAME?</v>
      </c>
      <c r="AF177" s="36" t="e">
        <f t="array" aca="1" ref="AF177" ca="1">_xll.DBRW($C$110,$C$113,$C$114,$C$116,$C$118,$G177,$C$119,$C$120,$I177,$C$86,$C177,$F177,$D177,$B177,$E177,$C$115,$H177,AF$137)</f>
        <v>#NAME?</v>
      </c>
      <c r="AG177" s="36" t="e">
        <f t="array" aca="1" ref="AG177" ca="1">_xll.DBRW($C$110,$C$113,$C$114,$C$116,$C$118,$G177,$C$119,$C$120,$I177,$C$86,$C177,$F177,$D177,$B177,$E177,$C$115,$H177,AG$137)</f>
        <v>#NAME?</v>
      </c>
      <c r="AH177" s="36" t="e">
        <f t="array" aca="1" ref="AH177" ca="1">_xll.DBRW($C$110,$C$113,$C$114,$C$116,$C$118,$G177,$C$119,$C$120,$I177,$C$86,$C177,$F177,$D177,$B177,$E177,$C$115,$H177,AH$137)</f>
        <v>#NAME?</v>
      </c>
      <c r="AI177" s="36" t="e">
        <f t="array" aca="1" ref="AI177" ca="1">_xll.DBRW($C$110,$C$113,$C$114,$C$116,$C$118,$G177,$C$119,$C$120,$I177,$C$86,$C177,$F177,$D177,$B177,$E177,$C$115,$H177,AI$137)</f>
        <v>#NAME?</v>
      </c>
      <c r="AJ177" s="36" t="e">
        <f t="array" aca="1" ref="AJ177" ca="1">_xll.DBRW($C$110,$C$113,$C$114,$C$116,$C$118,$G177,$C$119,$C$120,$I177,$C$86,$C177,$F177,$D177,$B177,$E177,$C$115,$H177,AJ$137)</f>
        <v>#NAME?</v>
      </c>
      <c r="AK177" s="36" t="e">
        <f t="array" aca="1" ref="AK177" ca="1">_xll.DBRW($C$110,$C$113,$C$114,$C$116,$C$118,$G177,$C$119,$C$120,$I177,$C$86,$C177,$F177,$D177,$B177,$E177,$C$115,$H177,AK$137)</f>
        <v>#NAME?</v>
      </c>
    </row>
    <row r="178" spans="1:37" ht="5.0999999999999996" customHeight="1" x14ac:dyDescent="0.25"/>
    <row r="179" spans="1:37" x14ac:dyDescent="0.25">
      <c r="B179" t="s">
        <v>144</v>
      </c>
      <c r="C179" t="s">
        <v>9</v>
      </c>
      <c r="D179" t="s">
        <v>10</v>
      </c>
      <c r="E179" s="35" t="str">
        <f>$C$111</f>
        <v>1000001</v>
      </c>
      <c r="F179" t="s">
        <v>11</v>
      </c>
      <c r="G179" t="s">
        <v>12</v>
      </c>
      <c r="H179" t="s">
        <v>13</v>
      </c>
      <c r="I179" t="s">
        <v>14</v>
      </c>
      <c r="W179" s="41" t="s">
        <v>164</v>
      </c>
      <c r="Y179" s="37" t="e">
        <f t="array" aca="1" ref="Y179" ca="1">_xll.DBRW($C$108,$C$113,$C$114,$C$116,$C$118,$G179,$C$119,$C$120,$I179,$C$86,$C179,$F179,$D179,$B179,$E179,$C$115,$H179,Y$137)</f>
        <v>#NAME?</v>
      </c>
      <c r="Z179" s="37" t="e">
        <f t="array" aca="1" ref="Z179" ca="1">_xll.DBRW($C$108,$C$113,$C$114,$C$116,$C$118,$G179,$C$119,$C$120,$I179,$C$86,$C179,$F179,$D179,$B179,$E179,$C$115,$H179,Z$137)</f>
        <v>#NAME?</v>
      </c>
      <c r="AA179" s="37" t="e">
        <f t="array" aca="1" ref="AA179" ca="1">_xll.DBRW($C$108,$C$113,$C$114,$C$116,$C$118,$G179,$C$119,$C$120,$I179,$C$86,$C179,$F179,$D179,$B179,$E179,$C$115,$H179,AA$137)</f>
        <v>#NAME?</v>
      </c>
      <c r="AB179" s="37" t="e">
        <f t="array" aca="1" ref="AB179" ca="1">_xll.DBRW($C$108,$C$113,$C$114,$C$116,$C$118,$G179,$C$119,$C$120,$I179,$C$86,$C179,$F179,$D179,$B179,$E179,$C$115,$H179,AB$137)</f>
        <v>#NAME?</v>
      </c>
      <c r="AC179" s="37" t="e">
        <f t="array" aca="1" ref="AC179" ca="1">_xll.DBRW($C$108,$C$113,$C$114,$C$116,$C$118,$G179,$C$119,$C$120,$I179,$C$86,$C179,$F179,$D179,$B179,$E179,$C$115,$H179,AC$137)</f>
        <v>#NAME?</v>
      </c>
      <c r="AD179" s="37" t="e">
        <f t="array" aca="1" ref="AD179" ca="1">_xll.DBRW($C$108,$C$113,$C$114,$C$116,$C$118,$G179,$C$119,$C$120,$I179,$C$86,$C179,$F179,$D179,$B179,$E179,$C$115,$H179,AD$137)</f>
        <v>#NAME?</v>
      </c>
      <c r="AE179" s="37" t="e">
        <f t="array" aca="1" ref="AE179" ca="1">_xll.DBRW($C$108,$C$113,$C$114,$C$116,$C$118,$G179,$C$119,$C$120,$I179,$C$86,$C179,$F179,$D179,$B179,$E179,$C$115,$H179,AE$137)</f>
        <v>#NAME?</v>
      </c>
      <c r="AF179" s="37" t="e">
        <f t="array" aca="1" ref="AF179" ca="1">_xll.DBRW($C$108,$C$113,$C$114,$C$116,$C$118,$G179,$C$119,$C$120,$I179,$C$86,$C179,$F179,$D179,$B179,$E179,$C$115,$H179,AF$137)</f>
        <v>#NAME?</v>
      </c>
      <c r="AG179" s="37" t="e">
        <f t="array" aca="1" ref="AG179" ca="1">_xll.DBRW($C$108,$C$113,$C$114,$C$116,$C$118,$G179,$C$119,$C$120,$I179,$C$86,$C179,$F179,$D179,$B179,$E179,$C$115,$H179,AG$137)</f>
        <v>#NAME?</v>
      </c>
      <c r="AH179" s="37" t="e">
        <f t="array" aca="1" ref="AH179" ca="1">_xll.DBRW($C$108,$C$113,$C$114,$C$116,$C$118,$G179,$C$119,$C$120,$I179,$C$86,$C179,$F179,$D179,$B179,$E179,$C$115,$H179,AH$137)</f>
        <v>#NAME?</v>
      </c>
      <c r="AI179" s="37" t="e">
        <f t="array" aca="1" ref="AI179" ca="1">_xll.DBRW($C$108,$C$113,$C$114,$C$116,$C$118,$G179,$C$119,$C$120,$I179,$C$86,$C179,$F179,$D179,$B179,$E179,$C$115,$H179,AI$137)</f>
        <v>#NAME?</v>
      </c>
      <c r="AJ179" s="37" t="e">
        <f t="array" aca="1" ref="AJ179" ca="1">_xll.DBRW($C$108,$C$113,$C$114,$C$116,$C$118,$G179,$C$119,$C$120,$I179,$C$86,$C179,$F179,$D179,$B179,$E179,$C$115,$H179,AJ$137)</f>
        <v>#NAME?</v>
      </c>
      <c r="AK179" s="37" t="e">
        <f t="array" aca="1" ref="AK179" ca="1">_xll.DBRW($C$108,$C$113,$C$114,$C$116,$C$118,$G179,$C$119,$C$120,$I179,$C$86,$C179,$F179,$D179,$B179,$E179,$C$115,$H179,AK$137)</f>
        <v>#NAME?</v>
      </c>
    </row>
    <row r="180" spans="1:37" x14ac:dyDescent="0.25">
      <c r="B180" s="39" t="s">
        <v>146</v>
      </c>
      <c r="J180" s="35" t="s">
        <v>203</v>
      </c>
      <c r="P180" s="39" t="s">
        <v>149</v>
      </c>
    </row>
    <row r="181" spans="1:37" x14ac:dyDescent="0.25">
      <c r="B181" s="14" t="s">
        <v>77</v>
      </c>
      <c r="C181" s="14" t="s">
        <v>78</v>
      </c>
      <c r="D181" s="14" t="s">
        <v>79</v>
      </c>
      <c r="E181" s="14" t="s">
        <v>80</v>
      </c>
      <c r="F181" s="14" t="s">
        <v>81</v>
      </c>
      <c r="G181" s="14" t="s">
        <v>82</v>
      </c>
      <c r="H181" s="14" t="s">
        <v>83</v>
      </c>
      <c r="I181" s="14" t="s">
        <v>84</v>
      </c>
      <c r="J181" s="68" t="s">
        <v>8</v>
      </c>
      <c r="K181" s="14" t="s">
        <v>85</v>
      </c>
      <c r="L181" s="15" t="s">
        <v>89</v>
      </c>
      <c r="M181" s="14" t="s">
        <v>90</v>
      </c>
      <c r="P181" s="14" t="s">
        <v>143</v>
      </c>
      <c r="Q181" s="14" t="s">
        <v>80</v>
      </c>
      <c r="R181" s="14" t="s">
        <v>81</v>
      </c>
      <c r="S181" s="14" t="s">
        <v>82</v>
      </c>
      <c r="T181" s="14" t="s">
        <v>83</v>
      </c>
      <c r="U181" s="14" t="s">
        <v>95</v>
      </c>
      <c r="V181" s="14" t="s">
        <v>84</v>
      </c>
      <c r="W181" s="14" t="s">
        <v>96</v>
      </c>
      <c r="Y181" s="14" t="e">
        <f ca="1">Y$137</f>
        <v>#NAME?</v>
      </c>
      <c r="Z181" s="14" t="e">
        <f t="shared" ref="Z181:AK181" ca="1" si="3">Z$137</f>
        <v>#NAME?</v>
      </c>
      <c r="AA181" s="14" t="e">
        <f t="shared" ca="1" si="3"/>
        <v>#NAME?</v>
      </c>
      <c r="AB181" s="14" t="e">
        <f t="shared" ca="1" si="3"/>
        <v>#NAME?</v>
      </c>
      <c r="AC181" s="14" t="e">
        <f t="shared" ca="1" si="3"/>
        <v>#NAME?</v>
      </c>
      <c r="AD181" s="14" t="e">
        <f t="shared" ca="1" si="3"/>
        <v>#NAME?</v>
      </c>
      <c r="AE181" s="14" t="e">
        <f t="shared" ca="1" si="3"/>
        <v>#NAME?</v>
      </c>
      <c r="AF181" s="14" t="e">
        <f t="shared" ca="1" si="3"/>
        <v>#NAME?</v>
      </c>
      <c r="AG181" s="14" t="e">
        <f t="shared" ca="1" si="3"/>
        <v>#NAME?</v>
      </c>
      <c r="AH181" s="14" t="e">
        <f t="shared" ca="1" si="3"/>
        <v>#NAME?</v>
      </c>
      <c r="AI181" s="14" t="e">
        <f t="shared" ca="1" si="3"/>
        <v>#NAME?</v>
      </c>
      <c r="AJ181" s="14" t="e">
        <f t="shared" ca="1" si="3"/>
        <v>#NAME?</v>
      </c>
      <c r="AK181" s="14" t="e">
        <f t="shared" ca="1" si="3"/>
        <v>#NAME?</v>
      </c>
    </row>
    <row r="182" spans="1:37" ht="24" customHeight="1" x14ac:dyDescent="0.25">
      <c r="A182" s="3" t="e" cm="1">
        <f t="array" aca="1" ref="A182" ca="1">IF(_xll.TM1RPTELISCONSOLIDATED($I$182,$I182),IF(_xll.TM1RPTELLEV($I$182,$I182)&lt;=3,_xll.TM1RPTELLEV($I$182,$I182),"D"),"N")</f>
        <v>#NAME?</v>
      </c>
      <c r="B182" s="32" t="e">
        <f t="array" aca="1" ref="B182" ca="1">_xll.TM1RPTROW($D$110,db_name&amp;":programme","","","code and description",0,$C$130)</f>
        <v>#NAME?</v>
      </c>
      <c r="C182" s="33" t="e">
        <f t="array" aca="1" ref="C182" ca="1">_xll.TM1RPTROW($D$110,db_name&amp;":appropriation type","","","code and description",0,$C$131)</f>
        <v>#NAME?</v>
      </c>
      <c r="D182" s="33" t="e">
        <f t="array" aca="1" ref="D182" ca="1">_xll.TM1RPTROW($D$110,db_name&amp;":appropriation item","","","code and description",0,$C$132)</f>
        <v>#NAME?</v>
      </c>
      <c r="E182" s="33" t="e">
        <f t="array" aca="1" ref="E182" ca="1">_xll.TM1RPTROW($D$110,db_name&amp;":account","","","code and description",0,$D$112)</f>
        <v>#NAME?</v>
      </c>
      <c r="F182" s="33" t="e">
        <f t="array" aca="1" ref="F182" ca="1">_xll.TM1RPTROW($D$110,db_name&amp;":movement account","","","code and description",0,$C$133)</f>
        <v>#NAME?</v>
      </c>
      <c r="G182" s="33" t="e">
        <f t="array" aca="1" ref="G182" ca="1">_xll.TM1RPTROW($D$110,db_name&amp;":related entity","","","code and description",0,$C$134)</f>
        <v>#NAME?</v>
      </c>
      <c r="H182" s="33" t="e">
        <f t="array" aca="1" ref="H182" ca="1">_xll.TM1RPTROW($D$110,db_name&amp;":jurisdiction","","","description",0,$C$135)</f>
        <v>#NAME?</v>
      </c>
      <c r="I182" s="33" t="e">
        <f t="array" aca="1" ref="I182" ca="1">_xll.TM1RPTROW($D$110,db_name&amp;":spp","","","code and description",0,$C$136)</f>
        <v>#NAME?</v>
      </c>
      <c r="J182" s="22"/>
      <c r="K182" s="22" t="e" cm="1">
        <f t="array" aca="1" ref="K182" ca="1">IF($L182="",_xll.DBR($C$67,$E182,"DR/CR"),_xll.DBR($C$68,$F182,"DR/CR"))</f>
        <v>#NAME?</v>
      </c>
      <c r="L182" s="22" t="e" cm="1">
        <f t="array" aca="1" ref="L182" ca="1">_xll.DBR($C$67,$E182,L$176)</f>
        <v>#NAME?</v>
      </c>
      <c r="M182" s="22" t="e" cm="1">
        <f t="array" aca="1" ref="M182" ca="1">_xll.DBR($C$67,$E182,M$176)</f>
        <v>#NAME?</v>
      </c>
      <c r="N182" s="3"/>
      <c r="O182" s="3"/>
      <c r="P182" s="50" t="e">
        <f ca="1">$B182</f>
        <v>#NAME?</v>
      </c>
      <c r="Q182" s="50" t="e">
        <f ca="1">$E182</f>
        <v>#NAME?</v>
      </c>
      <c r="R182" s="50" t="e">
        <f ca="1">$F182</f>
        <v>#NAME?</v>
      </c>
      <c r="S182" s="51" t="e">
        <f ca="1">$G182</f>
        <v>#NAME?</v>
      </c>
      <c r="T182" s="52" t="e">
        <f ca="1">$H182</f>
        <v>#NAME?</v>
      </c>
      <c r="U182" s="50" t="e">
        <f ca="1">$D182</f>
        <v>#NAME?</v>
      </c>
      <c r="V182" s="52" t="e">
        <f ca="1">$I182</f>
        <v>#NAME?</v>
      </c>
      <c r="W182" s="52" t="e">
        <f ca="1">$K182</f>
        <v>#NAME?</v>
      </c>
      <c r="X182" s="3"/>
      <c r="Y182" s="36" t="e">
        <f t="array" aca="1" ref="Y182" ca="1">_xll.DBRW($D$110,$C$113,$C$114,$C$116,$C$118,$G182,$C$119,$C$120,$I182,$C$86,$C182,$F182,$D182,$B182,$E182,$C$115,$H182,Y$137)</f>
        <v>#NAME?</v>
      </c>
      <c r="Z182" s="36" t="e">
        <f t="array" aca="1" ref="Z182" ca="1">_xll.DBRW($D$110,$C$113,$C$114,$C$116,$C$118,$G182,$C$119,$C$120,$I182,$C$86,$C182,$F182,$D182,$B182,$E182,$C$115,$H182,Z$137)</f>
        <v>#NAME?</v>
      </c>
      <c r="AA182" s="36" t="e">
        <f t="array" aca="1" ref="AA182" ca="1">_xll.DBRW($D$110,$C$113,$C$114,$C$116,$C$118,$G182,$C$119,$C$120,$I182,$C$86,$C182,$F182,$D182,$B182,$E182,$C$115,$H182,AA$137)</f>
        <v>#NAME?</v>
      </c>
      <c r="AB182" s="36" t="e">
        <f t="array" aca="1" ref="AB182" ca="1">_xll.DBRW($D$110,$C$113,$C$114,$C$116,$C$118,$G182,$C$119,$C$120,$I182,$C$86,$C182,$F182,$D182,$B182,$E182,$C$115,$H182,AB$137)</f>
        <v>#NAME?</v>
      </c>
      <c r="AC182" s="36" t="e">
        <f t="array" aca="1" ref="AC182" ca="1">_xll.DBRW($D$110,$C$113,$C$114,$C$116,$C$118,$G182,$C$119,$C$120,$I182,$C$86,$C182,$F182,$D182,$B182,$E182,$C$115,$H182,AC$137)</f>
        <v>#NAME?</v>
      </c>
      <c r="AD182" s="36" t="e">
        <f t="array" aca="1" ref="AD182" ca="1">_xll.DBRW($D$110,$C$113,$C$114,$C$116,$C$118,$G182,$C$119,$C$120,$I182,$C$86,$C182,$F182,$D182,$B182,$E182,$C$115,$H182,AD$137)</f>
        <v>#NAME?</v>
      </c>
      <c r="AE182" s="36" t="e">
        <f t="array" aca="1" ref="AE182" ca="1">_xll.DBRW($D$110,$C$113,$C$114,$C$116,$C$118,$G182,$C$119,$C$120,$I182,$C$86,$C182,$F182,$D182,$B182,$E182,$C$115,$H182,AE$137)</f>
        <v>#NAME?</v>
      </c>
      <c r="AF182" s="36" t="e">
        <f t="array" aca="1" ref="AF182" ca="1">_xll.DBRW($D$110,$C$113,$C$114,$C$116,$C$118,$G182,$C$119,$C$120,$I182,$C$86,$C182,$F182,$D182,$B182,$E182,$C$115,$H182,AF$137)</f>
        <v>#NAME?</v>
      </c>
      <c r="AG182" s="36" t="e">
        <f t="array" aca="1" ref="AG182" ca="1">_xll.DBRW($D$110,$C$113,$C$114,$C$116,$C$118,$G182,$C$119,$C$120,$I182,$C$86,$C182,$F182,$D182,$B182,$E182,$C$115,$H182,AG$137)</f>
        <v>#NAME?</v>
      </c>
      <c r="AH182" s="36" t="e">
        <f t="array" aca="1" ref="AH182" ca="1">_xll.DBRW($D$110,$C$113,$C$114,$C$116,$C$118,$G182,$C$119,$C$120,$I182,$C$86,$C182,$F182,$D182,$B182,$E182,$C$115,$H182,AH$137)</f>
        <v>#NAME?</v>
      </c>
      <c r="AI182" s="36" t="e">
        <f t="array" aca="1" ref="AI182" ca="1">_xll.DBRW($D$110,$C$113,$C$114,$C$116,$C$118,$G182,$C$119,$C$120,$I182,$C$86,$C182,$F182,$D182,$B182,$E182,$C$115,$H182,AI$137)</f>
        <v>#NAME?</v>
      </c>
      <c r="AJ182" s="36" t="e">
        <f t="array" aca="1" ref="AJ182" ca="1">_xll.DBRW($D$110,$C$113,$C$114,$C$116,$C$118,$G182,$C$119,$C$120,$I182,$C$86,$C182,$F182,$D182,$B182,$E182,$C$115,$H182,AJ$137)</f>
        <v>#NAME?</v>
      </c>
      <c r="AK182" s="36" t="e">
        <f t="array" aca="1" ref="AK182" ca="1">_xll.DBRW($D$110,$C$113,$C$114,$C$116,$C$118,$G182,$C$119,$C$120,$I182,$C$86,$C182,$F182,$D182,$B182,$E182,$C$115,$H182,AK$137)</f>
        <v>#NAME?</v>
      </c>
    </row>
    <row r="183" spans="1:37" ht="5.0999999999999996" customHeight="1" x14ac:dyDescent="0.25"/>
    <row r="184" spans="1:37" x14ac:dyDescent="0.25">
      <c r="B184" t="s">
        <v>144</v>
      </c>
      <c r="C184" t="s">
        <v>9</v>
      </c>
      <c r="D184" t="s">
        <v>10</v>
      </c>
      <c r="E184" s="35" t="str">
        <f>$D$111</f>
        <v>2000000</v>
      </c>
      <c r="F184" t="s">
        <v>11</v>
      </c>
      <c r="G184" t="s">
        <v>12</v>
      </c>
      <c r="H184" t="s">
        <v>13</v>
      </c>
      <c r="I184" t="s">
        <v>14</v>
      </c>
      <c r="W184" s="41" t="s">
        <v>165</v>
      </c>
      <c r="Y184" s="37" t="e">
        <f t="array" aca="1" ref="Y184" ca="1">_xll.DBRW($C$108,$C$113,$C$114,$C$116,$C$118,$G184,$C$119,$C$120,$I184,$C$86,$C184,$F184,$D184,$B184,$E184,$C$115,$H184,Y$137)</f>
        <v>#NAME?</v>
      </c>
      <c r="Z184" s="37" t="e">
        <f t="array" aca="1" ref="Z184" ca="1">_xll.DBRW($C$108,$C$113,$C$114,$C$116,$C$118,$G184,$C$119,$C$120,$I184,$C$86,$C184,$F184,$D184,$B184,$E184,$C$115,$H184,Z$137)</f>
        <v>#NAME?</v>
      </c>
      <c r="AA184" s="37" t="e">
        <f t="array" aca="1" ref="AA184" ca="1">_xll.DBRW($C$108,$C$113,$C$114,$C$116,$C$118,$G184,$C$119,$C$120,$I184,$C$86,$C184,$F184,$D184,$B184,$E184,$C$115,$H184,AA$137)</f>
        <v>#NAME?</v>
      </c>
      <c r="AB184" s="37" t="e">
        <f t="array" aca="1" ref="AB184" ca="1">_xll.DBRW($C$108,$C$113,$C$114,$C$116,$C$118,$G184,$C$119,$C$120,$I184,$C$86,$C184,$F184,$D184,$B184,$E184,$C$115,$H184,AB$137)</f>
        <v>#NAME?</v>
      </c>
      <c r="AC184" s="37" t="e">
        <f t="array" aca="1" ref="AC184" ca="1">_xll.DBRW($C$108,$C$113,$C$114,$C$116,$C$118,$G184,$C$119,$C$120,$I184,$C$86,$C184,$F184,$D184,$B184,$E184,$C$115,$H184,AC$137)</f>
        <v>#NAME?</v>
      </c>
      <c r="AD184" s="37" t="e">
        <f t="array" aca="1" ref="AD184" ca="1">_xll.DBRW($C$108,$C$113,$C$114,$C$116,$C$118,$G184,$C$119,$C$120,$I184,$C$86,$C184,$F184,$D184,$B184,$E184,$C$115,$H184,AD$137)</f>
        <v>#NAME?</v>
      </c>
      <c r="AE184" s="37" t="e">
        <f t="array" aca="1" ref="AE184" ca="1">_xll.DBRW($C$108,$C$113,$C$114,$C$116,$C$118,$G184,$C$119,$C$120,$I184,$C$86,$C184,$F184,$D184,$B184,$E184,$C$115,$H184,AE$137)</f>
        <v>#NAME?</v>
      </c>
      <c r="AF184" s="37" t="e">
        <f t="array" aca="1" ref="AF184" ca="1">_xll.DBRW($C$108,$C$113,$C$114,$C$116,$C$118,$G184,$C$119,$C$120,$I184,$C$86,$C184,$F184,$D184,$B184,$E184,$C$115,$H184,AF$137)</f>
        <v>#NAME?</v>
      </c>
      <c r="AG184" s="37" t="e">
        <f t="array" aca="1" ref="AG184" ca="1">_xll.DBRW($C$108,$C$113,$C$114,$C$116,$C$118,$G184,$C$119,$C$120,$I184,$C$86,$C184,$F184,$D184,$B184,$E184,$C$115,$H184,AG$137)</f>
        <v>#NAME?</v>
      </c>
      <c r="AH184" s="37" t="e">
        <f t="array" aca="1" ref="AH184" ca="1">_xll.DBRW($C$108,$C$113,$C$114,$C$116,$C$118,$G184,$C$119,$C$120,$I184,$C$86,$C184,$F184,$D184,$B184,$E184,$C$115,$H184,AH$137)</f>
        <v>#NAME?</v>
      </c>
      <c r="AI184" s="37" t="e">
        <f t="array" aca="1" ref="AI184" ca="1">_xll.DBRW($C$108,$C$113,$C$114,$C$116,$C$118,$G184,$C$119,$C$120,$I184,$C$86,$C184,$F184,$D184,$B184,$E184,$C$115,$H184,AI$137)</f>
        <v>#NAME?</v>
      </c>
      <c r="AJ184" s="37" t="e">
        <f t="array" aca="1" ref="AJ184" ca="1">_xll.DBRW($C$108,$C$113,$C$114,$C$116,$C$118,$G184,$C$119,$C$120,$I184,$C$86,$C184,$F184,$D184,$B184,$E184,$C$115,$H184,AJ$137)</f>
        <v>#NAME?</v>
      </c>
      <c r="AK184" s="37" t="e">
        <f t="array" aca="1" ref="AK184" ca="1">_xll.DBRW($C$108,$C$113,$C$114,$C$116,$C$118,$G184,$C$119,$C$120,$I184,$C$86,$C184,$F184,$D184,$B184,$E184,$C$115,$H184,AK$137)</f>
        <v>#NAME?</v>
      </c>
    </row>
    <row r="185" spans="1:37" x14ac:dyDescent="0.25">
      <c r="P185" s="39" t="s">
        <v>147</v>
      </c>
    </row>
    <row r="186" spans="1:37" x14ac:dyDescent="0.25">
      <c r="P186" s="14" t="s">
        <v>143</v>
      </c>
      <c r="Q186" s="14" t="s">
        <v>80</v>
      </c>
      <c r="R186" s="14" t="s">
        <v>81</v>
      </c>
      <c r="S186" s="14" t="s">
        <v>82</v>
      </c>
      <c r="T186" s="14" t="s">
        <v>83</v>
      </c>
      <c r="U186" s="14" t="s">
        <v>95</v>
      </c>
      <c r="V186" s="14" t="s">
        <v>84</v>
      </c>
      <c r="W186" s="14" t="s">
        <v>96</v>
      </c>
      <c r="Y186" s="14" t="e">
        <f ca="1">Y$137</f>
        <v>#NAME?</v>
      </c>
      <c r="Z186" s="14" t="e">
        <f t="shared" ref="Z186:AK186" ca="1" si="4">Z$137</f>
        <v>#NAME?</v>
      </c>
      <c r="AA186" s="14" t="e">
        <f t="shared" ca="1" si="4"/>
        <v>#NAME?</v>
      </c>
      <c r="AB186" s="14" t="e">
        <f t="shared" ca="1" si="4"/>
        <v>#NAME?</v>
      </c>
      <c r="AC186" s="14" t="e">
        <f t="shared" ca="1" si="4"/>
        <v>#NAME?</v>
      </c>
      <c r="AD186" s="14" t="e">
        <f t="shared" ca="1" si="4"/>
        <v>#NAME?</v>
      </c>
      <c r="AE186" s="14" t="e">
        <f t="shared" ca="1" si="4"/>
        <v>#NAME?</v>
      </c>
      <c r="AF186" s="14" t="e">
        <f t="shared" ca="1" si="4"/>
        <v>#NAME?</v>
      </c>
      <c r="AG186" s="14" t="e">
        <f t="shared" ca="1" si="4"/>
        <v>#NAME?</v>
      </c>
      <c r="AH186" s="14" t="e">
        <f t="shared" ca="1" si="4"/>
        <v>#NAME?</v>
      </c>
      <c r="AI186" s="14" t="e">
        <f t="shared" ca="1" si="4"/>
        <v>#NAME?</v>
      </c>
      <c r="AJ186" s="14" t="e">
        <f t="shared" ca="1" si="4"/>
        <v>#NAME?</v>
      </c>
      <c r="AK186" s="14" t="e">
        <f t="shared" ca="1" si="4"/>
        <v>#NAME?</v>
      </c>
    </row>
    <row r="187" spans="1:37" ht="24" customHeight="1" x14ac:dyDescent="0.25">
      <c r="A187" s="3" t="e" cm="1">
        <f t="array" aca="1" ref="A187" ca="1">IF(_xll.TM1RPTELISCONSOLIDATED($I$187,$I187),IF(_xll.TM1RPTELLEV($I$187,$I187)&lt;=3,_xll.TM1RPTELLEV($I$187,$I187),"D"),"N")</f>
        <v>#NAME?</v>
      </c>
      <c r="B187" s="32" t="e">
        <f t="array" aca="1" ref="B187" ca="1">_xll.TM1RPTROW($E$110,db_name&amp;":programme","","","code and description",0,$C$130)</f>
        <v>#NAME?</v>
      </c>
      <c r="C187" s="33" t="e">
        <f t="array" aca="1" ref="C187" ca="1">_xll.TM1RPTROW($E$110,db_name&amp;":appropriation type","","","code and description",0,$C$131)</f>
        <v>#NAME?</v>
      </c>
      <c r="D187" s="33" t="e">
        <f t="array" aca="1" ref="D187" ca="1">_xll.TM1RPTROW($E$110,db_name&amp;":appropriation item","","","code and description",0,$C$132)</f>
        <v>#NAME?</v>
      </c>
      <c r="E187" s="22" t="e">
        <f t="array" aca="1" ref="E187" ca="1">_xll.TM1RPTROW($E$110,db_name&amp;":account","","","code and description",0,$E$112)</f>
        <v>#NAME?</v>
      </c>
      <c r="F187" s="33" t="e">
        <f t="array" aca="1" ref="F187" ca="1">_xll.TM1RPTROW($E$110,db_name&amp;":movement account","","","code and description",0,$C$133)</f>
        <v>#NAME?</v>
      </c>
      <c r="G187" s="33" t="e">
        <f t="array" aca="1" ref="G187" ca="1">_xll.TM1RPTROW($E$110,db_name&amp;":related entity","","","code and description",0,$C$134)</f>
        <v>#NAME?</v>
      </c>
      <c r="H187" s="33" t="e">
        <f t="array" aca="1" ref="H187" ca="1">_xll.TM1RPTROW($E$110,db_name&amp;":jurisdiction","","","description",0,$C$135)</f>
        <v>#NAME?</v>
      </c>
      <c r="I187" s="33" t="e">
        <f t="array" aca="1" ref="I187" ca="1">_xll.TM1RPTROW($E$110,db_name&amp;":spp","","","code and description",0,$C$136)</f>
        <v>#NAME?</v>
      </c>
      <c r="J187" s="22" t="e" cm="1">
        <f t="array" aca="1" ref="J187" ca="1">_xll.DBRW($E$110,$C$113,$C$114,$C$116,$C$118,$G187,$C$119,$C$120,$I187,$C$121,$C187,$F187,$D187,$B187,$E187,$C$115,$H187,J$176)</f>
        <v>#NAME?</v>
      </c>
      <c r="K187" s="22" t="e" cm="1">
        <f t="array" aca="1" ref="K187" ca="1">IF($L187="",_xll.DBR($C$67,$E187,"DR/CR"),_xll.DBR($C$68,$F187,"DR/CR"))</f>
        <v>#NAME?</v>
      </c>
      <c r="L187" s="22" t="e" cm="1">
        <f t="array" aca="1" ref="L187" ca="1">_xll.DBR($C$67,$E187,L$176)</f>
        <v>#NAME?</v>
      </c>
      <c r="M187" s="22" t="e" cm="1">
        <f t="array" aca="1" ref="M187" ca="1">_xll.DBR($C$67,$E187,M$176)</f>
        <v>#NAME?</v>
      </c>
      <c r="N187" s="3"/>
      <c r="O187" s="3"/>
      <c r="P187" s="23" t="e">
        <f ca="1">$B187</f>
        <v>#NAME?</v>
      </c>
      <c r="Q187" s="23" t="e">
        <f ca="1">$E187</f>
        <v>#NAME?</v>
      </c>
      <c r="R187" s="23" t="e">
        <f ca="1">$F187</f>
        <v>#NAME?</v>
      </c>
      <c r="S187" s="24" t="e">
        <f ca="1">$G187</f>
        <v>#NAME?</v>
      </c>
      <c r="T187" s="25" t="e">
        <f ca="1">$H187</f>
        <v>#NAME?</v>
      </c>
      <c r="U187" s="23" t="e">
        <f ca="1">$D187</f>
        <v>#NAME?</v>
      </c>
      <c r="V187" s="25" t="e">
        <f ca="1">$I187</f>
        <v>#NAME?</v>
      </c>
      <c r="W187" s="25" t="e">
        <f ca="1">$K187</f>
        <v>#NAME?</v>
      </c>
      <c r="X187" s="3"/>
      <c r="Y187" s="36" t="e">
        <f t="array" aca="1" ref="Y187" ca="1">_xll.DBRW($E$110,$C$113,$C$114,$C$116,$C$118,$G187,$C$119,$C$120,$I187,$C$86,$C187,$F187,$D187,$B187,$E187,$C$115,$H187,Y$137)</f>
        <v>#NAME?</v>
      </c>
      <c r="Z187" s="36" t="e">
        <f t="array" aca="1" ref="Z187" ca="1">_xll.DBRW($E$110,$C$113,$C$114,$C$116,$C$118,$G187,$C$119,$C$120,$I187,$C$86,$C187,$F187,$D187,$B187,$E187,$C$115,$H187,Z$137)</f>
        <v>#NAME?</v>
      </c>
      <c r="AA187" s="36" t="e">
        <f t="array" aca="1" ref="AA187" ca="1">_xll.DBRW($E$110,$C$113,$C$114,$C$116,$C$118,$G187,$C$119,$C$120,$I187,$C$86,$C187,$F187,$D187,$B187,$E187,$C$115,$H187,AA$137)</f>
        <v>#NAME?</v>
      </c>
      <c r="AB187" s="36" t="e">
        <f t="array" aca="1" ref="AB187" ca="1">_xll.DBRW($E$110,$C$113,$C$114,$C$116,$C$118,$G187,$C$119,$C$120,$I187,$C$86,$C187,$F187,$D187,$B187,$E187,$C$115,$H187,AB$137)</f>
        <v>#NAME?</v>
      </c>
      <c r="AC187" s="36" t="e">
        <f t="array" aca="1" ref="AC187" ca="1">_xll.DBRW($E$110,$C$113,$C$114,$C$116,$C$118,$G187,$C$119,$C$120,$I187,$C$86,$C187,$F187,$D187,$B187,$E187,$C$115,$H187,AC$137)</f>
        <v>#NAME?</v>
      </c>
      <c r="AD187" s="36" t="e">
        <f t="array" aca="1" ref="AD187" ca="1">_xll.DBRW($E$110,$C$113,$C$114,$C$116,$C$118,$G187,$C$119,$C$120,$I187,$C$86,$C187,$F187,$D187,$B187,$E187,$C$115,$H187,AD$137)</f>
        <v>#NAME?</v>
      </c>
      <c r="AE187" s="36" t="e">
        <f t="array" aca="1" ref="AE187" ca="1">_xll.DBRW($E$110,$C$113,$C$114,$C$116,$C$118,$G187,$C$119,$C$120,$I187,$C$86,$C187,$F187,$D187,$B187,$E187,$C$115,$H187,AE$137)</f>
        <v>#NAME?</v>
      </c>
      <c r="AF187" s="36" t="e">
        <f t="array" aca="1" ref="AF187" ca="1">_xll.DBRW($E$110,$C$113,$C$114,$C$116,$C$118,$G187,$C$119,$C$120,$I187,$C$86,$C187,$F187,$D187,$B187,$E187,$C$115,$H187,AF$137)</f>
        <v>#NAME?</v>
      </c>
      <c r="AG187" s="36" t="e">
        <f t="array" aca="1" ref="AG187" ca="1">_xll.DBRW($E$110,$C$113,$C$114,$C$116,$C$118,$G187,$C$119,$C$120,$I187,$C$86,$C187,$F187,$D187,$B187,$E187,$C$115,$H187,AG$137)</f>
        <v>#NAME?</v>
      </c>
      <c r="AH187" s="36" t="e">
        <f t="array" aca="1" ref="AH187" ca="1">_xll.DBRW($E$110,$C$113,$C$114,$C$116,$C$118,$G187,$C$119,$C$120,$I187,$C$86,$C187,$F187,$D187,$B187,$E187,$C$115,$H187,AH$137)</f>
        <v>#NAME?</v>
      </c>
      <c r="AI187" s="36" t="e">
        <f t="array" aca="1" ref="AI187" ca="1">_xll.DBRW($E$110,$C$113,$C$114,$C$116,$C$118,$G187,$C$119,$C$120,$I187,$C$86,$C187,$F187,$D187,$B187,$E187,$C$115,$H187,AI$137)</f>
        <v>#NAME?</v>
      </c>
      <c r="AJ187" s="36" t="e">
        <f t="array" aca="1" ref="AJ187" ca="1">_xll.DBRW($E$110,$C$113,$C$114,$C$116,$C$118,$G187,$C$119,$C$120,$I187,$C$86,$C187,$F187,$D187,$B187,$E187,$C$115,$H187,AJ$137)</f>
        <v>#NAME?</v>
      </c>
      <c r="AK187" s="36" t="e">
        <f t="array" aca="1" ref="AK187" ca="1">_xll.DBRW($E$110,$C$113,$C$114,$C$116,$C$118,$G187,$C$119,$C$120,$I187,$C$86,$C187,$F187,$D187,$B187,$E187,$C$115,$H187,AK$137)</f>
        <v>#NAME?</v>
      </c>
    </row>
    <row r="188" spans="1:37" ht="5.0999999999999996" customHeight="1" x14ac:dyDescent="0.25"/>
    <row r="189" spans="1:37" x14ac:dyDescent="0.25">
      <c r="B189" t="s">
        <v>144</v>
      </c>
      <c r="C189" t="s">
        <v>9</v>
      </c>
      <c r="D189" t="s">
        <v>10</v>
      </c>
      <c r="E189" s="35" t="str">
        <f>$E$111</f>
        <v>5000000</v>
      </c>
      <c r="F189" t="s">
        <v>11</v>
      </c>
      <c r="G189" t="s">
        <v>12</v>
      </c>
      <c r="H189" t="s">
        <v>13</v>
      </c>
      <c r="I189" t="s">
        <v>14</v>
      </c>
      <c r="W189" s="41" t="s">
        <v>169</v>
      </c>
      <c r="Y189" s="37" t="e">
        <f t="array" aca="1" ref="Y189" ca="1">_xll.DBRW($C$108,$C$113,$C$114,$C$116,$C$118,$G189,$C$119,$C$120,$I189,$C$86,$C189,$F189,$D189,$B189,$E189,$C$115,$H189,Y$137)</f>
        <v>#NAME?</v>
      </c>
      <c r="Z189" s="37" t="e">
        <f t="array" aca="1" ref="Z189" ca="1">_xll.DBRW($C$108,$C$113,$C$114,$C$116,$C$118,$G189,$C$119,$C$120,$I189,$C$86,$C189,$F189,$D189,$B189,$E189,$C$115,$H189,Z$137)</f>
        <v>#NAME?</v>
      </c>
      <c r="AA189" s="37" t="e">
        <f t="array" aca="1" ref="AA189" ca="1">_xll.DBRW($C$108,$C$113,$C$114,$C$116,$C$118,$G189,$C$119,$C$120,$I189,$C$86,$C189,$F189,$D189,$B189,$E189,$C$115,$H189,AA$137)</f>
        <v>#NAME?</v>
      </c>
      <c r="AB189" s="37" t="e">
        <f t="array" aca="1" ref="AB189" ca="1">_xll.DBRW($C$108,$C$113,$C$114,$C$116,$C$118,$G189,$C$119,$C$120,$I189,$C$86,$C189,$F189,$D189,$B189,$E189,$C$115,$H189,AB$137)</f>
        <v>#NAME?</v>
      </c>
      <c r="AC189" s="37" t="e">
        <f t="array" aca="1" ref="AC189" ca="1">_xll.DBRW($C$108,$C$113,$C$114,$C$116,$C$118,$G189,$C$119,$C$120,$I189,$C$86,$C189,$F189,$D189,$B189,$E189,$C$115,$H189,AC$137)</f>
        <v>#NAME?</v>
      </c>
      <c r="AD189" s="37" t="e">
        <f t="array" aca="1" ref="AD189" ca="1">_xll.DBRW($C$108,$C$113,$C$114,$C$116,$C$118,$G189,$C$119,$C$120,$I189,$C$86,$C189,$F189,$D189,$B189,$E189,$C$115,$H189,AD$137)</f>
        <v>#NAME?</v>
      </c>
      <c r="AE189" s="37" t="e">
        <f t="array" aca="1" ref="AE189" ca="1">_xll.DBRW($C$108,$C$113,$C$114,$C$116,$C$118,$G189,$C$119,$C$120,$I189,$C$86,$C189,$F189,$D189,$B189,$E189,$C$115,$H189,AE$137)</f>
        <v>#NAME?</v>
      </c>
      <c r="AF189" s="37" t="e">
        <f t="array" aca="1" ref="AF189" ca="1">_xll.DBRW($C$108,$C$113,$C$114,$C$116,$C$118,$G189,$C$119,$C$120,$I189,$C$86,$C189,$F189,$D189,$B189,$E189,$C$115,$H189,AF$137)</f>
        <v>#NAME?</v>
      </c>
      <c r="AG189" s="37" t="e">
        <f t="array" aca="1" ref="AG189" ca="1">_xll.DBRW($C$108,$C$113,$C$114,$C$116,$C$118,$G189,$C$119,$C$120,$I189,$C$86,$C189,$F189,$D189,$B189,$E189,$C$115,$H189,AG$137)</f>
        <v>#NAME?</v>
      </c>
      <c r="AH189" s="37" t="e">
        <f t="array" aca="1" ref="AH189" ca="1">_xll.DBRW($C$108,$C$113,$C$114,$C$116,$C$118,$G189,$C$119,$C$120,$I189,$C$86,$C189,$F189,$D189,$B189,$E189,$C$115,$H189,AH$137)</f>
        <v>#NAME?</v>
      </c>
      <c r="AI189" s="37" t="e">
        <f t="array" aca="1" ref="AI189" ca="1">_xll.DBRW($C$108,$C$113,$C$114,$C$116,$C$118,$G189,$C$119,$C$120,$I189,$C$86,$C189,$F189,$D189,$B189,$E189,$C$115,$H189,AI$137)</f>
        <v>#NAME?</v>
      </c>
      <c r="AJ189" s="37" t="e">
        <f t="array" aca="1" ref="AJ189" ca="1">_xll.DBRW($C$108,$C$113,$C$114,$C$116,$C$118,$G189,$C$119,$C$120,$I189,$C$86,$C189,$F189,$D189,$B189,$E189,$C$115,$H189,AJ$137)</f>
        <v>#NAME?</v>
      </c>
      <c r="AK189" s="37" t="e">
        <f t="array" aca="1" ref="AK189" ca="1">_xll.DBRW($C$108,$C$113,$C$114,$C$116,$C$118,$G189,$C$119,$C$120,$I189,$C$86,$C189,$F189,$D189,$B189,$E189,$C$115,$H189,AK$137)</f>
        <v>#NAME?</v>
      </c>
    </row>
    <row r="190" spans="1:37" x14ac:dyDescent="0.25">
      <c r="P190" s="39" t="s">
        <v>170</v>
      </c>
    </row>
    <row r="191" spans="1:37" x14ac:dyDescent="0.25">
      <c r="J191" s="35" t="s">
        <v>205</v>
      </c>
      <c r="P191" s="14" t="s">
        <v>143</v>
      </c>
      <c r="Q191" s="14" t="s">
        <v>80</v>
      </c>
      <c r="R191" s="14" t="s">
        <v>81</v>
      </c>
      <c r="S191" s="14" t="s">
        <v>82</v>
      </c>
      <c r="T191" s="14" t="s">
        <v>83</v>
      </c>
      <c r="U191" s="14" t="s">
        <v>95</v>
      </c>
      <c r="V191" s="14" t="s">
        <v>84</v>
      </c>
      <c r="W191" s="14" t="s">
        <v>96</v>
      </c>
      <c r="Y191" s="14" t="e">
        <f ca="1">Y$137</f>
        <v>#NAME?</v>
      </c>
      <c r="Z191" s="14" t="e">
        <f t="shared" ref="Z191:AK191" ca="1" si="5">Z$137</f>
        <v>#NAME?</v>
      </c>
      <c r="AA191" s="14" t="e">
        <f t="shared" ca="1" si="5"/>
        <v>#NAME?</v>
      </c>
      <c r="AB191" s="14" t="e">
        <f t="shared" ca="1" si="5"/>
        <v>#NAME?</v>
      </c>
      <c r="AC191" s="14" t="e">
        <f t="shared" ca="1" si="5"/>
        <v>#NAME?</v>
      </c>
      <c r="AD191" s="14" t="e">
        <f t="shared" ca="1" si="5"/>
        <v>#NAME?</v>
      </c>
      <c r="AE191" s="14" t="e">
        <f t="shared" ca="1" si="5"/>
        <v>#NAME?</v>
      </c>
      <c r="AF191" s="14" t="e">
        <f t="shared" ca="1" si="5"/>
        <v>#NAME?</v>
      </c>
      <c r="AG191" s="14" t="e">
        <f t="shared" ca="1" si="5"/>
        <v>#NAME?</v>
      </c>
      <c r="AH191" s="14" t="e">
        <f t="shared" ca="1" si="5"/>
        <v>#NAME?</v>
      </c>
      <c r="AI191" s="14" t="e">
        <f t="shared" ca="1" si="5"/>
        <v>#NAME?</v>
      </c>
      <c r="AJ191" s="14" t="e">
        <f t="shared" ca="1" si="5"/>
        <v>#NAME?</v>
      </c>
      <c r="AK191" s="14" t="e">
        <f t="shared" ca="1" si="5"/>
        <v>#NAME?</v>
      </c>
    </row>
    <row r="192" spans="1:37" ht="24" customHeight="1" x14ac:dyDescent="0.25">
      <c r="A192" s="3" t="e" cm="1">
        <f t="array" aca="1" ref="A192" ca="1">IF(_xll.TM1RPTELISCONSOLIDATED($I$192,$I192),IF(_xll.TM1RPTELLEV($I$192,$I192)&lt;=3,_xll.TM1RPTELLEV($I$192,$I192),"D"),"N")</f>
        <v>#NAME?</v>
      </c>
      <c r="B192" s="32" t="e">
        <f t="array" aca="1" ref="B192" ca="1">_xll.TM1RPTROW($F$110,db_name&amp;":programme","","","code and description",0,$C$130)</f>
        <v>#NAME?</v>
      </c>
      <c r="C192" s="33" t="e">
        <f t="array" aca="1" ref="C192" ca="1">_xll.TM1RPTROW($F$110,db_name&amp;":appropriation type","","","code and description",0,$C$131)</f>
        <v>#NAME?</v>
      </c>
      <c r="D192" s="33" t="e">
        <f t="array" aca="1" ref="D192" ca="1">_xll.TM1RPTROW($F$110,db_name&amp;":appropriation item","","","code and description",0,$C$132)</f>
        <v>#NAME?</v>
      </c>
      <c r="E192" s="22" t="e">
        <f t="array" aca="1" ref="E192" ca="1">_xll.TM1RPTROW($F$110,db_name&amp;":account","","","code and description",0,$F$112)</f>
        <v>#NAME?</v>
      </c>
      <c r="F192" s="33" t="e">
        <f t="array" aca="1" ref="F192" ca="1">_xll.TM1RPTROW($F$110,db_name&amp;":movement account","","","code and description",0,$C$133)</f>
        <v>#NAME?</v>
      </c>
      <c r="G192" s="33" t="e">
        <f t="array" aca="1" ref="G192" ca="1">_xll.TM1RPTROW($F$110,db_name&amp;":related entity","","","code and description",0,$C$134)</f>
        <v>#NAME?</v>
      </c>
      <c r="H192" s="33" t="e">
        <f t="array" aca="1" ref="H192" ca="1">_xll.TM1RPTROW($F$110,db_name&amp;":jurisdiction","","","description",0,$C$135)</f>
        <v>#NAME?</v>
      </c>
      <c r="I192" s="33" t="e">
        <f t="array" aca="1" ref="I192" ca="1">_xll.TM1RPTROW($F$110,db_name&amp;":spp","","","code and description",0,$C$136)</f>
        <v>#NAME?</v>
      </c>
      <c r="J192" s="22"/>
      <c r="K192" s="22" t="e" cm="1">
        <f t="array" aca="1" ref="K192" ca="1">IF($L192="",_xll.DBR($C$67,$E192,"DR/CR"),_xll.DBR($C$68,$F192,"DR/CR"))</f>
        <v>#NAME?</v>
      </c>
      <c r="L192" s="22" t="e" cm="1">
        <f t="array" aca="1" ref="L192" ca="1">_xll.DBR($C$67,$E192,L$176)</f>
        <v>#NAME?</v>
      </c>
      <c r="M192" s="22" t="e" cm="1">
        <f t="array" aca="1" ref="M192" ca="1">_xll.DBR($C$67,$E192,M$176)</f>
        <v>#NAME?</v>
      </c>
      <c r="N192" s="3"/>
      <c r="O192" s="3"/>
      <c r="P192" s="23" t="e">
        <f ca="1">$B192</f>
        <v>#NAME?</v>
      </c>
      <c r="Q192" s="23" t="e">
        <f ca="1">$E192</f>
        <v>#NAME?</v>
      </c>
      <c r="R192" s="23" t="e">
        <f ca="1">$F192</f>
        <v>#NAME?</v>
      </c>
      <c r="S192" s="24" t="e">
        <f ca="1">$G192</f>
        <v>#NAME?</v>
      </c>
      <c r="T192" s="25" t="e">
        <f ca="1">$H192</f>
        <v>#NAME?</v>
      </c>
      <c r="U192" s="23" t="e">
        <f ca="1">$D192</f>
        <v>#NAME?</v>
      </c>
      <c r="V192" s="25" t="e">
        <f ca="1">$I192</f>
        <v>#NAME?</v>
      </c>
      <c r="W192" s="25" t="e">
        <f ca="1">$K192</f>
        <v>#NAME?</v>
      </c>
      <c r="X192" s="3"/>
      <c r="Y192" s="36" t="e">
        <f t="array" aca="1" ref="Y192" ca="1">_xll.DBRW($F$110,$C$113,$C$114,$C$116,$C$118,$G192,$C$119,$C$120,$I192,$C$86,$C192,$F192,$D192,$B192,$E192,$C$115,$H192,Y$137)</f>
        <v>#NAME?</v>
      </c>
      <c r="Z192" s="36" t="e">
        <f t="array" aca="1" ref="Z192" ca="1">_xll.DBRW($F$110,$C$113,$C$114,$C$116,$C$118,$G192,$C$119,$C$120,$I192,$C$86,$C192,$F192,$D192,$B192,$E192,$C$115,$H192,Z$137)</f>
        <v>#NAME?</v>
      </c>
      <c r="AA192" s="36" t="e">
        <f t="array" aca="1" ref="AA192" ca="1">_xll.DBRW($F$110,$C$113,$C$114,$C$116,$C$118,$G192,$C$119,$C$120,$I192,$C$86,$C192,$F192,$D192,$B192,$E192,$C$115,$H192,AA$137)</f>
        <v>#NAME?</v>
      </c>
      <c r="AB192" s="36" t="e">
        <f t="array" aca="1" ref="AB192" ca="1">_xll.DBRW($F$110,$C$113,$C$114,$C$116,$C$118,$G192,$C$119,$C$120,$I192,$C$86,$C192,$F192,$D192,$B192,$E192,$C$115,$H192,AB$137)</f>
        <v>#NAME?</v>
      </c>
      <c r="AC192" s="36" t="e">
        <f t="array" aca="1" ref="AC192" ca="1">_xll.DBRW($F$110,$C$113,$C$114,$C$116,$C$118,$G192,$C$119,$C$120,$I192,$C$86,$C192,$F192,$D192,$B192,$E192,$C$115,$H192,AC$137)</f>
        <v>#NAME?</v>
      </c>
      <c r="AD192" s="36" t="e">
        <f t="array" aca="1" ref="AD192" ca="1">_xll.DBRW($F$110,$C$113,$C$114,$C$116,$C$118,$G192,$C$119,$C$120,$I192,$C$86,$C192,$F192,$D192,$B192,$E192,$C$115,$H192,AD$137)</f>
        <v>#NAME?</v>
      </c>
      <c r="AE192" s="36" t="e">
        <f t="array" aca="1" ref="AE192" ca="1">_xll.DBRW($F$110,$C$113,$C$114,$C$116,$C$118,$G192,$C$119,$C$120,$I192,$C$86,$C192,$F192,$D192,$B192,$E192,$C$115,$H192,AE$137)</f>
        <v>#NAME?</v>
      </c>
      <c r="AF192" s="36" t="e">
        <f t="array" aca="1" ref="AF192" ca="1">_xll.DBRW($F$110,$C$113,$C$114,$C$116,$C$118,$G192,$C$119,$C$120,$I192,$C$86,$C192,$F192,$D192,$B192,$E192,$C$115,$H192,AF$137)</f>
        <v>#NAME?</v>
      </c>
      <c r="AG192" s="36" t="e">
        <f t="array" aca="1" ref="AG192" ca="1">_xll.DBRW($F$110,$C$113,$C$114,$C$116,$C$118,$G192,$C$119,$C$120,$I192,$C$86,$C192,$F192,$D192,$B192,$E192,$C$115,$H192,AG$137)</f>
        <v>#NAME?</v>
      </c>
      <c r="AH192" s="36" t="e">
        <f t="array" aca="1" ref="AH192" ca="1">_xll.DBRW($F$110,$C$113,$C$114,$C$116,$C$118,$G192,$C$119,$C$120,$I192,$C$86,$C192,$F192,$D192,$B192,$E192,$C$115,$H192,AH$137)</f>
        <v>#NAME?</v>
      </c>
      <c r="AI192" s="36" t="e">
        <f t="array" aca="1" ref="AI192" ca="1">_xll.DBRW($F$110,$C$113,$C$114,$C$116,$C$118,$G192,$C$119,$C$120,$I192,$C$86,$C192,$F192,$D192,$B192,$E192,$C$115,$H192,AI$137)</f>
        <v>#NAME?</v>
      </c>
      <c r="AJ192" s="36" t="e">
        <f t="array" aca="1" ref="AJ192" ca="1">_xll.DBRW($F$110,$C$113,$C$114,$C$116,$C$118,$G192,$C$119,$C$120,$I192,$C$86,$C192,$F192,$D192,$B192,$E192,$C$115,$H192,AJ$137)</f>
        <v>#NAME?</v>
      </c>
      <c r="AK192" s="36" t="e">
        <f t="array" aca="1" ref="AK192" ca="1">_xll.DBRW($F$110,$C$113,$C$114,$C$116,$C$118,$G192,$C$119,$C$120,$I192,$C$86,$C192,$F192,$D192,$B192,$E192,$C$115,$H192,AK$137)</f>
        <v>#NAME?</v>
      </c>
    </row>
    <row r="193" spans="1:37" ht="5.0999999999999996" customHeight="1" x14ac:dyDescent="0.25"/>
    <row r="194" spans="1:37" x14ac:dyDescent="0.25">
      <c r="B194" t="s">
        <v>144</v>
      </c>
      <c r="C194" t="s">
        <v>9</v>
      </c>
      <c r="D194" t="s">
        <v>10</v>
      </c>
      <c r="E194" s="35" t="str">
        <f>$F$111</f>
        <v>3000000</v>
      </c>
      <c r="F194" t="s">
        <v>11</v>
      </c>
      <c r="G194" t="s">
        <v>12</v>
      </c>
      <c r="H194" t="s">
        <v>13</v>
      </c>
      <c r="I194" t="s">
        <v>14</v>
      </c>
      <c r="W194" s="41" t="s">
        <v>168</v>
      </c>
      <c r="Y194" s="37" t="e">
        <f t="array" aca="1" ref="Y194" ca="1">_xll.DBRW($C$108,$C$113,$C$114,$C$116,$C$118,$G194,$C$119,$C$120,$I194,$C$86,$C194,$F194,$D194,$B194,$E194,$C$115,$H194,Y$137)</f>
        <v>#NAME?</v>
      </c>
      <c r="Z194" s="37" t="e">
        <f t="array" aca="1" ref="Z194" ca="1">_xll.DBRW($C$108,$C$113,$C$114,$C$116,$C$118,$G194,$C$119,$C$120,$I194,$C$86,$C194,$F194,$D194,$B194,$E194,$C$115,$H194,Z$137)</f>
        <v>#NAME?</v>
      </c>
      <c r="AA194" s="37" t="e">
        <f t="array" aca="1" ref="AA194" ca="1">_xll.DBRW($C$108,$C$113,$C$114,$C$116,$C$118,$G194,$C$119,$C$120,$I194,$C$86,$C194,$F194,$D194,$B194,$E194,$C$115,$H194,AA$137)</f>
        <v>#NAME?</v>
      </c>
      <c r="AB194" s="37" t="e">
        <f t="array" aca="1" ref="AB194" ca="1">_xll.DBRW($C$108,$C$113,$C$114,$C$116,$C$118,$G194,$C$119,$C$120,$I194,$C$86,$C194,$F194,$D194,$B194,$E194,$C$115,$H194,AB$137)</f>
        <v>#NAME?</v>
      </c>
      <c r="AC194" s="37" t="e">
        <f t="array" aca="1" ref="AC194" ca="1">_xll.DBRW($C$108,$C$113,$C$114,$C$116,$C$118,$G194,$C$119,$C$120,$I194,$C$86,$C194,$F194,$D194,$B194,$E194,$C$115,$H194,AC$137)</f>
        <v>#NAME?</v>
      </c>
      <c r="AD194" s="37" t="e">
        <f t="array" aca="1" ref="AD194" ca="1">_xll.DBRW($C$108,$C$113,$C$114,$C$116,$C$118,$G194,$C$119,$C$120,$I194,$C$86,$C194,$F194,$D194,$B194,$E194,$C$115,$H194,AD$137)</f>
        <v>#NAME?</v>
      </c>
      <c r="AE194" s="37" t="e">
        <f t="array" aca="1" ref="AE194" ca="1">_xll.DBRW($C$108,$C$113,$C$114,$C$116,$C$118,$G194,$C$119,$C$120,$I194,$C$86,$C194,$F194,$D194,$B194,$E194,$C$115,$H194,AE$137)</f>
        <v>#NAME?</v>
      </c>
      <c r="AF194" s="37" t="e">
        <f t="array" aca="1" ref="AF194" ca="1">_xll.DBRW($C$108,$C$113,$C$114,$C$116,$C$118,$G194,$C$119,$C$120,$I194,$C$86,$C194,$F194,$D194,$B194,$E194,$C$115,$H194,AF$137)</f>
        <v>#NAME?</v>
      </c>
      <c r="AG194" s="37" t="e">
        <f t="array" aca="1" ref="AG194" ca="1">_xll.DBRW($C$108,$C$113,$C$114,$C$116,$C$118,$G194,$C$119,$C$120,$I194,$C$86,$C194,$F194,$D194,$B194,$E194,$C$115,$H194,AG$137)</f>
        <v>#NAME?</v>
      </c>
      <c r="AH194" s="37" t="e">
        <f t="array" aca="1" ref="AH194" ca="1">_xll.DBRW($C$108,$C$113,$C$114,$C$116,$C$118,$G194,$C$119,$C$120,$I194,$C$86,$C194,$F194,$D194,$B194,$E194,$C$115,$H194,AH$137)</f>
        <v>#NAME?</v>
      </c>
      <c r="AI194" s="37" t="e">
        <f t="array" aca="1" ref="AI194" ca="1">_xll.DBRW($C$108,$C$113,$C$114,$C$116,$C$118,$G194,$C$119,$C$120,$I194,$C$86,$C194,$F194,$D194,$B194,$E194,$C$115,$H194,AI$137)</f>
        <v>#NAME?</v>
      </c>
      <c r="AJ194" s="37" t="e">
        <f t="array" aca="1" ref="AJ194" ca="1">_xll.DBRW($C$108,$C$113,$C$114,$C$116,$C$118,$G194,$C$119,$C$120,$I194,$C$86,$C194,$F194,$D194,$B194,$E194,$C$115,$H194,AJ$137)</f>
        <v>#NAME?</v>
      </c>
      <c r="AK194" s="37" t="e">
        <f t="array" aca="1" ref="AK194" ca="1">_xll.DBRW($C$108,$C$113,$C$114,$C$116,$C$118,$G194,$C$119,$C$120,$I194,$C$86,$C194,$F194,$D194,$B194,$E194,$C$115,$H194,AK$137)</f>
        <v>#NAME?</v>
      </c>
    </row>
    <row r="195" spans="1:37" x14ac:dyDescent="0.25">
      <c r="P195" s="39" t="s">
        <v>151</v>
      </c>
    </row>
    <row r="196" spans="1:37" x14ac:dyDescent="0.25">
      <c r="J196" s="35" t="s">
        <v>206</v>
      </c>
      <c r="P196" s="14" t="s">
        <v>143</v>
      </c>
      <c r="Q196" s="14" t="s">
        <v>80</v>
      </c>
      <c r="R196" s="14" t="s">
        <v>81</v>
      </c>
      <c r="S196" s="14" t="s">
        <v>82</v>
      </c>
      <c r="T196" s="14" t="s">
        <v>83</v>
      </c>
      <c r="U196" s="14" t="s">
        <v>95</v>
      </c>
      <c r="V196" s="14" t="s">
        <v>84</v>
      </c>
      <c r="W196" s="14" t="s">
        <v>96</v>
      </c>
      <c r="Y196" s="14" t="e">
        <f ca="1">Y$137</f>
        <v>#NAME?</v>
      </c>
      <c r="Z196" s="14" t="e">
        <f t="shared" ref="Z196:AK196" ca="1" si="6">Z$137</f>
        <v>#NAME?</v>
      </c>
      <c r="AA196" s="14" t="e">
        <f t="shared" ca="1" si="6"/>
        <v>#NAME?</v>
      </c>
      <c r="AB196" s="14" t="e">
        <f t="shared" ca="1" si="6"/>
        <v>#NAME?</v>
      </c>
      <c r="AC196" s="14" t="e">
        <f t="shared" ca="1" si="6"/>
        <v>#NAME?</v>
      </c>
      <c r="AD196" s="14" t="e">
        <f t="shared" ca="1" si="6"/>
        <v>#NAME?</v>
      </c>
      <c r="AE196" s="14" t="e">
        <f t="shared" ca="1" si="6"/>
        <v>#NAME?</v>
      </c>
      <c r="AF196" s="14" t="e">
        <f t="shared" ca="1" si="6"/>
        <v>#NAME?</v>
      </c>
      <c r="AG196" s="14" t="e">
        <f t="shared" ca="1" si="6"/>
        <v>#NAME?</v>
      </c>
      <c r="AH196" s="14" t="e">
        <f t="shared" ca="1" si="6"/>
        <v>#NAME?</v>
      </c>
      <c r="AI196" s="14" t="e">
        <f t="shared" ca="1" si="6"/>
        <v>#NAME?</v>
      </c>
      <c r="AJ196" s="14" t="e">
        <f t="shared" ca="1" si="6"/>
        <v>#NAME?</v>
      </c>
      <c r="AK196" s="14" t="e">
        <f t="shared" ca="1" si="6"/>
        <v>#NAME?</v>
      </c>
    </row>
    <row r="197" spans="1:37" x14ac:dyDescent="0.25">
      <c r="A197" s="3" t="e" cm="1">
        <f t="array" aca="1" ref="A197" ca="1">IF(_xll.TM1RPTELISCONSOLIDATED($I$197,$I197),IF(_xll.TM1RPTELLEV($I$197,$I197)&lt;=3,_xll.TM1RPTELLEV($I$197,$I197),"D"),"N")</f>
        <v>#NAME?</v>
      </c>
      <c r="B197" s="32" t="e">
        <f t="array" aca="1" ref="B197" ca="1">_xll.TM1RPTROW($G$110,db_name&amp;":programme","","","code and description",0,$C$130)</f>
        <v>#NAME?</v>
      </c>
      <c r="C197" s="33" t="e">
        <f t="array" aca="1" ref="C197" ca="1">_xll.TM1RPTROW($G$110,db_name&amp;":appropriation type","","","code and description",0,$C$131)</f>
        <v>#NAME?</v>
      </c>
      <c r="D197" s="33" t="e">
        <f t="array" aca="1" ref="D197" ca="1">_xll.TM1RPTROW($G$110,db_name&amp;":appropriation item","","","code and description",0,$C$132)</f>
        <v>#NAME?</v>
      </c>
      <c r="E197" s="33" t="e">
        <f t="array" aca="1" ref="E197" ca="1">_xll.TM1RPTROW($G$110,db_name&amp;":account","","","code and description",0,$G$112)</f>
        <v>#NAME?</v>
      </c>
      <c r="F197" s="33" t="e">
        <f t="array" aca="1" ref="F197" ca="1">_xll.TM1RPTROW($G$110,db_name&amp;":movement account","","","code and description",0,$C$133)</f>
        <v>#NAME?</v>
      </c>
      <c r="G197" s="33" t="e">
        <f t="array" aca="1" ref="G197" ca="1">_xll.TM1RPTROW($G$110,db_name&amp;":related entity","","","code and description",0,$C$134)</f>
        <v>#NAME?</v>
      </c>
      <c r="H197" s="33" t="e">
        <f t="array" aca="1" ref="H197" ca="1">_xll.TM1RPTROW($G$110,db_name&amp;":jurisdiction","","","description",0,$C$135)</f>
        <v>#NAME?</v>
      </c>
      <c r="I197" s="33" t="e">
        <f t="array" aca="1" ref="I197" ca="1">_xll.TM1RPTROW($G$110,db_name&amp;":spp","","","code and description",0,$C$136)</f>
        <v>#NAME?</v>
      </c>
      <c r="J197" s="22"/>
      <c r="K197" s="22" t="e" cm="1">
        <f t="array" aca="1" ref="K197" ca="1">IF($L197="",_xll.DBR($C$67,$E197,"DR/CR"),_xll.DBR($C$68,$F197,"DR/CR"))</f>
        <v>#NAME?</v>
      </c>
      <c r="L197" s="22" t="e" cm="1">
        <f t="array" aca="1" ref="L197" ca="1">_xll.DBR($C$67,$E197,L$176)</f>
        <v>#NAME?</v>
      </c>
      <c r="M197" s="22" t="e" cm="1">
        <f t="array" aca="1" ref="M197" ca="1">_xll.DBR($C$67,$E197,M$176)</f>
        <v>#NAME?</v>
      </c>
      <c r="N197" s="3"/>
      <c r="O197" s="3"/>
      <c r="P197" s="50" t="e">
        <f ca="1">$B197</f>
        <v>#NAME?</v>
      </c>
      <c r="Q197" s="50" t="e">
        <f ca="1">$E197</f>
        <v>#NAME?</v>
      </c>
      <c r="R197" s="50" t="e">
        <f ca="1">$F197</f>
        <v>#NAME?</v>
      </c>
      <c r="S197" s="51" t="e">
        <f ca="1">$G197</f>
        <v>#NAME?</v>
      </c>
      <c r="T197" s="52" t="e">
        <f ca="1">$H197</f>
        <v>#NAME?</v>
      </c>
      <c r="U197" s="50" t="e">
        <f ca="1">$D197</f>
        <v>#NAME?</v>
      </c>
      <c r="V197" s="52" t="e">
        <f ca="1">$I197</f>
        <v>#NAME?</v>
      </c>
      <c r="W197" s="52" t="e">
        <f ca="1">$K197</f>
        <v>#NAME?</v>
      </c>
      <c r="X197" s="3"/>
      <c r="Y197" s="36" t="e">
        <f t="array" aca="1" ref="Y197" ca="1">_xll.DBRW($G$110,$C$113,$C$114,$C$116,$C$118,$G197,$C$119,$C$120,$I197,$C$86,$C197,$F197,$D197,$B197,$E197,$C$115,$H197,Y$137)</f>
        <v>#NAME?</v>
      </c>
      <c r="Z197" s="36" t="e">
        <f t="array" aca="1" ref="Z197" ca="1">_xll.DBRW($G$110,$C$113,$C$114,$C$116,$C$118,$G197,$C$119,$C$120,$I197,$C$86,$C197,$F197,$D197,$B197,$E197,$C$115,$H197,Z$137)</f>
        <v>#NAME?</v>
      </c>
      <c r="AA197" s="36" t="e">
        <f t="array" aca="1" ref="AA197" ca="1">_xll.DBRW($G$110,$C$113,$C$114,$C$116,$C$118,$G197,$C$119,$C$120,$I197,$C$86,$C197,$F197,$D197,$B197,$E197,$C$115,$H197,AA$137)</f>
        <v>#NAME?</v>
      </c>
      <c r="AB197" s="36" t="e">
        <f t="array" aca="1" ref="AB197" ca="1">_xll.DBRW($G$110,$C$113,$C$114,$C$116,$C$118,$G197,$C$119,$C$120,$I197,$C$86,$C197,$F197,$D197,$B197,$E197,$C$115,$H197,AB$137)</f>
        <v>#NAME?</v>
      </c>
      <c r="AC197" s="36" t="e">
        <f t="array" aca="1" ref="AC197" ca="1">_xll.DBRW($G$110,$C$113,$C$114,$C$116,$C$118,$G197,$C$119,$C$120,$I197,$C$86,$C197,$F197,$D197,$B197,$E197,$C$115,$H197,AC$137)</f>
        <v>#NAME?</v>
      </c>
      <c r="AD197" s="36" t="e">
        <f t="array" aca="1" ref="AD197" ca="1">_xll.DBRW($G$110,$C$113,$C$114,$C$116,$C$118,$G197,$C$119,$C$120,$I197,$C$86,$C197,$F197,$D197,$B197,$E197,$C$115,$H197,AD$137)</f>
        <v>#NAME?</v>
      </c>
      <c r="AE197" s="36" t="e">
        <f t="array" aca="1" ref="AE197" ca="1">_xll.DBRW($G$110,$C$113,$C$114,$C$116,$C$118,$G197,$C$119,$C$120,$I197,$C$86,$C197,$F197,$D197,$B197,$E197,$C$115,$H197,AE$137)</f>
        <v>#NAME?</v>
      </c>
      <c r="AF197" s="36" t="e">
        <f t="array" aca="1" ref="AF197" ca="1">_xll.DBRW($G$110,$C$113,$C$114,$C$116,$C$118,$G197,$C$119,$C$120,$I197,$C$86,$C197,$F197,$D197,$B197,$E197,$C$115,$H197,AF$137)</f>
        <v>#NAME?</v>
      </c>
      <c r="AG197" s="36" t="e">
        <f t="array" aca="1" ref="AG197" ca="1">_xll.DBRW($G$110,$C$113,$C$114,$C$116,$C$118,$G197,$C$119,$C$120,$I197,$C$86,$C197,$F197,$D197,$B197,$E197,$C$115,$H197,AG$137)</f>
        <v>#NAME?</v>
      </c>
      <c r="AH197" s="36" t="e">
        <f t="array" aca="1" ref="AH197" ca="1">_xll.DBRW($G$110,$C$113,$C$114,$C$116,$C$118,$G197,$C$119,$C$120,$I197,$C$86,$C197,$F197,$D197,$B197,$E197,$C$115,$H197,AH$137)</f>
        <v>#NAME?</v>
      </c>
      <c r="AI197" s="36" t="e">
        <f t="array" aca="1" ref="AI197" ca="1">_xll.DBRW($G$110,$C$113,$C$114,$C$116,$C$118,$G197,$C$119,$C$120,$I197,$C$86,$C197,$F197,$D197,$B197,$E197,$C$115,$H197,AI$137)</f>
        <v>#NAME?</v>
      </c>
      <c r="AJ197" s="36" t="e">
        <f t="array" aca="1" ref="AJ197" ca="1">_xll.DBRW($G$110,$C$113,$C$114,$C$116,$C$118,$G197,$C$119,$C$120,$I197,$C$86,$C197,$F197,$D197,$B197,$E197,$C$115,$H197,AJ$137)</f>
        <v>#NAME?</v>
      </c>
      <c r="AK197" s="36" t="e">
        <f t="array" aca="1" ref="AK197" ca="1">_xll.DBRW($G$110,$C$113,$C$114,$C$116,$C$118,$G197,$C$119,$C$120,$I197,$C$86,$C197,$F197,$D197,$B197,$E197,$C$115,$H197,AK$137)</f>
        <v>#NAME?</v>
      </c>
    </row>
    <row r="198" spans="1:37" ht="5.0999999999999996" customHeight="1" x14ac:dyDescent="0.25"/>
    <row r="199" spans="1:37" x14ac:dyDescent="0.25">
      <c r="B199" t="s">
        <v>144</v>
      </c>
      <c r="C199" t="s">
        <v>9</v>
      </c>
      <c r="D199" t="s">
        <v>10</v>
      </c>
      <c r="E199" s="35" t="str">
        <f>$G$111</f>
        <v>4000000</v>
      </c>
      <c r="F199" t="s">
        <v>11</v>
      </c>
      <c r="G199" t="s">
        <v>12</v>
      </c>
      <c r="H199" t="s">
        <v>13</v>
      </c>
      <c r="I199" t="s">
        <v>14</v>
      </c>
      <c r="W199" s="41" t="s">
        <v>167</v>
      </c>
      <c r="Y199" s="37" t="e">
        <f t="array" aca="1" ref="Y199" ca="1">_xll.DBRW($C$108,$C$113,$C$114,$C$116,$C$118,$G199,$C$119,$C$120,$I199,$C$86,$C199,$F199,$D199,$B199,$E199,$C$115,$H199,Y$137)</f>
        <v>#NAME?</v>
      </c>
      <c r="Z199" s="37" t="e">
        <f t="array" aca="1" ref="Z199" ca="1">_xll.DBRW($C$108,$C$113,$C$114,$C$116,$C$118,$G199,$C$119,$C$120,$I199,$C$86,$C199,$F199,$D199,$B199,$E199,$C$115,$H199,Z$137)</f>
        <v>#NAME?</v>
      </c>
      <c r="AA199" s="37" t="e">
        <f t="array" aca="1" ref="AA199" ca="1">_xll.DBRW($C$108,$C$113,$C$114,$C$116,$C$118,$G199,$C$119,$C$120,$I199,$C$86,$C199,$F199,$D199,$B199,$E199,$C$115,$H199,AA$137)</f>
        <v>#NAME?</v>
      </c>
      <c r="AB199" s="37" t="e">
        <f t="array" aca="1" ref="AB199" ca="1">_xll.DBRW($C$108,$C$113,$C$114,$C$116,$C$118,$G199,$C$119,$C$120,$I199,$C$86,$C199,$F199,$D199,$B199,$E199,$C$115,$H199,AB$137)</f>
        <v>#NAME?</v>
      </c>
      <c r="AC199" s="37" t="e">
        <f t="array" aca="1" ref="AC199" ca="1">_xll.DBRW($C$108,$C$113,$C$114,$C$116,$C$118,$G199,$C$119,$C$120,$I199,$C$86,$C199,$F199,$D199,$B199,$E199,$C$115,$H199,AC$137)</f>
        <v>#NAME?</v>
      </c>
      <c r="AD199" s="37" t="e">
        <f t="array" aca="1" ref="AD199" ca="1">_xll.DBRW($C$108,$C$113,$C$114,$C$116,$C$118,$G199,$C$119,$C$120,$I199,$C$86,$C199,$F199,$D199,$B199,$E199,$C$115,$H199,AD$137)</f>
        <v>#NAME?</v>
      </c>
      <c r="AE199" s="37" t="e">
        <f t="array" aca="1" ref="AE199" ca="1">_xll.DBRW($C$108,$C$113,$C$114,$C$116,$C$118,$G199,$C$119,$C$120,$I199,$C$86,$C199,$F199,$D199,$B199,$E199,$C$115,$H199,AE$137)</f>
        <v>#NAME?</v>
      </c>
      <c r="AF199" s="37" t="e">
        <f t="array" aca="1" ref="AF199" ca="1">_xll.DBRW($C$108,$C$113,$C$114,$C$116,$C$118,$G199,$C$119,$C$120,$I199,$C$86,$C199,$F199,$D199,$B199,$E199,$C$115,$H199,AF$137)</f>
        <v>#NAME?</v>
      </c>
      <c r="AG199" s="37" t="e">
        <f t="array" aca="1" ref="AG199" ca="1">_xll.DBRW($C$108,$C$113,$C$114,$C$116,$C$118,$G199,$C$119,$C$120,$I199,$C$86,$C199,$F199,$D199,$B199,$E199,$C$115,$H199,AG$137)</f>
        <v>#NAME?</v>
      </c>
      <c r="AH199" s="37" t="e">
        <f t="array" aca="1" ref="AH199" ca="1">_xll.DBRW($C$108,$C$113,$C$114,$C$116,$C$118,$G199,$C$119,$C$120,$I199,$C$86,$C199,$F199,$D199,$B199,$E199,$C$115,$H199,AH$137)</f>
        <v>#NAME?</v>
      </c>
      <c r="AI199" s="37" t="e">
        <f t="array" aca="1" ref="AI199" ca="1">_xll.DBRW($C$108,$C$113,$C$114,$C$116,$C$118,$G199,$C$119,$C$120,$I199,$C$86,$C199,$F199,$D199,$B199,$E199,$C$115,$H199,AI$137)</f>
        <v>#NAME?</v>
      </c>
      <c r="AJ199" s="37" t="e">
        <f t="array" aca="1" ref="AJ199" ca="1">_xll.DBRW($C$108,$C$113,$C$114,$C$116,$C$118,$G199,$C$119,$C$120,$I199,$C$86,$C199,$F199,$D199,$B199,$E199,$C$115,$H199,AJ$137)</f>
        <v>#NAME?</v>
      </c>
      <c r="AK199" s="37" t="e">
        <f t="array" aca="1" ref="AK199" ca="1">_xll.DBRW($C$108,$C$113,$C$114,$C$116,$C$118,$G199,$C$119,$C$120,$I199,$C$86,$C199,$F199,$D199,$B199,$E199,$C$115,$H199,AK$137)</f>
        <v>#NAME?</v>
      </c>
    </row>
    <row r="200" spans="1:37" ht="5.0999999999999996" customHeight="1" x14ac:dyDescent="0.25"/>
    <row r="201" spans="1:37" x14ac:dyDescent="0.25">
      <c r="B201" t="s">
        <v>144</v>
      </c>
      <c r="C201" t="s">
        <v>9</v>
      </c>
      <c r="D201" t="s">
        <v>10</v>
      </c>
      <c r="E201" s="35" t="s">
        <v>110</v>
      </c>
      <c r="F201" t="s">
        <v>111</v>
      </c>
      <c r="G201" t="s">
        <v>12</v>
      </c>
      <c r="H201" t="s">
        <v>13</v>
      </c>
      <c r="I201" t="s">
        <v>14</v>
      </c>
      <c r="W201" s="34" t="s">
        <v>115</v>
      </c>
      <c r="Y201" s="37" t="e">
        <f ca="1">Y$150-Y$151</f>
        <v>#NAME?</v>
      </c>
      <c r="Z201" s="37" t="e">
        <f t="shared" ref="Z201:AK201" ca="1" si="7">Z$150-Z$151</f>
        <v>#NAME?</v>
      </c>
      <c r="AA201" s="37" t="e">
        <f t="shared" ca="1" si="7"/>
        <v>#NAME?</v>
      </c>
      <c r="AB201" s="37" t="e">
        <f t="shared" ca="1" si="7"/>
        <v>#NAME?</v>
      </c>
      <c r="AC201" s="37" t="e">
        <f t="shared" ca="1" si="7"/>
        <v>#NAME?</v>
      </c>
      <c r="AD201" s="37" t="e">
        <f t="shared" ca="1" si="7"/>
        <v>#NAME?</v>
      </c>
      <c r="AE201" s="37" t="e">
        <f t="shared" ca="1" si="7"/>
        <v>#NAME?</v>
      </c>
      <c r="AF201" s="37" t="e">
        <f t="shared" ca="1" si="7"/>
        <v>#NAME?</v>
      </c>
      <c r="AG201" s="37" t="e">
        <f t="shared" ca="1" si="7"/>
        <v>#NAME?</v>
      </c>
      <c r="AH201" s="37" t="e">
        <f t="shared" ca="1" si="7"/>
        <v>#NAME?</v>
      </c>
      <c r="AI201" s="37" t="e">
        <f t="shared" ca="1" si="7"/>
        <v>#NAME?</v>
      </c>
      <c r="AJ201" s="37" t="e">
        <f t="shared" ca="1" si="7"/>
        <v>#NAME?</v>
      </c>
      <c r="AK201" s="37" t="e">
        <f t="shared" ca="1" si="7"/>
        <v>#NAME?</v>
      </c>
    </row>
    <row r="202" spans="1:37" x14ac:dyDescent="0.25">
      <c r="P202" s="39" t="s">
        <v>152</v>
      </c>
    </row>
    <row r="203" spans="1:37" x14ac:dyDescent="0.25">
      <c r="J203" s="35" t="s">
        <v>207</v>
      </c>
      <c r="P203" s="14" t="s">
        <v>143</v>
      </c>
      <c r="Q203" s="14" t="s">
        <v>80</v>
      </c>
      <c r="R203" s="14" t="s">
        <v>81</v>
      </c>
      <c r="S203" s="14" t="s">
        <v>82</v>
      </c>
      <c r="T203" s="14" t="s">
        <v>83</v>
      </c>
      <c r="U203" s="14" t="s">
        <v>95</v>
      </c>
      <c r="V203" s="14" t="s">
        <v>84</v>
      </c>
      <c r="W203" s="14" t="s">
        <v>96</v>
      </c>
      <c r="Y203" s="14" t="e">
        <f ca="1">Y$137</f>
        <v>#NAME?</v>
      </c>
      <c r="Z203" s="14" t="e">
        <f t="shared" ref="Z203:AK203" ca="1" si="8">Z$137</f>
        <v>#NAME?</v>
      </c>
      <c r="AA203" s="14" t="e">
        <f t="shared" ca="1" si="8"/>
        <v>#NAME?</v>
      </c>
      <c r="AB203" s="14" t="e">
        <f t="shared" ca="1" si="8"/>
        <v>#NAME?</v>
      </c>
      <c r="AC203" s="14" t="e">
        <f t="shared" ca="1" si="8"/>
        <v>#NAME?</v>
      </c>
      <c r="AD203" s="14" t="e">
        <f t="shared" ca="1" si="8"/>
        <v>#NAME?</v>
      </c>
      <c r="AE203" s="14" t="e">
        <f t="shared" ca="1" si="8"/>
        <v>#NAME?</v>
      </c>
      <c r="AF203" s="14" t="e">
        <f t="shared" ca="1" si="8"/>
        <v>#NAME?</v>
      </c>
      <c r="AG203" s="14" t="e">
        <f t="shared" ca="1" si="8"/>
        <v>#NAME?</v>
      </c>
      <c r="AH203" s="14" t="e">
        <f t="shared" ca="1" si="8"/>
        <v>#NAME?</v>
      </c>
      <c r="AI203" s="14" t="e">
        <f t="shared" ca="1" si="8"/>
        <v>#NAME?</v>
      </c>
      <c r="AJ203" s="14" t="e">
        <f t="shared" ca="1" si="8"/>
        <v>#NAME?</v>
      </c>
      <c r="AK203" s="14" t="e">
        <f t="shared" ca="1" si="8"/>
        <v>#NAME?</v>
      </c>
    </row>
    <row r="204" spans="1:37" x14ac:dyDescent="0.25">
      <c r="A204" s="3" t="e" cm="1">
        <f t="array" aca="1" ref="A204" ca="1">IF(_xll.TM1RPTELISCONSOLIDATED($I$204,$I204),IF(_xll.TM1RPTELLEV($I$204,$I204)&lt;=3,_xll.TM1RPTELLEV($I$204,$I204),"D"),"N")</f>
        <v>#NAME?</v>
      </c>
      <c r="B204" s="32" t="e">
        <f t="array" aca="1" ref="B204" ca="1">_xll.TM1RPTROW($H$110,db_name&amp;":programme","","","code and description",0,$C$130)</f>
        <v>#NAME?</v>
      </c>
      <c r="C204" s="33" t="e">
        <f t="array" aca="1" ref="C204" ca="1">_xll.TM1RPTROW($H$110,db_name&amp;":appropriation type","","","code and description",0,$C$131)</f>
        <v>#NAME?</v>
      </c>
      <c r="D204" s="33" t="e">
        <f t="array" aca="1" ref="D204" ca="1">_xll.TM1RPTROW($H$110,db_name&amp;":appropriation item","","","code and description",0,$C$132)</f>
        <v>#NAME?</v>
      </c>
      <c r="E204" s="33" t="e">
        <f t="array" aca="1" ref="E204" ca="1">_xll.TM1RPTROW($H$110,db_name&amp;":account","","","code and description",0,$H$112)</f>
        <v>#NAME?</v>
      </c>
      <c r="F204" s="33" t="e">
        <f t="array" aca="1" ref="F204" ca="1">_xll.TM1RPTROW($H$110,db_name&amp;":movement account","","","code and description",0,$C$133)</f>
        <v>#NAME?</v>
      </c>
      <c r="G204" s="33" t="e">
        <f t="array" aca="1" ref="G204" ca="1">_xll.TM1RPTROW($H$110,db_name&amp;":related entity","","","code and description",0,$C$134)</f>
        <v>#NAME?</v>
      </c>
      <c r="H204" s="33" t="e">
        <f t="array" aca="1" ref="H204" ca="1">_xll.TM1RPTROW($H$110,db_name&amp;":jurisdiction","","","description",0,$C$135)</f>
        <v>#NAME?</v>
      </c>
      <c r="I204" s="33" t="e">
        <f t="array" aca="1" ref="I204" ca="1">_xll.TM1RPTROW($H$110,db_name&amp;":spp","","","code and description",0,$C$136)</f>
        <v>#NAME?</v>
      </c>
      <c r="J204" s="22"/>
      <c r="K204" s="22" t="e" cm="1">
        <f t="array" aca="1" ref="K204" ca="1">IF($L204="",_xll.DBR($C$67,$E204,"DR/CR"),_xll.DBR($C$68,$F204,"DR/CR"))</f>
        <v>#NAME?</v>
      </c>
      <c r="L204" s="22" t="e" cm="1">
        <f t="array" aca="1" ref="L204" ca="1">_xll.DBR($C$67,$E204,L$176)</f>
        <v>#NAME?</v>
      </c>
      <c r="M204" s="22" t="e" cm="1">
        <f t="array" aca="1" ref="M204" ca="1">_xll.DBR($C$67,$E204,M$176)</f>
        <v>#NAME?</v>
      </c>
      <c r="N204" s="3"/>
      <c r="O204" s="3"/>
      <c r="P204" s="50" t="e">
        <f ca="1">$B204</f>
        <v>#NAME?</v>
      </c>
      <c r="Q204" s="50" t="e">
        <f ca="1">$E204</f>
        <v>#NAME?</v>
      </c>
      <c r="R204" s="50" t="e">
        <f ca="1">$F204</f>
        <v>#NAME?</v>
      </c>
      <c r="S204" s="51" t="e">
        <f ca="1">$G204</f>
        <v>#NAME?</v>
      </c>
      <c r="T204" s="52" t="e">
        <f ca="1">$H204</f>
        <v>#NAME?</v>
      </c>
      <c r="U204" s="50" t="e">
        <f ca="1">$D204</f>
        <v>#NAME?</v>
      </c>
      <c r="V204" s="52" t="e">
        <f ca="1">$I204</f>
        <v>#NAME?</v>
      </c>
      <c r="W204" s="52" t="e">
        <f ca="1">$K204</f>
        <v>#NAME?</v>
      </c>
      <c r="X204" s="3"/>
      <c r="Y204" s="36" t="e">
        <f t="array" aca="1" ref="Y204" ca="1">_xll.DBRW($H$110,$C$113,$C$114,$C$116,$C$118,$G204,$C$119,$C$120,$I204,$C$86,$C204,$F204,$D204,$B204,$E204,$C$115,$H204,Y$137)</f>
        <v>#NAME?</v>
      </c>
      <c r="Z204" s="36" t="e">
        <f t="array" aca="1" ref="Z204" ca="1">_xll.DBRW($H$110,$C$113,$C$114,$C$116,$C$118,$G204,$C$119,$C$120,$I204,$C$86,$C204,$F204,$D204,$B204,$E204,$C$115,$H204,Z$137)</f>
        <v>#NAME?</v>
      </c>
      <c r="AA204" s="36" t="e">
        <f t="array" aca="1" ref="AA204" ca="1">_xll.DBRW($H$110,$C$113,$C$114,$C$116,$C$118,$G204,$C$119,$C$120,$I204,$C$86,$C204,$F204,$D204,$B204,$E204,$C$115,$H204,AA$137)</f>
        <v>#NAME?</v>
      </c>
      <c r="AB204" s="36" t="e">
        <f t="array" aca="1" ref="AB204" ca="1">_xll.DBRW($H$110,$C$113,$C$114,$C$116,$C$118,$G204,$C$119,$C$120,$I204,$C$86,$C204,$F204,$D204,$B204,$E204,$C$115,$H204,AB$137)</f>
        <v>#NAME?</v>
      </c>
      <c r="AC204" s="36" t="e">
        <f t="array" aca="1" ref="AC204" ca="1">_xll.DBRW($H$110,$C$113,$C$114,$C$116,$C$118,$G204,$C$119,$C$120,$I204,$C$86,$C204,$F204,$D204,$B204,$E204,$C$115,$H204,AC$137)</f>
        <v>#NAME?</v>
      </c>
      <c r="AD204" s="36" t="e">
        <f t="array" aca="1" ref="AD204" ca="1">_xll.DBRW($H$110,$C$113,$C$114,$C$116,$C$118,$G204,$C$119,$C$120,$I204,$C$86,$C204,$F204,$D204,$B204,$E204,$C$115,$H204,AD$137)</f>
        <v>#NAME?</v>
      </c>
      <c r="AE204" s="36" t="e">
        <f t="array" aca="1" ref="AE204" ca="1">_xll.DBRW($H$110,$C$113,$C$114,$C$116,$C$118,$G204,$C$119,$C$120,$I204,$C$86,$C204,$F204,$D204,$B204,$E204,$C$115,$H204,AE$137)</f>
        <v>#NAME?</v>
      </c>
      <c r="AF204" s="36" t="e">
        <f t="array" aca="1" ref="AF204" ca="1">_xll.DBRW($H$110,$C$113,$C$114,$C$116,$C$118,$G204,$C$119,$C$120,$I204,$C$86,$C204,$F204,$D204,$B204,$E204,$C$115,$H204,AF$137)</f>
        <v>#NAME?</v>
      </c>
      <c r="AG204" s="36" t="e">
        <f t="array" aca="1" ref="AG204" ca="1">_xll.DBRW($H$110,$C$113,$C$114,$C$116,$C$118,$G204,$C$119,$C$120,$I204,$C$86,$C204,$F204,$D204,$B204,$E204,$C$115,$H204,AG$137)</f>
        <v>#NAME?</v>
      </c>
      <c r="AH204" s="36" t="e">
        <f t="array" aca="1" ref="AH204" ca="1">_xll.DBRW($H$110,$C$113,$C$114,$C$116,$C$118,$G204,$C$119,$C$120,$I204,$C$86,$C204,$F204,$D204,$B204,$E204,$C$115,$H204,AH$137)</f>
        <v>#NAME?</v>
      </c>
      <c r="AI204" s="36" t="e">
        <f t="array" aca="1" ref="AI204" ca="1">_xll.DBRW($H$110,$C$113,$C$114,$C$116,$C$118,$G204,$C$119,$C$120,$I204,$C$86,$C204,$F204,$D204,$B204,$E204,$C$115,$H204,AI$137)</f>
        <v>#NAME?</v>
      </c>
      <c r="AJ204" s="36" t="e">
        <f t="array" aca="1" ref="AJ204" ca="1">_xll.DBRW($H$110,$C$113,$C$114,$C$116,$C$118,$G204,$C$119,$C$120,$I204,$C$86,$C204,$F204,$D204,$B204,$E204,$C$115,$H204,AJ$137)</f>
        <v>#NAME?</v>
      </c>
      <c r="AK204" s="36" t="e">
        <f t="array" aca="1" ref="AK204" ca="1">_xll.DBRW($H$110,$C$113,$C$114,$C$116,$C$118,$G204,$C$119,$C$120,$I204,$C$86,$C204,$F204,$D204,$B204,$E204,$C$115,$H204,AK$137)</f>
        <v>#NAME?</v>
      </c>
    </row>
    <row r="205" spans="1:37" ht="5.0999999999999996" customHeight="1" x14ac:dyDescent="0.25">
      <c r="W205" s="38"/>
    </row>
    <row r="206" spans="1:37" x14ac:dyDescent="0.25">
      <c r="B206" t="s">
        <v>144</v>
      </c>
      <c r="C206" t="s">
        <v>9</v>
      </c>
      <c r="D206" t="s">
        <v>10</v>
      </c>
      <c r="E206" s="35" t="s">
        <v>114</v>
      </c>
      <c r="F206" t="s">
        <v>11</v>
      </c>
      <c r="G206" t="s">
        <v>12</v>
      </c>
      <c r="H206" t="s">
        <v>13</v>
      </c>
      <c r="I206" t="s">
        <v>14</v>
      </c>
      <c r="W206" s="41" t="s">
        <v>166</v>
      </c>
      <c r="Y206" s="37" t="e">
        <f t="array" aca="1" ref="Y206" ca="1">_xll.DBRW($C$108,$C$113,$C$114,$C$116,$C$118,$G206,$C$119,$C$120,$I206,$C$86,$C206,$F206,$D206,$B206,$E206,$C$115,$H206,Y$137)</f>
        <v>#NAME?</v>
      </c>
      <c r="Z206" s="37" t="e">
        <f t="array" aca="1" ref="Z206" ca="1">_xll.DBRW($C$108,$C$113,$C$114,$C$116,$C$118,$G206,$C$119,$C$120,$I206,$C$86,$C206,$F206,$D206,$B206,$E206,$C$115,$H206,Z$137)</f>
        <v>#NAME?</v>
      </c>
      <c r="AA206" s="37" t="e">
        <f t="array" aca="1" ref="AA206" ca="1">_xll.DBRW($C$108,$C$113,$C$114,$C$116,$C$118,$G206,$C$119,$C$120,$I206,$C$86,$C206,$F206,$D206,$B206,$E206,$C$115,$H206,AA$137)</f>
        <v>#NAME?</v>
      </c>
      <c r="AB206" s="37" t="e">
        <f t="array" aca="1" ref="AB206" ca="1">_xll.DBRW($C$108,$C$113,$C$114,$C$116,$C$118,$G206,$C$119,$C$120,$I206,$C$86,$C206,$F206,$D206,$B206,$E206,$C$115,$H206,AB$137)</f>
        <v>#NAME?</v>
      </c>
      <c r="AC206" s="37" t="e">
        <f t="array" aca="1" ref="AC206" ca="1">_xll.DBRW($C$108,$C$113,$C$114,$C$116,$C$118,$G206,$C$119,$C$120,$I206,$C$86,$C206,$F206,$D206,$B206,$E206,$C$115,$H206,AC$137)</f>
        <v>#NAME?</v>
      </c>
      <c r="AD206" s="37" t="e">
        <f t="array" aca="1" ref="AD206" ca="1">_xll.DBRW($C$108,$C$113,$C$114,$C$116,$C$118,$G206,$C$119,$C$120,$I206,$C$86,$C206,$F206,$D206,$B206,$E206,$C$115,$H206,AD$137)</f>
        <v>#NAME?</v>
      </c>
      <c r="AE206" s="37" t="e">
        <f t="array" aca="1" ref="AE206" ca="1">_xll.DBRW($C$108,$C$113,$C$114,$C$116,$C$118,$G206,$C$119,$C$120,$I206,$C$86,$C206,$F206,$D206,$B206,$E206,$C$115,$H206,AE$137)</f>
        <v>#NAME?</v>
      </c>
      <c r="AF206" s="37" t="e">
        <f t="array" aca="1" ref="AF206" ca="1">_xll.DBRW($C$108,$C$113,$C$114,$C$116,$C$118,$G206,$C$119,$C$120,$I206,$C$86,$C206,$F206,$D206,$B206,$E206,$C$115,$H206,AF$137)</f>
        <v>#NAME?</v>
      </c>
      <c r="AG206" s="37" t="e">
        <f t="array" aca="1" ref="AG206" ca="1">_xll.DBRW($C$108,$C$113,$C$114,$C$116,$C$118,$G206,$C$119,$C$120,$I206,$C$86,$C206,$F206,$D206,$B206,$E206,$C$115,$H206,AG$137)</f>
        <v>#NAME?</v>
      </c>
      <c r="AH206" s="37" t="e">
        <f t="array" aca="1" ref="AH206" ca="1">_xll.DBRW($C$108,$C$113,$C$114,$C$116,$C$118,$G206,$C$119,$C$120,$I206,$C$86,$C206,$F206,$D206,$B206,$E206,$C$115,$H206,AH$137)</f>
        <v>#NAME?</v>
      </c>
      <c r="AI206" s="37" t="e">
        <f t="array" aca="1" ref="AI206" ca="1">_xll.DBRW($C$108,$C$113,$C$114,$C$116,$C$118,$G206,$C$119,$C$120,$I206,$C$86,$C206,$F206,$D206,$B206,$E206,$C$115,$H206,AI$137)</f>
        <v>#NAME?</v>
      </c>
      <c r="AJ206" s="37" t="e">
        <f t="array" aca="1" ref="AJ206" ca="1">_xll.DBRW($C$108,$C$113,$C$114,$C$116,$C$118,$G206,$C$119,$C$120,$I206,$C$86,$C206,$F206,$D206,$B206,$E206,$C$115,$H206,AJ$137)</f>
        <v>#NAME?</v>
      </c>
      <c r="AK206" s="37" t="e">
        <f t="array" aca="1" ref="AK206" ca="1">_xll.DBRW($C$108,$C$113,$C$114,$C$116,$C$118,$G206,$C$119,$C$120,$I206,$C$86,$C206,$F206,$D206,$B206,$E206,$C$115,$H206,AK$137)</f>
        <v>#NAME?</v>
      </c>
    </row>
    <row r="207" spans="1:37" x14ac:dyDescent="0.25">
      <c r="J207" s="35" t="s">
        <v>208</v>
      </c>
      <c r="P207" s="39" t="s">
        <v>172</v>
      </c>
    </row>
    <row r="208" spans="1:37" x14ac:dyDescent="0.25">
      <c r="J208" s="35"/>
      <c r="P208" s="14" t="s">
        <v>143</v>
      </c>
      <c r="Q208" s="14" t="s">
        <v>80</v>
      </c>
      <c r="R208" s="14" t="s">
        <v>81</v>
      </c>
      <c r="S208" s="14" t="s">
        <v>82</v>
      </c>
      <c r="T208" s="14" t="s">
        <v>83</v>
      </c>
      <c r="U208" s="14" t="s">
        <v>95</v>
      </c>
      <c r="V208" s="14" t="s">
        <v>84</v>
      </c>
      <c r="W208" s="14" t="s">
        <v>96</v>
      </c>
      <c r="Y208" s="14" t="e">
        <f ca="1">Y$137</f>
        <v>#NAME?</v>
      </c>
      <c r="Z208" s="14" t="e">
        <f t="shared" ref="Z208:AK208" ca="1" si="9">Z$137</f>
        <v>#NAME?</v>
      </c>
      <c r="AA208" s="14" t="e">
        <f t="shared" ca="1" si="9"/>
        <v>#NAME?</v>
      </c>
      <c r="AB208" s="14" t="e">
        <f t="shared" ca="1" si="9"/>
        <v>#NAME?</v>
      </c>
      <c r="AC208" s="14" t="e">
        <f t="shared" ca="1" si="9"/>
        <v>#NAME?</v>
      </c>
      <c r="AD208" s="14" t="e">
        <f t="shared" ca="1" si="9"/>
        <v>#NAME?</v>
      </c>
      <c r="AE208" s="14" t="e">
        <f t="shared" ca="1" si="9"/>
        <v>#NAME?</v>
      </c>
      <c r="AF208" s="14" t="e">
        <f t="shared" ca="1" si="9"/>
        <v>#NAME?</v>
      </c>
      <c r="AG208" s="14" t="e">
        <f t="shared" ca="1" si="9"/>
        <v>#NAME?</v>
      </c>
      <c r="AH208" s="14" t="e">
        <f t="shared" ca="1" si="9"/>
        <v>#NAME?</v>
      </c>
      <c r="AI208" s="14" t="e">
        <f t="shared" ca="1" si="9"/>
        <v>#NAME?</v>
      </c>
      <c r="AJ208" s="14" t="e">
        <f t="shared" ca="1" si="9"/>
        <v>#NAME?</v>
      </c>
      <c r="AK208" s="14" t="e">
        <f t="shared" ca="1" si="9"/>
        <v>#NAME?</v>
      </c>
    </row>
    <row r="209" spans="1:37" x14ac:dyDescent="0.25">
      <c r="A209" s="3" t="e" cm="1">
        <f t="array" aca="1" ref="A209" ca="1">IF(_xll.TM1RPTELISCONSOLIDATED($I$209,$I209),IF(_xll.TM1RPTELLEV($I$209,$I209)&lt;=3,_xll.TM1RPTELLEV($I$209,$I209),"D"),"N")</f>
        <v>#NAME?</v>
      </c>
      <c r="B209" s="32" t="e">
        <f t="array" aca="1" ref="B209" ca="1">_xll.TM1RPTROW($I$110,db_name&amp;":programme","","","code and description",0,$C$130)</f>
        <v>#NAME?</v>
      </c>
      <c r="C209" s="33" t="e">
        <f t="array" aca="1" ref="C209" ca="1">_xll.TM1RPTROW($I$110,db_name&amp;":appropriation type","","","code and description",0,$C$131)</f>
        <v>#NAME?</v>
      </c>
      <c r="D209" s="33" t="e">
        <f t="array" aca="1" ref="D209" ca="1">_xll.TM1RPTROW($I$110,db_name&amp;":appropriation item","","","code and description",0,$C$132)</f>
        <v>#NAME?</v>
      </c>
      <c r="E209" s="22" t="e">
        <f t="array" aca="1" ref="E209" ca="1">_xll.TM1RPTROW($I$110,db_name&amp;":account","","","code and description",0,$I$112)</f>
        <v>#NAME?</v>
      </c>
      <c r="F209" s="33" t="e">
        <f t="array" aca="1" ref="F209" ca="1">_xll.TM1RPTROW($I$110,db_name&amp;":movement account","","","code and description",0,$C$133)</f>
        <v>#NAME?</v>
      </c>
      <c r="G209" s="33" t="e">
        <f t="array" aca="1" ref="G209" ca="1">_xll.TM1RPTROW($I$110,db_name&amp;":related entity","","","code and description",0,$C$134)</f>
        <v>#NAME?</v>
      </c>
      <c r="H209" s="33" t="e">
        <f t="array" aca="1" ref="H209" ca="1">_xll.TM1RPTROW($I$110,db_name&amp;":jurisdiction","","","description",0,$C$135)</f>
        <v>#NAME?</v>
      </c>
      <c r="I209" s="33" t="e">
        <f t="array" aca="1" ref="I209" ca="1">_xll.TM1RPTROW($I$110,db_name&amp;":spp","","","code and description",0,$C$136)</f>
        <v>#NAME?</v>
      </c>
      <c r="J209" s="22"/>
      <c r="K209" s="22" t="e" cm="1">
        <f t="array" aca="1" ref="K209" ca="1">IF($L209="",_xll.DBR($C$67,$E209,"DR/CR"),_xll.DBR($C$68,$F209,"DR/CR"))</f>
        <v>#NAME?</v>
      </c>
      <c r="L209" s="22" t="e" cm="1">
        <f t="array" aca="1" ref="L209" ca="1">_xll.DBR($C$67,$E209,L$176)</f>
        <v>#NAME?</v>
      </c>
      <c r="M209" s="22" t="e" cm="1">
        <f t="array" aca="1" ref="M209" ca="1">_xll.DBR($C$67,$E209,M$176)</f>
        <v>#NAME?</v>
      </c>
      <c r="N209" s="3"/>
      <c r="O209" s="3"/>
      <c r="P209" s="50" t="e">
        <f ca="1">$B209</f>
        <v>#NAME?</v>
      </c>
      <c r="Q209" s="23" t="e">
        <f t="shared" ref="Q209" ca="1" si="10">$E209</f>
        <v>#NAME?</v>
      </c>
      <c r="R209" s="23" t="e">
        <f t="shared" ref="R209" ca="1" si="11">$F209</f>
        <v>#NAME?</v>
      </c>
      <c r="S209" s="24" t="e">
        <f t="shared" ref="S209" ca="1" si="12">$G209</f>
        <v>#NAME?</v>
      </c>
      <c r="T209" s="25" t="e">
        <f t="shared" ref="T209" ca="1" si="13">$H209</f>
        <v>#NAME?</v>
      </c>
      <c r="U209" s="23" t="e">
        <f t="shared" ref="U209" ca="1" si="14">$D209</f>
        <v>#NAME?</v>
      </c>
      <c r="V209" s="25" t="e">
        <f t="shared" ref="V209" ca="1" si="15">$I209</f>
        <v>#NAME?</v>
      </c>
      <c r="W209" s="25" t="e">
        <f t="shared" ref="W209" ca="1" si="16">$K209</f>
        <v>#NAME?</v>
      </c>
      <c r="X209" s="3"/>
      <c r="Y209" s="36" t="e">
        <f t="array" aca="1" ref="Y209" ca="1">_xll.DBRW($I$110,$C$113,$C$114,$C$116,$C$118,$G209,$C$119,$C$120,$I209,$C$86,$C209,$F209,$D209,$B209,$E209,$C$115,$H209,Y$137)</f>
        <v>#NAME?</v>
      </c>
      <c r="Z209" s="36" t="e">
        <f t="array" aca="1" ref="Z209" ca="1">_xll.DBRW($I$110,$C$113,$C$114,$C$116,$C$118,$G209,$C$119,$C$120,$I209,$C$86,$C209,$F209,$D209,$B209,$E209,$C$115,$H209,Z$137)</f>
        <v>#NAME?</v>
      </c>
      <c r="AA209" s="36" t="e">
        <f t="array" aca="1" ref="AA209" ca="1">_xll.DBRW($I$110,$C$113,$C$114,$C$116,$C$118,$G209,$C$119,$C$120,$I209,$C$86,$C209,$F209,$D209,$B209,$E209,$C$115,$H209,AA$137)</f>
        <v>#NAME?</v>
      </c>
      <c r="AB209" s="36" t="e">
        <f t="array" aca="1" ref="AB209" ca="1">_xll.DBRW($I$110,$C$113,$C$114,$C$116,$C$118,$G209,$C$119,$C$120,$I209,$C$86,$C209,$F209,$D209,$B209,$E209,$C$115,$H209,AB$137)</f>
        <v>#NAME?</v>
      </c>
      <c r="AC209" s="36" t="e">
        <f t="array" aca="1" ref="AC209" ca="1">_xll.DBRW($I$110,$C$113,$C$114,$C$116,$C$118,$G209,$C$119,$C$120,$I209,$C$86,$C209,$F209,$D209,$B209,$E209,$C$115,$H209,AC$137)</f>
        <v>#NAME?</v>
      </c>
      <c r="AD209" s="36" t="e">
        <f t="array" aca="1" ref="AD209" ca="1">_xll.DBRW($I$110,$C$113,$C$114,$C$116,$C$118,$G209,$C$119,$C$120,$I209,$C$86,$C209,$F209,$D209,$B209,$E209,$C$115,$H209,AD$137)</f>
        <v>#NAME?</v>
      </c>
      <c r="AE209" s="36" t="e">
        <f t="array" aca="1" ref="AE209" ca="1">_xll.DBRW($I$110,$C$113,$C$114,$C$116,$C$118,$G209,$C$119,$C$120,$I209,$C$86,$C209,$F209,$D209,$B209,$E209,$C$115,$H209,AE$137)</f>
        <v>#NAME?</v>
      </c>
      <c r="AF209" s="36" t="e">
        <f t="array" aca="1" ref="AF209" ca="1">_xll.DBRW($I$110,$C$113,$C$114,$C$116,$C$118,$G209,$C$119,$C$120,$I209,$C$86,$C209,$F209,$D209,$B209,$E209,$C$115,$H209,AF$137)</f>
        <v>#NAME?</v>
      </c>
      <c r="AG209" s="36" t="e">
        <f t="array" aca="1" ref="AG209" ca="1">_xll.DBRW($I$110,$C$113,$C$114,$C$116,$C$118,$G209,$C$119,$C$120,$I209,$C$86,$C209,$F209,$D209,$B209,$E209,$C$115,$H209,AG$137)</f>
        <v>#NAME?</v>
      </c>
      <c r="AH209" s="36" t="e">
        <f t="array" aca="1" ref="AH209" ca="1">_xll.DBRW($I$110,$C$113,$C$114,$C$116,$C$118,$G209,$C$119,$C$120,$I209,$C$86,$C209,$F209,$D209,$B209,$E209,$C$115,$H209,AH$137)</f>
        <v>#NAME?</v>
      </c>
      <c r="AI209" s="36" t="e">
        <f t="array" aca="1" ref="AI209" ca="1">_xll.DBRW($I$110,$C$113,$C$114,$C$116,$C$118,$G209,$C$119,$C$120,$I209,$C$86,$C209,$F209,$D209,$B209,$E209,$C$115,$H209,AI$137)</f>
        <v>#NAME?</v>
      </c>
      <c r="AJ209" s="36" t="e">
        <f t="array" aca="1" ref="AJ209" ca="1">_xll.DBRW($I$110,$C$113,$C$114,$C$116,$C$118,$G209,$C$119,$C$120,$I209,$C$86,$C209,$F209,$D209,$B209,$E209,$C$115,$H209,AJ$137)</f>
        <v>#NAME?</v>
      </c>
      <c r="AK209" s="36" t="e">
        <f t="array" aca="1" ref="AK209" ca="1">_xll.DBRW($I$110,$C$113,$C$114,$C$116,$C$118,$G209,$C$119,$C$120,$I209,$C$86,$C209,$F209,$D209,$B209,$E209,$C$115,$H209,AK$137)</f>
        <v>#NAME?</v>
      </c>
    </row>
    <row r="210" spans="1:37" ht="5.0999999999999996" customHeight="1" x14ac:dyDescent="0.25"/>
    <row r="211" spans="1:37" x14ac:dyDescent="0.25">
      <c r="B211" t="s">
        <v>144</v>
      </c>
      <c r="C211" t="s">
        <v>9</v>
      </c>
      <c r="D211" t="s">
        <v>10</v>
      </c>
      <c r="E211" s="35" t="str">
        <f>$I$111</f>
        <v>9000020</v>
      </c>
      <c r="F211" t="s">
        <v>11</v>
      </c>
      <c r="G211" t="s">
        <v>12</v>
      </c>
      <c r="H211" t="s">
        <v>13</v>
      </c>
      <c r="I211" t="s">
        <v>14</v>
      </c>
      <c r="W211" s="41" t="s">
        <v>174</v>
      </c>
      <c r="Y211" s="37" t="e">
        <f t="array" aca="1" ref="Y211" ca="1">_xll.DBRW($C$108,$C$113,$C$114,$C$116,$C$118,$G211,$C$119,$C$120,$I211,$C$86,$C211,$F211,$D211,$B211,$E211,$C$115,$H211,Y$137)</f>
        <v>#NAME?</v>
      </c>
      <c r="Z211" s="37" t="e">
        <f t="array" aca="1" ref="Z211" ca="1">_xll.DBRW($C$108,$C$113,$C$114,$C$116,$C$118,$G211,$C$119,$C$120,$I211,$C$86,$C211,$F211,$D211,$B211,$E211,$C$115,$H211,Z$137)</f>
        <v>#NAME?</v>
      </c>
      <c r="AA211" s="37" t="e">
        <f t="array" aca="1" ref="AA211" ca="1">_xll.DBRW($C$108,$C$113,$C$114,$C$116,$C$118,$G211,$C$119,$C$120,$I211,$C$86,$C211,$F211,$D211,$B211,$E211,$C$115,$H211,AA$137)</f>
        <v>#NAME?</v>
      </c>
      <c r="AB211" s="37" t="e">
        <f t="array" aca="1" ref="AB211" ca="1">_xll.DBRW($C$108,$C$113,$C$114,$C$116,$C$118,$G211,$C$119,$C$120,$I211,$C$86,$C211,$F211,$D211,$B211,$E211,$C$115,$H211,AB$137)</f>
        <v>#NAME?</v>
      </c>
      <c r="AC211" s="37" t="e">
        <f t="array" aca="1" ref="AC211" ca="1">_xll.DBRW($C$108,$C$113,$C$114,$C$116,$C$118,$G211,$C$119,$C$120,$I211,$C$86,$C211,$F211,$D211,$B211,$E211,$C$115,$H211,AC$137)</f>
        <v>#NAME?</v>
      </c>
      <c r="AD211" s="37" t="e">
        <f t="array" aca="1" ref="AD211" ca="1">_xll.DBRW($C$108,$C$113,$C$114,$C$116,$C$118,$G211,$C$119,$C$120,$I211,$C$86,$C211,$F211,$D211,$B211,$E211,$C$115,$H211,AD$137)</f>
        <v>#NAME?</v>
      </c>
      <c r="AE211" s="37" t="e">
        <f t="array" aca="1" ref="AE211" ca="1">_xll.DBRW($C$108,$C$113,$C$114,$C$116,$C$118,$G211,$C$119,$C$120,$I211,$C$86,$C211,$F211,$D211,$B211,$E211,$C$115,$H211,AE$137)</f>
        <v>#NAME?</v>
      </c>
      <c r="AF211" s="37" t="e">
        <f t="array" aca="1" ref="AF211" ca="1">_xll.DBRW($C$108,$C$113,$C$114,$C$116,$C$118,$G211,$C$119,$C$120,$I211,$C$86,$C211,$F211,$D211,$B211,$E211,$C$115,$H211,AF$137)</f>
        <v>#NAME?</v>
      </c>
      <c r="AG211" s="37" t="e">
        <f t="array" aca="1" ref="AG211" ca="1">_xll.DBRW($C$108,$C$113,$C$114,$C$116,$C$118,$G211,$C$119,$C$120,$I211,$C$86,$C211,$F211,$D211,$B211,$E211,$C$115,$H211,AG$137)</f>
        <v>#NAME?</v>
      </c>
      <c r="AH211" s="37" t="e">
        <f t="array" aca="1" ref="AH211" ca="1">_xll.DBRW($C$108,$C$113,$C$114,$C$116,$C$118,$G211,$C$119,$C$120,$I211,$C$86,$C211,$F211,$D211,$B211,$E211,$C$115,$H211,AH$137)</f>
        <v>#NAME?</v>
      </c>
      <c r="AI211" s="37" t="e">
        <f t="array" aca="1" ref="AI211" ca="1">_xll.DBRW($C$108,$C$113,$C$114,$C$116,$C$118,$G211,$C$119,$C$120,$I211,$C$86,$C211,$F211,$D211,$B211,$E211,$C$115,$H211,AI$137)</f>
        <v>#NAME?</v>
      </c>
      <c r="AJ211" s="37" t="e">
        <f t="array" aca="1" ref="AJ211" ca="1">_xll.DBRW($C$108,$C$113,$C$114,$C$116,$C$118,$G211,$C$119,$C$120,$I211,$C$86,$C211,$F211,$D211,$B211,$E211,$C$115,$H211,AJ$137)</f>
        <v>#NAME?</v>
      </c>
      <c r="AK211" s="37" t="e">
        <f t="array" aca="1" ref="AK211" ca="1">_xll.DBRW($C$108,$C$113,$C$114,$C$116,$C$118,$G211,$C$119,$C$120,$I211,$C$86,$C211,$F211,$D211,$B211,$E211,$C$115,$H211,AK$137)</f>
        <v>#NAME?</v>
      </c>
    </row>
    <row r="212" spans="1:37" x14ac:dyDescent="0.25">
      <c r="J212" s="35" t="s">
        <v>209</v>
      </c>
      <c r="P212" s="39" t="s">
        <v>173</v>
      </c>
    </row>
    <row r="213" spans="1:37" x14ac:dyDescent="0.25">
      <c r="J213" s="35"/>
      <c r="P213" s="14" t="s">
        <v>143</v>
      </c>
      <c r="Q213" s="14" t="s">
        <v>80</v>
      </c>
      <c r="R213" s="14" t="s">
        <v>81</v>
      </c>
      <c r="S213" s="14" t="s">
        <v>82</v>
      </c>
      <c r="T213" s="14" t="s">
        <v>83</v>
      </c>
      <c r="U213" s="14" t="s">
        <v>95</v>
      </c>
      <c r="V213" s="14" t="s">
        <v>84</v>
      </c>
      <c r="W213" s="14" t="s">
        <v>96</v>
      </c>
      <c r="Y213" s="14" t="e">
        <f ca="1">Y$137</f>
        <v>#NAME?</v>
      </c>
      <c r="Z213" s="14" t="e">
        <f t="shared" ref="Z213:AK213" ca="1" si="17">Z$137</f>
        <v>#NAME?</v>
      </c>
      <c r="AA213" s="14" t="e">
        <f t="shared" ca="1" si="17"/>
        <v>#NAME?</v>
      </c>
      <c r="AB213" s="14" t="e">
        <f t="shared" ca="1" si="17"/>
        <v>#NAME?</v>
      </c>
      <c r="AC213" s="14" t="e">
        <f t="shared" ca="1" si="17"/>
        <v>#NAME?</v>
      </c>
      <c r="AD213" s="14" t="e">
        <f t="shared" ca="1" si="17"/>
        <v>#NAME?</v>
      </c>
      <c r="AE213" s="14" t="e">
        <f t="shared" ca="1" si="17"/>
        <v>#NAME?</v>
      </c>
      <c r="AF213" s="14" t="e">
        <f t="shared" ca="1" si="17"/>
        <v>#NAME?</v>
      </c>
      <c r="AG213" s="14" t="e">
        <f t="shared" ca="1" si="17"/>
        <v>#NAME?</v>
      </c>
      <c r="AH213" s="14" t="e">
        <f t="shared" ca="1" si="17"/>
        <v>#NAME?</v>
      </c>
      <c r="AI213" s="14" t="e">
        <f t="shared" ca="1" si="17"/>
        <v>#NAME?</v>
      </c>
      <c r="AJ213" s="14" t="e">
        <f t="shared" ca="1" si="17"/>
        <v>#NAME?</v>
      </c>
      <c r="AK213" s="14" t="e">
        <f t="shared" ca="1" si="17"/>
        <v>#NAME?</v>
      </c>
    </row>
    <row r="214" spans="1:37" x14ac:dyDescent="0.25">
      <c r="A214" s="3" t="e" cm="1">
        <f t="array" aca="1" ref="A214" ca="1">IF(_xll.TM1RPTELISCONSOLIDATED($I$214,$I214),IF(_xll.TM1RPTELLEV($I$214,$I214)&lt;=3,_xll.TM1RPTELLEV($I$214,$I214),"D"),"N")</f>
        <v>#NAME?</v>
      </c>
      <c r="B214" s="32" t="e">
        <f t="array" aca="1" ref="B214" ca="1">_xll.TM1RPTROW($J$110,db_name&amp;":programme","","","code and description",0,$C$130)</f>
        <v>#NAME?</v>
      </c>
      <c r="C214" s="33" t="e">
        <f t="array" aca="1" ref="C214" ca="1">_xll.TM1RPTROW($J$110,db_name&amp;":appropriation type","","","code and description",0,$C$131)</f>
        <v>#NAME?</v>
      </c>
      <c r="D214" s="33" t="e">
        <f t="array" aca="1" ref="D214" ca="1">_xll.TM1RPTROW($J$110,db_name&amp;":appropriation item","","","code and description",0,$C$132)</f>
        <v>#NAME?</v>
      </c>
      <c r="E214" s="22" t="e">
        <f t="array" aca="1" ref="E214" ca="1">_xll.TM1RPTROW($J$110,db_name&amp;":account","","","code and description",0,$J$112)</f>
        <v>#NAME?</v>
      </c>
      <c r="F214" s="33" t="e">
        <f t="array" aca="1" ref="F214" ca="1">_xll.TM1RPTROW($J$110,db_name&amp;":movement account","","","code and description",0,$C$133)</f>
        <v>#NAME?</v>
      </c>
      <c r="G214" s="33" t="e">
        <f t="array" aca="1" ref="G214" ca="1">_xll.TM1RPTROW($J$110,db_name&amp;":related entity","","","code and description",0,$C$134)</f>
        <v>#NAME?</v>
      </c>
      <c r="H214" s="33" t="e">
        <f t="array" aca="1" ref="H214" ca="1">_xll.TM1RPTROW($J$110,db_name&amp;":jurisdiction","","","description",0,$C$135)</f>
        <v>#NAME?</v>
      </c>
      <c r="I214" s="33" t="e">
        <f t="array" aca="1" ref="I214" ca="1">_xll.TM1RPTROW($J$110,db_name&amp;":spp","","","code and description",0,$C$136)</f>
        <v>#NAME?</v>
      </c>
      <c r="J214" s="22" t="e" cm="1">
        <f t="array" aca="1" ref="J214" ca="1">_xll.DBRW($J$110,$C$113,$C$114,$C$116,$C$118,$G214,$C$119,$C$120,$I214,$C$121,$C214,$F214,$D214,$B214,$E214,$C$115,$H214,J$176)</f>
        <v>#NAME?</v>
      </c>
      <c r="K214" s="22" t="e" cm="1">
        <f t="array" aca="1" ref="K214" ca="1">IF($L214="",_xll.DBR($C$67,$E214,"DR/CR"),_xll.DBR($C$68,$F214,"DR/CR"))</f>
        <v>#NAME?</v>
      </c>
      <c r="L214" s="22" t="e" cm="1">
        <f t="array" aca="1" ref="L214" ca="1">_xll.DBR($C$67,$E214,L$176)</f>
        <v>#NAME?</v>
      </c>
      <c r="M214" s="22" t="e" cm="1">
        <f t="array" aca="1" ref="M214" ca="1">_xll.DBR($C$67,$E214,M$176)</f>
        <v>#NAME?</v>
      </c>
      <c r="N214" s="3"/>
      <c r="O214" s="3"/>
      <c r="P214" s="50" t="e">
        <f ca="1">$B214</f>
        <v>#NAME?</v>
      </c>
      <c r="Q214" s="23" t="e">
        <f t="shared" ref="Q214" ca="1" si="18">$E214</f>
        <v>#NAME?</v>
      </c>
      <c r="R214" s="23" t="e">
        <f t="shared" ref="R214" ca="1" si="19">$F214</f>
        <v>#NAME?</v>
      </c>
      <c r="S214" s="24" t="e">
        <f t="shared" ref="S214" ca="1" si="20">$G214</f>
        <v>#NAME?</v>
      </c>
      <c r="T214" s="25" t="e">
        <f t="shared" ref="T214" ca="1" si="21">$H214</f>
        <v>#NAME?</v>
      </c>
      <c r="U214" s="23" t="e">
        <f t="shared" ref="U214" ca="1" si="22">$D214</f>
        <v>#NAME?</v>
      </c>
      <c r="V214" s="25" t="e">
        <f t="shared" ref="V214" ca="1" si="23">$I214</f>
        <v>#NAME?</v>
      </c>
      <c r="W214" s="25" t="e">
        <f t="shared" ref="W214" ca="1" si="24">$K214</f>
        <v>#NAME?</v>
      </c>
      <c r="X214" s="3"/>
      <c r="Y214" s="36" t="e">
        <f t="array" aca="1" ref="Y214" ca="1">_xll.DBRW($J$110,$C$113,$C$114,$C$116,$C$118,$G214,$C$119,$C$120,$I214,$C$86,$C214,$F214,$D214,$B214,$E214,$C$115,$H214,Y$137)</f>
        <v>#NAME?</v>
      </c>
      <c r="Z214" s="36" t="e">
        <f t="array" aca="1" ref="Z214" ca="1">_xll.DBRW($J$110,$C$113,$C$114,$C$116,$C$118,$G214,$C$119,$C$120,$I214,$C$86,$C214,$F214,$D214,$B214,$E214,$C$115,$H214,Z$137)</f>
        <v>#NAME?</v>
      </c>
      <c r="AA214" s="36" t="e">
        <f t="array" aca="1" ref="AA214" ca="1">_xll.DBRW($J$110,$C$113,$C$114,$C$116,$C$118,$G214,$C$119,$C$120,$I214,$C$86,$C214,$F214,$D214,$B214,$E214,$C$115,$H214,AA$137)</f>
        <v>#NAME?</v>
      </c>
      <c r="AB214" s="36" t="e">
        <f t="array" aca="1" ref="AB214" ca="1">_xll.DBRW($J$110,$C$113,$C$114,$C$116,$C$118,$G214,$C$119,$C$120,$I214,$C$86,$C214,$F214,$D214,$B214,$E214,$C$115,$H214,AB$137)</f>
        <v>#NAME?</v>
      </c>
      <c r="AC214" s="36" t="e">
        <f t="array" aca="1" ref="AC214" ca="1">_xll.DBRW($J$110,$C$113,$C$114,$C$116,$C$118,$G214,$C$119,$C$120,$I214,$C$86,$C214,$F214,$D214,$B214,$E214,$C$115,$H214,AC$137)</f>
        <v>#NAME?</v>
      </c>
      <c r="AD214" s="36" t="e">
        <f t="array" aca="1" ref="AD214" ca="1">_xll.DBRW($J$110,$C$113,$C$114,$C$116,$C$118,$G214,$C$119,$C$120,$I214,$C$86,$C214,$F214,$D214,$B214,$E214,$C$115,$H214,AD$137)</f>
        <v>#NAME?</v>
      </c>
      <c r="AE214" s="36" t="e">
        <f t="array" aca="1" ref="AE214" ca="1">_xll.DBRW($J$110,$C$113,$C$114,$C$116,$C$118,$G214,$C$119,$C$120,$I214,$C$86,$C214,$F214,$D214,$B214,$E214,$C$115,$H214,AE$137)</f>
        <v>#NAME?</v>
      </c>
      <c r="AF214" s="36" t="e">
        <f t="array" aca="1" ref="AF214" ca="1">_xll.DBRW($J$110,$C$113,$C$114,$C$116,$C$118,$G214,$C$119,$C$120,$I214,$C$86,$C214,$F214,$D214,$B214,$E214,$C$115,$H214,AF$137)</f>
        <v>#NAME?</v>
      </c>
      <c r="AG214" s="36" t="e">
        <f t="array" aca="1" ref="AG214" ca="1">_xll.DBRW($J$110,$C$113,$C$114,$C$116,$C$118,$G214,$C$119,$C$120,$I214,$C$86,$C214,$F214,$D214,$B214,$E214,$C$115,$H214,AG$137)</f>
        <v>#NAME?</v>
      </c>
      <c r="AH214" s="36" t="e">
        <f t="array" aca="1" ref="AH214" ca="1">_xll.DBRW($J$110,$C$113,$C$114,$C$116,$C$118,$G214,$C$119,$C$120,$I214,$C$86,$C214,$F214,$D214,$B214,$E214,$C$115,$H214,AH$137)</f>
        <v>#NAME?</v>
      </c>
      <c r="AI214" s="36" t="e">
        <f t="array" aca="1" ref="AI214" ca="1">_xll.DBRW($J$110,$C$113,$C$114,$C$116,$C$118,$G214,$C$119,$C$120,$I214,$C$86,$C214,$F214,$D214,$B214,$E214,$C$115,$H214,AI$137)</f>
        <v>#NAME?</v>
      </c>
      <c r="AJ214" s="36" t="e">
        <f t="array" aca="1" ref="AJ214" ca="1">_xll.DBRW($J$110,$C$113,$C$114,$C$116,$C$118,$G214,$C$119,$C$120,$I214,$C$86,$C214,$F214,$D214,$B214,$E214,$C$115,$H214,AJ$137)</f>
        <v>#NAME?</v>
      </c>
      <c r="AK214" s="36" t="e">
        <f t="array" aca="1" ref="AK214" ca="1">_xll.DBRW($J$110,$C$113,$C$114,$C$116,$C$118,$G214,$C$119,$C$120,$I214,$C$86,$C214,$F214,$D214,$B214,$E214,$C$115,$H214,AK$137)</f>
        <v>#NAME?</v>
      </c>
    </row>
    <row r="215" spans="1:37" ht="5.0999999999999996" customHeight="1" x14ac:dyDescent="0.25"/>
    <row r="216" spans="1:37" x14ac:dyDescent="0.25">
      <c r="B216" t="s">
        <v>144</v>
      </c>
      <c r="C216" t="s">
        <v>9</v>
      </c>
      <c r="D216" t="s">
        <v>10</v>
      </c>
      <c r="E216" s="35" t="str">
        <f>$J$111</f>
        <v>9000850</v>
      </c>
      <c r="F216" t="s">
        <v>11</v>
      </c>
      <c r="G216" t="s">
        <v>12</v>
      </c>
      <c r="H216" t="s">
        <v>13</v>
      </c>
      <c r="I216" t="s">
        <v>14</v>
      </c>
      <c r="W216" s="41" t="s">
        <v>175</v>
      </c>
      <c r="Y216" s="37" t="e">
        <f t="array" aca="1" ref="Y216" ca="1">_xll.DBRW($C$108,$C$113,$C$114,$C$116,$C$118,$G216,$C$119,$C$120,$I216,$C$86,$C216,$F216,$D216,$B216,$E216,$C$115,$H216,Y$137)</f>
        <v>#NAME?</v>
      </c>
      <c r="Z216" s="37" t="e">
        <f t="array" aca="1" ref="Z216" ca="1">_xll.DBRW($C$108,$C$113,$C$114,$C$116,$C$118,$G216,$C$119,$C$120,$I216,$C$86,$C216,$F216,$D216,$B216,$E216,$C$115,$H216,Z$137)</f>
        <v>#NAME?</v>
      </c>
      <c r="AA216" s="37" t="e">
        <f t="array" aca="1" ref="AA216" ca="1">_xll.DBRW($C$108,$C$113,$C$114,$C$116,$C$118,$G216,$C$119,$C$120,$I216,$C$86,$C216,$F216,$D216,$B216,$E216,$C$115,$H216,AA$137)</f>
        <v>#NAME?</v>
      </c>
      <c r="AB216" s="37" t="e">
        <f t="array" aca="1" ref="AB216" ca="1">_xll.DBRW($C$108,$C$113,$C$114,$C$116,$C$118,$G216,$C$119,$C$120,$I216,$C$86,$C216,$F216,$D216,$B216,$E216,$C$115,$H216,AB$137)</f>
        <v>#NAME?</v>
      </c>
      <c r="AC216" s="37" t="e">
        <f t="array" aca="1" ref="AC216" ca="1">_xll.DBRW($C$108,$C$113,$C$114,$C$116,$C$118,$G216,$C$119,$C$120,$I216,$C$86,$C216,$F216,$D216,$B216,$E216,$C$115,$H216,AC$137)</f>
        <v>#NAME?</v>
      </c>
      <c r="AD216" s="37" t="e">
        <f t="array" aca="1" ref="AD216" ca="1">_xll.DBRW($C$108,$C$113,$C$114,$C$116,$C$118,$G216,$C$119,$C$120,$I216,$C$86,$C216,$F216,$D216,$B216,$E216,$C$115,$H216,AD$137)</f>
        <v>#NAME?</v>
      </c>
      <c r="AE216" s="37" t="e">
        <f t="array" aca="1" ref="AE216" ca="1">_xll.DBRW($C$108,$C$113,$C$114,$C$116,$C$118,$G216,$C$119,$C$120,$I216,$C$86,$C216,$F216,$D216,$B216,$E216,$C$115,$H216,AE$137)</f>
        <v>#NAME?</v>
      </c>
      <c r="AF216" s="37" t="e">
        <f t="array" aca="1" ref="AF216" ca="1">_xll.DBRW($C$108,$C$113,$C$114,$C$116,$C$118,$G216,$C$119,$C$120,$I216,$C$86,$C216,$F216,$D216,$B216,$E216,$C$115,$H216,AF$137)</f>
        <v>#NAME?</v>
      </c>
      <c r="AG216" s="37" t="e">
        <f t="array" aca="1" ref="AG216" ca="1">_xll.DBRW($C$108,$C$113,$C$114,$C$116,$C$118,$G216,$C$119,$C$120,$I216,$C$86,$C216,$F216,$D216,$B216,$E216,$C$115,$H216,AG$137)</f>
        <v>#NAME?</v>
      </c>
      <c r="AH216" s="37" t="e">
        <f t="array" aca="1" ref="AH216" ca="1">_xll.DBRW($C$108,$C$113,$C$114,$C$116,$C$118,$G216,$C$119,$C$120,$I216,$C$86,$C216,$F216,$D216,$B216,$E216,$C$115,$H216,AH$137)</f>
        <v>#NAME?</v>
      </c>
      <c r="AI216" s="37" t="e">
        <f t="array" aca="1" ref="AI216" ca="1">_xll.DBRW($C$108,$C$113,$C$114,$C$116,$C$118,$G216,$C$119,$C$120,$I216,$C$86,$C216,$F216,$D216,$B216,$E216,$C$115,$H216,AI$137)</f>
        <v>#NAME?</v>
      </c>
      <c r="AJ216" s="37" t="e">
        <f t="array" aca="1" ref="AJ216" ca="1">_xll.DBRW($C$108,$C$113,$C$114,$C$116,$C$118,$G216,$C$119,$C$120,$I216,$C$86,$C216,$F216,$D216,$B216,$E216,$C$115,$H216,AJ$137)</f>
        <v>#NAME?</v>
      </c>
      <c r="AK216" s="37" t="e">
        <f t="array" aca="1" ref="AK216" ca="1">_xll.DBRW($C$108,$C$113,$C$114,$C$116,$C$118,$G216,$C$119,$C$120,$I216,$C$86,$C216,$F216,$D216,$B216,$E216,$C$115,$H216,AK$137)</f>
        <v>#NAME?</v>
      </c>
    </row>
    <row r="217" spans="1:37" ht="4.5" customHeight="1" x14ac:dyDescent="0.25"/>
    <row r="218" spans="1:37" x14ac:dyDescent="0.25">
      <c r="P218" s="39" t="s">
        <v>215</v>
      </c>
    </row>
    <row r="219" spans="1:37" x14ac:dyDescent="0.25">
      <c r="B219" t="s">
        <v>144</v>
      </c>
      <c r="C219" t="s">
        <v>9</v>
      </c>
      <c r="D219" t="s">
        <v>10</v>
      </c>
      <c r="E219" s="35" t="s">
        <v>216</v>
      </c>
      <c r="F219" t="s">
        <v>11</v>
      </c>
      <c r="G219" t="s">
        <v>12</v>
      </c>
      <c r="H219" t="s">
        <v>13</v>
      </c>
      <c r="I219" t="s">
        <v>14</v>
      </c>
      <c r="W219" s="41" t="s">
        <v>218</v>
      </c>
      <c r="Y219" s="37" t="e">
        <f ca="1">_xll.DBRW($C$108,$C$113,$C$114,$D$117,$C$118,$G219,$C$119,$C$120,$I219,$C$86,$C219,$F219,$D219,$B219,$E219,$C$115,$H219,Y$137)</f>
        <v>#NAME?</v>
      </c>
      <c r="Z219" s="37" t="e">
        <f ca="1">_xll.DBRW($C$108,$C$113,$C$114,$D$117,$C$118,$G219,$C$119,$C$120,$I219,$C$86,$C219,$F219,$D219,$B219,$E219,$C$115,$H219,Z$137)</f>
        <v>#NAME?</v>
      </c>
      <c r="AA219" s="37" t="e">
        <f ca="1">_xll.DBRW($C$108,$C$113,$C$114,$D$117,$C$118,$G219,$C$119,$C$120,$I219,$C$86,$C219,$F219,$D219,$B219,$E219,$C$115,$H219,AA$137)</f>
        <v>#NAME?</v>
      </c>
      <c r="AB219" s="37" t="e">
        <f ca="1">_xll.DBRW($C$108,$C$113,$C$114,$D$117,$C$118,$G219,$C$119,$C$120,$I219,$C$86,$C219,$F219,$D219,$B219,$E219,$C$115,$H219,AB$137)</f>
        <v>#NAME?</v>
      </c>
      <c r="AC219" s="37" t="e">
        <f ca="1">_xll.DBRW($C$108,$C$113,$C$114,$D$117,$C$118,$G219,$C$119,$C$120,$I219,$C$86,$C219,$F219,$D219,$B219,$E219,$C$115,$H219,AC$137)</f>
        <v>#NAME?</v>
      </c>
      <c r="AD219" s="37" t="e">
        <f ca="1">_xll.DBRW($C$108,$C$113,$C$114,$D$117,$C$118,$G219,$C$119,$C$120,$I219,$C$86,$C219,$F219,$D219,$B219,$E219,$C$115,$H219,AD$137)</f>
        <v>#NAME?</v>
      </c>
      <c r="AE219" s="37" t="e">
        <f ca="1">_xll.DBRW($C$108,$C$113,$C$114,$D$117,$C$118,$G219,$C$119,$C$120,$I219,$C$86,$C219,$F219,$D219,$B219,$E219,$C$115,$H219,AE$137)</f>
        <v>#NAME?</v>
      </c>
      <c r="AF219" s="37" t="e">
        <f ca="1">_xll.DBRW($C$108,$C$113,$C$114,$D$117,$C$118,$G219,$C$119,$C$120,$I219,$C$86,$C219,$F219,$D219,$B219,$E219,$C$115,$H219,AF$137)</f>
        <v>#NAME?</v>
      </c>
      <c r="AG219" s="37" t="e">
        <f ca="1">_xll.DBRW($C$108,$C$113,$C$114,$D$117,$C$118,$G219,$C$119,$C$120,$I219,$C$86,$C219,$F219,$D219,$B219,$E219,$C$115,$H219,AG$137)</f>
        <v>#NAME?</v>
      </c>
      <c r="AH219" s="37" t="e">
        <f ca="1">_xll.DBRW($C$108,$C$113,$C$114,$D$117,$C$118,$G219,$C$119,$C$120,$I219,$C$86,$C219,$F219,$D219,$B219,$E219,$C$115,$H219,AH$137)</f>
        <v>#NAME?</v>
      </c>
      <c r="AI219" s="37" t="e">
        <f ca="1">_xll.DBRW($C$108,$C$113,$C$114,$D$117,$C$118,$G219,$C$119,$C$120,$I219,$C$86,$C219,$F219,$D219,$B219,$E219,$C$115,$H219,AI$137)</f>
        <v>#NAME?</v>
      </c>
      <c r="AJ219" s="37" t="e">
        <f ca="1">_xll.DBRW($C$108,$C$113,$C$114,$D$117,$C$118,$G219,$C$119,$C$120,$I219,$C$86,$C219,$F219,$D219,$B219,$E219,$C$115,$H219,AJ$137)</f>
        <v>#NAME?</v>
      </c>
      <c r="AK219" s="37" t="e">
        <f ca="1">_xll.DBRW($C$108,$C$113,$C$114,$D$117,$C$118,$G219,$C$119,$C$120,$I219,$C$86,$C219,$F219,$D219,$B219,$E219,$C$115,$H219,AK$137)</f>
        <v>#NAME?</v>
      </c>
    </row>
    <row r="220" spans="1:37" x14ac:dyDescent="0.25">
      <c r="B220" t="s">
        <v>144</v>
      </c>
      <c r="C220" t="s">
        <v>9</v>
      </c>
      <c r="D220" t="s">
        <v>10</v>
      </c>
      <c r="E220" s="35" t="s">
        <v>217</v>
      </c>
      <c r="F220" t="s">
        <v>11</v>
      </c>
      <c r="G220" t="s">
        <v>12</v>
      </c>
      <c r="H220" t="s">
        <v>13</v>
      </c>
      <c r="I220" t="s">
        <v>14</v>
      </c>
      <c r="W220" s="41" t="s">
        <v>219</v>
      </c>
      <c r="Y220" s="37" t="e">
        <f ca="1">_xll.DBRW($C$108,$C$113,$C$114,$D$117,$C$118,$G220,$C$119,$C$120,$I220,$C$86,$C220,$F220,$D220,$B220,$E220,$C$115,$H220,Y$137)</f>
        <v>#NAME?</v>
      </c>
      <c r="Z220" s="37" t="e">
        <f ca="1">_xll.DBRW($C$108,$C$113,$C$114,$D$117,$C$118,$G220,$C$119,$C$120,$I220,$C$86,$C220,$F220,$D220,$B220,$E220,$C$115,$H220,Z$137)</f>
        <v>#NAME?</v>
      </c>
      <c r="AA220" s="37" t="e">
        <f ca="1">_xll.DBRW($C$108,$C$113,$C$114,$D$117,$C$118,$G220,$C$119,$C$120,$I220,$C$86,$C220,$F220,$D220,$B220,$E220,$C$115,$H220,AA$137)</f>
        <v>#NAME?</v>
      </c>
      <c r="AB220" s="37" t="e">
        <f ca="1">_xll.DBRW($C$108,$C$113,$C$114,$D$117,$C$118,$G220,$C$119,$C$120,$I220,$C$86,$C220,$F220,$D220,$B220,$E220,$C$115,$H220,AB$137)</f>
        <v>#NAME?</v>
      </c>
      <c r="AC220" s="37" t="e">
        <f ca="1">_xll.DBRW($C$108,$C$113,$C$114,$D$117,$C$118,$G220,$C$119,$C$120,$I220,$C$86,$C220,$F220,$D220,$B220,$E220,$C$115,$H220,AC$137)</f>
        <v>#NAME?</v>
      </c>
      <c r="AD220" s="37" t="e">
        <f ca="1">_xll.DBRW($C$108,$C$113,$C$114,$D$117,$C$118,$G220,$C$119,$C$120,$I220,$C$86,$C220,$F220,$D220,$B220,$E220,$C$115,$H220,AD$137)</f>
        <v>#NAME?</v>
      </c>
      <c r="AE220" s="37" t="e">
        <f ca="1">_xll.DBRW($C$108,$C$113,$C$114,$D$117,$C$118,$G220,$C$119,$C$120,$I220,$C$86,$C220,$F220,$D220,$B220,$E220,$C$115,$H220,AE$137)</f>
        <v>#NAME?</v>
      </c>
      <c r="AF220" s="37" t="e">
        <f ca="1">_xll.DBRW($C$108,$C$113,$C$114,$D$117,$C$118,$G220,$C$119,$C$120,$I220,$C$86,$C220,$F220,$D220,$B220,$E220,$C$115,$H220,AF$137)</f>
        <v>#NAME?</v>
      </c>
      <c r="AG220" s="37" t="e">
        <f ca="1">_xll.DBRW($C$108,$C$113,$C$114,$D$117,$C$118,$G220,$C$119,$C$120,$I220,$C$86,$C220,$F220,$D220,$B220,$E220,$C$115,$H220,AG$137)</f>
        <v>#NAME?</v>
      </c>
      <c r="AH220" s="37" t="e">
        <f ca="1">_xll.DBRW($C$108,$C$113,$C$114,$D$117,$C$118,$G220,$C$119,$C$120,$I220,$C$86,$C220,$F220,$D220,$B220,$E220,$C$115,$H220,AH$137)</f>
        <v>#NAME?</v>
      </c>
      <c r="AI220" s="37" t="e">
        <f ca="1">_xll.DBRW($C$108,$C$113,$C$114,$D$117,$C$118,$G220,$C$119,$C$120,$I220,$C$86,$C220,$F220,$D220,$B220,$E220,$C$115,$H220,AI$137)</f>
        <v>#NAME?</v>
      </c>
      <c r="AJ220" s="37" t="e">
        <f ca="1">_xll.DBRW($C$108,$C$113,$C$114,$D$117,$C$118,$G220,$C$119,$C$120,$I220,$C$86,$C220,$F220,$D220,$B220,$E220,$C$115,$H220,AJ$137)</f>
        <v>#NAME?</v>
      </c>
      <c r="AK220" s="37" t="e">
        <f ca="1">_xll.DBRW($C$108,$C$113,$C$114,$D$117,$C$118,$G220,$C$119,$C$120,$I220,$C$86,$C220,$F220,$D220,$B220,$E220,$C$115,$H220,AK$137)</f>
        <v>#NAME?</v>
      </c>
    </row>
  </sheetData>
  <sheetProtection sheet="1" objects="1" scenarios="1"/>
  <mergeCells count="18">
    <mergeCell ref="V175:W175"/>
    <mergeCell ref="Q164:S164"/>
    <mergeCell ref="Q166:S166"/>
    <mergeCell ref="Q170:S170"/>
    <mergeCell ref="U172:W172"/>
    <mergeCell ref="Q168:S168"/>
    <mergeCell ref="B11:D11"/>
    <mergeCell ref="B19:D19"/>
    <mergeCell ref="B28:D28"/>
    <mergeCell ref="B50:D50"/>
    <mergeCell ref="B142:C142"/>
    <mergeCell ref="B66:C66"/>
    <mergeCell ref="B138:C138"/>
    <mergeCell ref="B123:C123"/>
    <mergeCell ref="B129:D129"/>
    <mergeCell ref="B101:D101"/>
    <mergeCell ref="B107:D107"/>
    <mergeCell ref="B75:D75"/>
  </mergeCells>
  <conditionalFormatting sqref="U162">
    <cfRule type="containsText" dxfId="1" priority="1" operator="containsText" text="un">
      <formula>NOT(ISERROR(SEARCH("un",U162)))</formula>
    </cfRule>
    <cfRule type="containsText" dxfId="0" priority="2" operator="containsText" text="approve">
      <formula>NOT(ISERROR(SEARCH("approve",U162)))</formula>
    </cfRule>
  </conditionalFormatting>
  <pageMargins left="0.70866141732283472" right="0.70866141732283472" top="0.74803149606299213" bottom="0.74803149606299213" header="0.31496062992125984" footer="0.31496062992125984"/>
  <pageSetup paperSize="9" scale="37" fitToHeight="0" orientation="landscape" r:id="rId1"/>
  <drawing r:id="rId2"/>
  <legacyDrawing r:id="rId3"/>
  <controls>
    <mc:AlternateContent xmlns:mc="http://schemas.openxmlformats.org/markup-compatibility/2006">
      <mc:Choice Requires="x14">
        <control shapeId="1041" r:id="rId4" name="TIButton7">
          <controlPr defaultSize="0" print="0" autoLine="0" autoPict="0" r:id="rId5">
            <anchor moveWithCells="1" sizeWithCells="1">
              <from>
                <xdr:col>17</xdr:col>
                <xdr:colOff>2133600</xdr:colOff>
                <xdr:row>157</xdr:row>
                <xdr:rowOff>9525</xdr:rowOff>
              </from>
              <to>
                <xdr:col>18</xdr:col>
                <xdr:colOff>1038225</xdr:colOff>
                <xdr:row>157</xdr:row>
                <xdr:rowOff>257175</xdr:rowOff>
              </to>
            </anchor>
          </controlPr>
        </control>
      </mc:Choice>
      <mc:Fallback>
        <control shapeId="1041" r:id="rId4" name="TIButton7"/>
      </mc:Fallback>
    </mc:AlternateContent>
    <mc:AlternateContent xmlns:mc="http://schemas.openxmlformats.org/markup-compatibility/2006">
      <mc:Choice Requires="x14">
        <control shapeId="1039" r:id="rId6" name="TIButton11">
          <controlPr defaultSize="0" print="0" autoLine="0" autoPict="0" r:id="rId7">
            <anchor moveWithCells="1" sizeWithCells="1">
              <from>
                <xdr:col>16</xdr:col>
                <xdr:colOff>1809750</xdr:colOff>
                <xdr:row>157</xdr:row>
                <xdr:rowOff>9525</xdr:rowOff>
              </from>
              <to>
                <xdr:col>17</xdr:col>
                <xdr:colOff>714375</xdr:colOff>
                <xdr:row>157</xdr:row>
                <xdr:rowOff>257175</xdr:rowOff>
              </to>
            </anchor>
          </controlPr>
        </control>
      </mc:Choice>
      <mc:Fallback>
        <control shapeId="1039" r:id="rId6" name="TIButton11"/>
      </mc:Fallback>
    </mc:AlternateContent>
    <mc:AlternateContent xmlns:mc="http://schemas.openxmlformats.org/markup-compatibility/2006">
      <mc:Choice Requires="x14">
        <control shapeId="1034" r:id="rId8" name="TIButton6">
          <controlPr defaultSize="0" print="0" autoLine="0" autoPict="0" r:id="rId9">
            <anchor moveWithCells="1" sizeWithCells="1">
              <from>
                <xdr:col>16</xdr:col>
                <xdr:colOff>876300</xdr:colOff>
                <xdr:row>157</xdr:row>
                <xdr:rowOff>9525</xdr:rowOff>
              </from>
              <to>
                <xdr:col>16</xdr:col>
                <xdr:colOff>1752600</xdr:colOff>
                <xdr:row>157</xdr:row>
                <xdr:rowOff>257175</xdr:rowOff>
              </to>
            </anchor>
          </controlPr>
        </control>
      </mc:Choice>
      <mc:Fallback>
        <control shapeId="1034" r:id="rId8" name="TIButton6"/>
      </mc:Fallback>
    </mc:AlternateContent>
    <mc:AlternateContent xmlns:mc="http://schemas.openxmlformats.org/markup-compatibility/2006">
      <mc:Choice Requires="x14">
        <control shapeId="1032" r:id="rId10" name="TIButton5">
          <controlPr defaultSize="0" print="0" autoLine="0" autoPict="0" r:id="rId11">
            <anchor moveWithCells="1" sizeWithCells="1">
              <from>
                <xdr:col>15</xdr:col>
                <xdr:colOff>1838325</xdr:colOff>
                <xdr:row>157</xdr:row>
                <xdr:rowOff>9525</xdr:rowOff>
              </from>
              <to>
                <xdr:col>16</xdr:col>
                <xdr:colOff>847725</xdr:colOff>
                <xdr:row>157</xdr:row>
                <xdr:rowOff>257175</xdr:rowOff>
              </to>
            </anchor>
          </controlPr>
        </control>
      </mc:Choice>
      <mc:Fallback>
        <control shapeId="1032" r:id="rId10" name="TIButton5"/>
      </mc:Fallback>
    </mc:AlternateContent>
    <mc:AlternateContent xmlns:mc="http://schemas.openxmlformats.org/markup-compatibility/2006">
      <mc:Choice Requires="x14">
        <control shapeId="1031" r:id="rId12" name="TIButton3">
          <controlPr defaultSize="0" print="0" autoLine="0" autoPict="0" r:id="rId13">
            <anchor moveWithCells="1" sizeWithCells="1">
              <from>
                <xdr:col>18</xdr:col>
                <xdr:colOff>1095375</xdr:colOff>
                <xdr:row>157</xdr:row>
                <xdr:rowOff>9525</xdr:rowOff>
              </from>
              <to>
                <xdr:col>19</xdr:col>
                <xdr:colOff>695325</xdr:colOff>
                <xdr:row>157</xdr:row>
                <xdr:rowOff>257175</xdr:rowOff>
              </to>
            </anchor>
          </controlPr>
        </control>
      </mc:Choice>
      <mc:Fallback>
        <control shapeId="1031" r:id="rId12" name="TIButton3"/>
      </mc:Fallback>
    </mc:AlternateContent>
    <mc:AlternateContent xmlns:mc="http://schemas.openxmlformats.org/markup-compatibility/2006">
      <mc:Choice Requires="x14">
        <control shapeId="1030" r:id="rId14" name="TIButton2">
          <controlPr defaultSize="0" print="0" autoLine="0" autoPict="0" r:id="rId15">
            <anchor moveWithCells="1" sizeWithCells="1">
              <from>
                <xdr:col>15</xdr:col>
                <xdr:colOff>685800</xdr:colOff>
                <xdr:row>157</xdr:row>
                <xdr:rowOff>9525</xdr:rowOff>
              </from>
              <to>
                <xdr:col>15</xdr:col>
                <xdr:colOff>1809750</xdr:colOff>
                <xdr:row>157</xdr:row>
                <xdr:rowOff>257175</xdr:rowOff>
              </to>
            </anchor>
          </controlPr>
        </control>
      </mc:Choice>
      <mc:Fallback>
        <control shapeId="1030" r:id="rId14" name="TIButton2"/>
      </mc:Fallback>
    </mc:AlternateContent>
    <mc:AlternateContent xmlns:mc="http://schemas.openxmlformats.org/markup-compatibility/2006">
      <mc:Choice Requires="x14">
        <control shapeId="1029" r:id="rId16" name="TIButton4">
          <controlPr defaultSize="0" print="0" autoLine="0" autoPict="0" r:id="rId17">
            <anchor moveWithCells="1" sizeWithCells="1">
              <from>
                <xdr:col>15</xdr:col>
                <xdr:colOff>9525</xdr:colOff>
                <xdr:row>157</xdr:row>
                <xdr:rowOff>9525</xdr:rowOff>
              </from>
              <to>
                <xdr:col>15</xdr:col>
                <xdr:colOff>647700</xdr:colOff>
                <xdr:row>157</xdr:row>
                <xdr:rowOff>257175</xdr:rowOff>
              </to>
            </anchor>
          </controlPr>
        </control>
      </mc:Choice>
      <mc:Fallback>
        <control shapeId="1029" r:id="rId16" name="TIButton4"/>
      </mc:Fallback>
    </mc:AlternateContent>
    <mc:AlternateContent xmlns:mc="http://schemas.openxmlformats.org/markup-compatibility/2006">
      <mc:Choice Requires="x14">
        <control shapeId="1040" r:id="rId18" name="TIButton1">
          <controlPr defaultSize="0" print="0" autoLine="0" autoPict="0" r:id="rId19">
            <anchor moveWithCells="1" sizeWithCells="1">
              <from>
                <xdr:col>17</xdr:col>
                <xdr:colOff>762000</xdr:colOff>
                <xdr:row>157</xdr:row>
                <xdr:rowOff>9525</xdr:rowOff>
              </from>
              <to>
                <xdr:col>17</xdr:col>
                <xdr:colOff>2095500</xdr:colOff>
                <xdr:row>157</xdr:row>
                <xdr:rowOff>257175</xdr:rowOff>
              </to>
            </anchor>
          </controlPr>
        </control>
      </mc:Choice>
      <mc:Fallback>
        <control shapeId="1040" r:id="rId18" name="TIButton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59</vt:i4>
      </vt:variant>
    </vt:vector>
  </HeadingPairs>
  <TitlesOfParts>
    <vt:vector size="60" baseType="lpstr">
      <vt:lpstr>extract adj</vt:lpstr>
      <vt:lpstr>db_name</vt:lpstr>
      <vt:lpstr>psHLYear</vt:lpstr>
      <vt:lpstr>psID</vt:lpstr>
      <vt:lpstr>psScenario</vt:lpstr>
      <vt:lpstr>psUser</vt:lpstr>
      <vt:lpstr>TM1AdjIDListCAP</vt:lpstr>
      <vt:lpstr>TM1AdjIDListWB</vt:lpstr>
      <vt:lpstr>TM1AdjIDListWS</vt:lpstr>
      <vt:lpstr>TM1BackToAdjWB</vt:lpstr>
      <vt:lpstr>TM1BackToAdjWS</vt:lpstr>
      <vt:lpstr>TM1EditAdj01CAP</vt:lpstr>
      <vt:lpstr>TM1EditAdj01WB</vt:lpstr>
      <vt:lpstr>TM1EditAdj01WS</vt:lpstr>
      <vt:lpstr>TM1GrpNewAdj02ExpDataEntryCAP</vt:lpstr>
      <vt:lpstr>TM1GrpNewAdj02ExpDataEntryWB</vt:lpstr>
      <vt:lpstr>TM1GrpNewAdj02ExpDataEntryWS</vt:lpstr>
      <vt:lpstr>TM1GrpNewAdj08RecogDataEntryCAP</vt:lpstr>
      <vt:lpstr>TM1GrpNewAdj08RecogDataEntryWB</vt:lpstr>
      <vt:lpstr>TM1GrpNewAdj08RecogDataEntryWS</vt:lpstr>
      <vt:lpstr>TM1HomeAECAP</vt:lpstr>
      <vt:lpstr>TM1HomeAEDataEntryCAP</vt:lpstr>
      <vt:lpstr>TM1HomeAEDataEntryWB</vt:lpstr>
      <vt:lpstr>TM1HomeAEDataEntryWS</vt:lpstr>
      <vt:lpstr>TM1HomeAEWB</vt:lpstr>
      <vt:lpstr>TM1HomeAEWS</vt:lpstr>
      <vt:lpstr>TM1HomeCAP</vt:lpstr>
      <vt:lpstr>TM1HomeWB</vt:lpstr>
      <vt:lpstr>TM1HomeWS</vt:lpstr>
      <vt:lpstr>TM1NewAdj02DataEntryCAP</vt:lpstr>
      <vt:lpstr>TM1NewAdj02DataEntryWB</vt:lpstr>
      <vt:lpstr>TM1NewAdj02DataEntryWS</vt:lpstr>
      <vt:lpstr>TM1NewAdj03AuthCAP</vt:lpstr>
      <vt:lpstr>TM1NewAdj03AuthWB</vt:lpstr>
      <vt:lpstr>TM1NewAdj03AuthWS</vt:lpstr>
      <vt:lpstr>TM1NewAdj04CopyCAP</vt:lpstr>
      <vt:lpstr>TM1NewAdj04CopyWB</vt:lpstr>
      <vt:lpstr>TM1NewAdj04CopyWS</vt:lpstr>
      <vt:lpstr>TM1NewAdj96ExtractCAP</vt:lpstr>
      <vt:lpstr>TM1NewAdj96ExtractWB</vt:lpstr>
      <vt:lpstr>TM1NewAdj96ExtractWS</vt:lpstr>
      <vt:lpstr>TM1NewAdj98AttachCAP</vt:lpstr>
      <vt:lpstr>TM1NewAdj98AttachWB</vt:lpstr>
      <vt:lpstr>TM1NewAdj98AttachWS</vt:lpstr>
      <vt:lpstr>TM1NewAdj99ValidCAP</vt:lpstr>
      <vt:lpstr>TM1NewAdj99ValidWB</vt:lpstr>
      <vt:lpstr>TM1NewAdj99ValidWS</vt:lpstr>
      <vt:lpstr>'extract adj'!TM1RPTDATARNG1</vt:lpstr>
      <vt:lpstr>'extract adj'!TM1RPTDATARNGARPT1</vt:lpstr>
      <vt:lpstr>'extract adj'!TM1RPTDATARNGARPT2</vt:lpstr>
      <vt:lpstr>'extract adj'!TM1RPTDATARNGARPT3</vt:lpstr>
      <vt:lpstr>'extract adj'!TM1RPTDATARNGARPT4</vt:lpstr>
      <vt:lpstr>'extract adj'!TM1RPTDATARNGARPT5</vt:lpstr>
      <vt:lpstr>'extract adj'!TM1RPTDATARNGARPT6</vt:lpstr>
      <vt:lpstr>'extract adj'!TM1RPTDATARNGARPT7</vt:lpstr>
      <vt:lpstr>'extract adj'!TM1RPTFMTIDCOL</vt:lpstr>
      <vt:lpstr>'extract adj'!TM1RPTFMTRNG</vt:lpstr>
      <vt:lpstr>TM1ViewAdj01HeaderCAP</vt:lpstr>
      <vt:lpstr>TM1ViewAdj01HeaderWB</vt:lpstr>
      <vt:lpstr>TM1ViewAdj01HeaderWS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Khristian Gimena</dc:creator>
  <cp:lastModifiedBy>Xin HE</cp:lastModifiedBy>
  <cp:lastPrinted>2019-05-17T00:45:37Z</cp:lastPrinted>
  <dcterms:created xsi:type="dcterms:W3CDTF">2019-04-05T23:57:41Z</dcterms:created>
  <dcterms:modified xsi:type="dcterms:W3CDTF">2025-08-05T04:38:15Z</dcterms:modified>
</cp:coreProperties>
</file>