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14A20C63-9641-4055-B60B-0D93F0DBC4D4}" xr6:coauthVersionLast="47" xr6:coauthVersionMax="47" xr10:uidLastSave="{00000000-0000-0000-0000-000000000000}"/>
  <bookViews>
    <workbookView xWindow="28680" yWindow="-120" windowWidth="29040" windowHeight="15840" xr2:uid="{6BA47A3A-8083-4887-8B32-0841550876EA}"/>
  </bookViews>
  <sheets>
    <sheet name="save location" sheetId="1" r:id="rId1"/>
  </sheets>
  <definedNames>
    <definedName name="db_name">'save location'!$C$2</definedName>
    <definedName name="psApp">'save location'!$C$29</definedName>
    <definedName name="psUser">'save location'!$C$4</definedName>
    <definedName name="TM1FFExtractCAP">'save location'!$D$41</definedName>
    <definedName name="TM1FFExtractWB">'save location'!$F$41</definedName>
    <definedName name="TM1FFExtractWS">'save location'!$H$41</definedName>
    <definedName name="TM1FFSetSaveLocCAP">'save location'!$D$40</definedName>
    <definedName name="TM1FFSetSaveLocWB">'save location'!$F$40</definedName>
    <definedName name="TM1FFSetSaveLocWS">'save location'!$H$40</definedName>
    <definedName name="TM1HomeAdminCAP">'save location'!$D$38</definedName>
    <definedName name="TM1HomeAdminWB">'save location'!$F$38</definedName>
    <definedName name="TM1HomeAdminWS">'save location'!$H$38</definedName>
    <definedName name="TM1HomeAEAccVarCAP">'save location'!$D$36</definedName>
    <definedName name="TM1HomeAEAccVarWB">'save location'!$F$36</definedName>
    <definedName name="TM1HomeAEAccVarWS">'save location'!$H$36</definedName>
    <definedName name="TM1HomeAECAP">'save location'!$D$32</definedName>
    <definedName name="TM1HomeAEDataEntryCAP">'save location'!$D$33</definedName>
    <definedName name="TM1HomeAEDataEntryWB">'save location'!$F$33</definedName>
    <definedName name="TM1HomeAEDataEntryWS">'save location'!$H$33</definedName>
    <definedName name="TM1HomeAEFFCAP">'save location'!$D$35</definedName>
    <definedName name="TM1HomeAEFFWB">'save location'!$F$35</definedName>
    <definedName name="TM1HomeAEFFWS">'save location'!$H$35</definedName>
    <definedName name="TM1HomeAEMeasuresCAP">'save location'!$D$34</definedName>
    <definedName name="TM1HomeAEMeasuresWB">'save location'!$F$34</definedName>
    <definedName name="TM1HomeAEMeasuresWS">'save location'!$H$34</definedName>
    <definedName name="TM1HomeAEWB">'save location'!$F$32</definedName>
    <definedName name="TM1HomeAEWS">'save location'!$H$32</definedName>
    <definedName name="TM1HomeCAP">'save location'!$D$31</definedName>
    <definedName name="TM1HomeRepCAP">'save location'!$D$37</definedName>
    <definedName name="TM1HomeRepWB">'save location'!$F$37</definedName>
    <definedName name="TM1HomeRepWS">'save location'!$H$37</definedName>
    <definedName name="TM1HomeUnderCAP">'save location'!$D$39</definedName>
    <definedName name="TM1HomeUnderWB">'save location'!$F$39</definedName>
    <definedName name="TM1HomeUnderWS">'save location'!$H$39</definedName>
    <definedName name="TM1HomeWB">'save location'!$F$31</definedName>
    <definedName name="TM1HomeWS">'save location'!$H$31</definedName>
    <definedName name="TM1REBUILDOPTION">1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" i="1" l="1"/>
  <c r="D41" i="1"/>
  <c r="H41" i="1"/>
  <c r="G41" i="1"/>
  <c r="F41" i="1"/>
  <c r="E41" i="1"/>
  <c r="C41" i="1"/>
  <c r="H40" i="1"/>
  <c r="G40" i="1"/>
  <c r="F40" i="1"/>
  <c r="E40" i="1"/>
  <c r="D40" i="1"/>
  <c r="C40" i="1"/>
  <c r="C10" i="1"/>
  <c r="L56" i="1"/>
  <c r="C17" i="1"/>
  <c r="C16" i="1"/>
  <c r="C15" i="1"/>
  <c r="C14" i="1"/>
  <c r="C13" i="1"/>
  <c r="C12" i="1"/>
  <c r="H39" i="1"/>
  <c r="G39" i="1"/>
  <c r="F39" i="1"/>
  <c r="E39" i="1"/>
  <c r="D39" i="1"/>
  <c r="C39" i="1"/>
  <c r="H38" i="1"/>
  <c r="G38" i="1"/>
  <c r="F38" i="1"/>
  <c r="E38" i="1"/>
  <c r="D38" i="1"/>
  <c r="C38" i="1"/>
  <c r="H37" i="1"/>
  <c r="G37" i="1"/>
  <c r="F37" i="1"/>
  <c r="E37" i="1"/>
  <c r="D37" i="1"/>
  <c r="C37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C20" i="1"/>
  <c r="C4" i="1"/>
  <c r="C24" i="1"/>
  <c r="C23" i="1"/>
  <c r="C22" i="1"/>
  <c r="C21" i="1"/>
  <c r="C7" i="1"/>
  <c r="C3" i="1"/>
  <c r="C6" i="1"/>
  <c r="C5" i="1"/>
</calcChain>
</file>

<file path=xl/sharedStrings.xml><?xml version="1.0" encoding="utf-8"?>
<sst xmlns="http://schemas.openxmlformats.org/spreadsheetml/2006/main" count="53" uniqueCount="51">
  <si>
    <t>value</t>
  </si>
  <si>
    <t>save location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</si>
  <si>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</si>
  <si>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</si>
  <si>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</si>
  <si>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</si>
  <si>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</si>
  <si>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</si>
  <si>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</si>
  <si>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</si>
  <si>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</si>
  <si>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</si>
  <si>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</si>
  <si>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</si>
  <si>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</si>
  <si>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</si>
  <si>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</si>
  <si>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</si>
  <si>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</si>
  <si>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</si>
  <si>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</si>
  <si>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</si>
  <si>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</si>
  <si>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</si>
  <si>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</si>
  <si>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</si>
  <si>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</si>
  <si>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</si>
  <si>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</si>
  <si>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</si>
  <si>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</si>
  <si>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</si>
  <si>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</si>
  <si>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</si>
  <si>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Annual Estimates - Measures</t>
  </si>
  <si>
    <t>Homepage - Annual Estimates - Flatfile Creation</t>
  </si>
  <si>
    <t>Homepage - Annual Estimates - Account Variation</t>
  </si>
  <si>
    <t>Homepage - Reports</t>
  </si>
  <si>
    <t>Homepage - Administration</t>
  </si>
  <si>
    <t>Homepage - Under Construction</t>
  </si>
  <si>
    <t>Current Workbook</t>
  </si>
  <si>
    <t>validate</t>
  </si>
  <si>
    <t>Current Flatfile Save Location :</t>
  </si>
  <si>
    <t xml:space="preserve">Note : This screen is used to manage the export location for flatfiles. </t>
  </si>
  <si>
    <t xml:space="preserve">Note : The location must be where the server is able to access. </t>
  </si>
  <si>
    <t>FlatFile - Set Save Location</t>
  </si>
  <si>
    <t>FlatFile - Prepare Extracts</t>
  </si>
  <si>
    <t>Note : Just enter over the current location and ensure it is the FULL Directory Listing</t>
  </si>
  <si>
    <t>ENTER NEW SAVE LOCATION</t>
  </si>
  <si>
    <t>Set Export Save Location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</si>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</sst>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0" fillId="0" borderId="5" xfId="0" applyBorder="1"/>
    <xf numFmtId="0" fontId="3" fillId="3" borderId="0" xfId="0" applyFont="1" applyFill="1" applyAlignment="1">
      <alignment horizontal="right" vertical="center"/>
    </xf>
    <xf numFmtId="0" fontId="2" fillId="0" borderId="0" xfId="0" applyFont="1" applyAlignment="1">
      <alignment horizontal="right" vertical="top"/>
    </xf>
    <xf numFmtId="0" fontId="0" fillId="0" borderId="0" xfId="0" applyAlignment="1">
      <alignment vertical="top"/>
    </xf>
    <xf numFmtId="0" fontId="1" fillId="4" borderId="6" xfId="0" applyFont="1" applyFill="1" applyBorder="1" applyAlignment="1">
      <alignment horizontal="center"/>
    </xf>
    <xf numFmtId="0" fontId="0" fillId="0" borderId="4" xfId="0" applyBorder="1" applyAlignment="1" applyProtection="1">
      <alignment horizontal="left" vertical="top"/>
      <protection locked="0"/>
    </xf>
    <xf numFmtId="0" fontId="4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45</xdr:row>
      <xdr:rowOff>38100</xdr:rowOff>
    </xdr:from>
    <xdr:to>
      <xdr:col>9</xdr:col>
      <xdr:colOff>1769745</xdr:colOff>
      <xdr:row>45</xdr:row>
      <xdr:rowOff>495300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5725" y="3810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57150</xdr:colOff>
      <xdr:row>47</xdr:row>
      <xdr:rowOff>28575</xdr:rowOff>
    </xdr:from>
    <xdr:to>
      <xdr:col>9</xdr:col>
      <xdr:colOff>695325</xdr:colOff>
      <xdr:row>47</xdr:row>
      <xdr:rowOff>276225</xdr:rowOff>
    </xdr:to>
    <xdr:sp macro="Sheet1.ExecuteAction_9e7c4a1a_fcda_421e_95ab_725631319c7a" textlink="TM1HomeCAP">
      <xdr:nvSpPr>
        <xdr:cNvPr id="2" name="TM1Button_9e7c4a1a_fcda_421e_95ab_725631319c7a">
          <a:extLst>
            <a:ext uri="{FF2B5EF4-FFF2-40B4-BE49-F238E27FC236}">
              <a16:creationId xmlns:a16="http://schemas.microsoft.com/office/drawing/2014/main" id="{9EC8A8A1-CAE0-6A99-9E70-4AA8258EFA68}"/>
            </a:ext>
          </a:extLst>
        </xdr:cNvPr>
        <xdr:cNvSpPr txBox="1"/>
      </xdr:nvSpPr>
      <xdr:spPr>
        <a:xfrm>
          <a:off x="114300" y="5905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F4345F9-834B-4E9B-AEB8-4DC8A59CC59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733425</xdr:colOff>
      <xdr:row>47</xdr:row>
      <xdr:rowOff>28575</xdr:rowOff>
    </xdr:from>
    <xdr:to>
      <xdr:col>9</xdr:col>
      <xdr:colOff>2143125</xdr:colOff>
      <xdr:row>47</xdr:row>
      <xdr:rowOff>276225</xdr:rowOff>
    </xdr:to>
    <xdr:sp macro="Sheet1.ExecuteAction_c0075e29_ab23_4449_9d4a_82d61f3de11e" textlink="TM1HomeAEFFCAP">
      <xdr:nvSpPr>
        <xdr:cNvPr id="4" name="TM1Button_c0075e29_ab23_4449_9d4a_82d61f3de11e">
          <a:extLst>
            <a:ext uri="{FF2B5EF4-FFF2-40B4-BE49-F238E27FC236}">
              <a16:creationId xmlns:a16="http://schemas.microsoft.com/office/drawing/2014/main" id="{6565B7AE-3C76-3790-D28C-3F3DE5BD49D5}"/>
            </a:ext>
          </a:extLst>
        </xdr:cNvPr>
        <xdr:cNvSpPr txBox="1"/>
      </xdr:nvSpPr>
      <xdr:spPr>
        <a:xfrm>
          <a:off x="790575" y="590550"/>
          <a:ext cx="14097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4DE795F-1D14-4427-AD9C-AA36ED32159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2181225</xdr:colOff>
      <xdr:row>47</xdr:row>
      <xdr:rowOff>28575</xdr:rowOff>
    </xdr:from>
    <xdr:to>
      <xdr:col>11</xdr:col>
      <xdr:colOff>923925</xdr:colOff>
      <xdr:row>47</xdr:row>
      <xdr:rowOff>276225</xdr:rowOff>
    </xdr:to>
    <xdr:sp macro="Sheet1.ExecuteAction_2e4b4ffe_4b36_4799_b4ff_ad40afa586f0" textlink="TM1FFExtractCAP">
      <xdr:nvSpPr>
        <xdr:cNvPr id="5" name="TM1Button_2e4b4ffe_4b36_4799_b4ff_ad40afa586f0">
          <a:extLst>
            <a:ext uri="{FF2B5EF4-FFF2-40B4-BE49-F238E27FC236}">
              <a16:creationId xmlns:a16="http://schemas.microsoft.com/office/drawing/2014/main" id="{FBD8E7D8-1BD2-62D7-7E20-482CC861EC38}"/>
            </a:ext>
          </a:extLst>
        </xdr:cNvPr>
        <xdr:cNvSpPr txBox="1"/>
      </xdr:nvSpPr>
      <xdr:spPr>
        <a:xfrm>
          <a:off x="2238375" y="590550"/>
          <a:ext cx="1181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FF51A92-8733-4A8C-B0A4-D7751C5E55E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962025</xdr:colOff>
      <xdr:row>47</xdr:row>
      <xdr:rowOff>28575</xdr:rowOff>
    </xdr:from>
    <xdr:to>
      <xdr:col>11</xdr:col>
      <xdr:colOff>1743075</xdr:colOff>
      <xdr:row>47</xdr:row>
      <xdr:rowOff>276225</xdr:rowOff>
    </xdr:to>
    <xdr:sp macro="Sheet1.ExecuteAction_bc333cb3_0f01_4b92_8951_5379775ce10c" textlink="">
      <xdr:nvSpPr>
        <xdr:cNvPr id="6" name="TM1Button_bc333cb3_0f01_4b92_8951_5379775ce10c">
          <a:extLst>
            <a:ext uri="{FF2B5EF4-FFF2-40B4-BE49-F238E27FC236}">
              <a16:creationId xmlns:a16="http://schemas.microsoft.com/office/drawing/2014/main" id="{C80572D6-63CF-84CB-93CE-A0628E14CC45}"/>
            </a:ext>
          </a:extLst>
        </xdr:cNvPr>
        <xdr:cNvSpPr txBox="1"/>
      </xdr:nvSpPr>
      <xdr:spPr>
        <a:xfrm>
          <a:off x="3457575" y="5905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6A0CC-13F3-4AE9-A0C8-BF4CCDBFB8D5}">
  <sheetPr codeName="Sheet1">
    <outlinePr showOutlineSymbols="0"/>
  </sheetPr>
  <dimension ref="A1:L56"/>
  <sheetViews>
    <sheetView showGridLines="0" showRowColHeaders="0" tabSelected="1" showOutlineSymbols="0" topLeftCell="I46" workbookViewId="0"/>
  </sheetViews>
  <sheetFormatPr defaultRowHeight="15" outlineLevelRow="1" outlineLevelCol="1" x14ac:dyDescent="0.25"/>
  <cols>
    <col min="1" max="1" width="9.140625" hidden="1" customWidth="1" outlineLevel="1"/>
    <col min="2" max="2" width="24.28515625" hidden="1" customWidth="1" outlineLevel="1"/>
    <col min="3" max="3" width="16.140625" hidden="1" customWidth="1" outlineLevel="1"/>
    <col min="4" max="4" width="19.5703125" hidden="1" customWidth="1" outlineLevel="1"/>
    <col min="5" max="5" width="24.28515625" hidden="1" customWidth="1" outlineLevel="1"/>
    <col min="6" max="6" width="36.7109375" hidden="1" customWidth="1" outlineLevel="1"/>
    <col min="7" max="7" width="24.140625" hidden="1" customWidth="1" outlineLevel="1"/>
    <col min="8" max="8" width="18" hidden="1" customWidth="1" outlineLevel="1"/>
    <col min="9" max="9" width="0.85546875" customWidth="1" collapsed="1"/>
    <col min="10" max="10" width="35.7109375" customWidth="1"/>
    <col min="11" max="11" width="0.85546875" customWidth="1"/>
    <col min="12" max="12" width="80.7109375" customWidth="1"/>
  </cols>
  <sheetData>
    <row r="1" spans="2:4" hidden="1" outlineLevel="1" x14ac:dyDescent="0.25">
      <c r="B1" s="13" t="s">
        <v>2</v>
      </c>
      <c r="C1" s="14"/>
      <c r="D1" s="15"/>
    </row>
    <row r="2" spans="2:4" hidden="1" outlineLevel="1" x14ac:dyDescent="0.25">
      <c r="B2" s="1" t="s">
        <v>3</v>
      </c>
      <c r="C2" s="2" t="s">
        <v>50</v>
      </c>
      <c r="D2" s="3"/>
    </row>
    <row r="3" spans="2:4" hidden="1" outlineLevel="1" x14ac:dyDescent="0.25">
      <c r="B3" s="1" t="s">
        <v>4</v>
      </c>
      <c r="C3" s="4" t="e">
        <f ca="1">_xll.VIEW(db_name&amp;":}ElementAttributes_}Clients","!","!")</f>
        <v>#NAME?</v>
      </c>
      <c r="D3" s="3"/>
    </row>
    <row r="4" spans="2:4" hidden="1" outlineLevel="1" x14ac:dyDescent="0.25">
      <c r="B4" s="1" t="s">
        <v>5</v>
      </c>
      <c r="C4" s="2" t="e">
        <f ca="1">_xll.TM1USER(db_name)</f>
        <v>#NAME?</v>
      </c>
      <c r="D4" s="3"/>
    </row>
    <row r="5" spans="2:4" hidden="1" outlineLevel="1" x14ac:dyDescent="0.25">
      <c r="B5" s="1" t="s">
        <v>6</v>
      </c>
      <c r="C5" s="2" t="e">
        <f ca="1">_xll.DBR($C$3,$C$4,$B5)</f>
        <v>#NAME?</v>
      </c>
      <c r="D5" s="3"/>
    </row>
    <row r="6" spans="2:4" hidden="1" outlineLevel="1" x14ac:dyDescent="0.25">
      <c r="B6" s="1" t="s">
        <v>7</v>
      </c>
      <c r="C6" s="2" t="e">
        <f ca="1">_xll.DBR($C$3,$C$4,$B6)</f>
        <v>#NAME?</v>
      </c>
      <c r="D6" s="3"/>
    </row>
    <row r="7" spans="2:4" hidden="1" outlineLevel="1" x14ac:dyDescent="0.25">
      <c r="B7" s="1" t="s">
        <v>8</v>
      </c>
      <c r="C7" s="2" t="e">
        <f ca="1">IF(LEFT($C$4,6)="CAM_AD",$C$5,$C$4)</f>
        <v>#NAME?</v>
      </c>
      <c r="D7" s="5"/>
    </row>
    <row r="8" spans="2:4" hidden="1" outlineLevel="1" x14ac:dyDescent="0.25"/>
    <row r="9" spans="2:4" hidden="1" outlineLevel="1" x14ac:dyDescent="0.25">
      <c r="B9" s="13" t="s">
        <v>9</v>
      </c>
      <c r="C9" s="14"/>
      <c r="D9" s="15"/>
    </row>
    <row r="10" spans="2:4" hidden="1" outlineLevel="1" x14ac:dyDescent="0.25">
      <c r="B10" s="1" t="s">
        <v>10</v>
      </c>
      <c r="C10" s="5" t="e">
        <f ca="1">_xll.VIEW(db_name&amp;":}ElementAttributes_variables","!","!")</f>
        <v>#NAME?</v>
      </c>
      <c r="D10" s="5"/>
    </row>
    <row r="11" spans="2:4" hidden="1" outlineLevel="1" x14ac:dyDescent="0.25">
      <c r="B11" s="1"/>
      <c r="C11" s="5" t="s">
        <v>0</v>
      </c>
      <c r="D11" s="5" t="s">
        <v>41</v>
      </c>
    </row>
    <row r="12" spans="2:4" hidden="1" outlineLevel="1" x14ac:dyDescent="0.25">
      <c r="B12" s="1" t="s">
        <v>11</v>
      </c>
      <c r="C12" s="5" t="e">
        <f ca="1">_xll.DBR($C$10,$B12,C$11)</f>
        <v>#NAME?</v>
      </c>
      <c r="D12" s="5"/>
    </row>
    <row r="13" spans="2:4" hidden="1" outlineLevel="1" x14ac:dyDescent="0.25">
      <c r="B13" s="1" t="s">
        <v>12</v>
      </c>
      <c r="C13" s="5" t="e">
        <f ca="1">_xll.DBR($C$10,$B13,C$11)</f>
        <v>#NAME?</v>
      </c>
      <c r="D13" s="5"/>
    </row>
    <row r="14" spans="2:4" hidden="1" outlineLevel="1" x14ac:dyDescent="0.25">
      <c r="B14" s="1" t="s">
        <v>13</v>
      </c>
      <c r="C14" s="5" t="e">
        <f ca="1">_xll.DBR($C$10,$B14,C$11)</f>
        <v>#NAME?</v>
      </c>
      <c r="D14" s="5"/>
    </row>
    <row r="15" spans="2:4" hidden="1" outlineLevel="1" x14ac:dyDescent="0.25">
      <c r="B15" s="1" t="s">
        <v>14</v>
      </c>
      <c r="C15" s="5" t="e">
        <f ca="1">_xll.DBR($C$10,$B15,C$11)</f>
        <v>#NAME?</v>
      </c>
      <c r="D15" s="5"/>
    </row>
    <row r="16" spans="2:4" hidden="1" outlineLevel="1" x14ac:dyDescent="0.25">
      <c r="B16" s="1" t="s">
        <v>15</v>
      </c>
      <c r="C16" s="5" t="e">
        <f ca="1">_xll.DBR($C$10,$B16,C$11)</f>
        <v>#NAME?</v>
      </c>
      <c r="D16" s="5"/>
    </row>
    <row r="17" spans="2:8" hidden="1" outlineLevel="1" x14ac:dyDescent="0.25">
      <c r="B17" s="5" t="s">
        <v>1</v>
      </c>
      <c r="C17" s="5" t="e">
        <f ca="1">_xll.DBR($C$10,$B17,C$11)</f>
        <v>#NAME?</v>
      </c>
      <c r="D17" s="5"/>
    </row>
    <row r="18" spans="2:8" hidden="1" outlineLevel="1" x14ac:dyDescent="0.25"/>
    <row r="19" spans="2:8" hidden="1" outlineLevel="1" x14ac:dyDescent="0.25">
      <c r="B19" s="13" t="s">
        <v>16</v>
      </c>
      <c r="C19" s="14"/>
      <c r="D19" s="15"/>
    </row>
    <row r="20" spans="2:8" hidden="1" outlineLevel="1" x14ac:dyDescent="0.25">
      <c r="B20" s="1" t="s">
        <v>10</v>
      </c>
      <c r="C20" s="5" t="e">
        <f ca="1">_xll.VIEW(db_name&amp;":sys_client preference","!","!","!")</f>
        <v>#NAME?</v>
      </c>
      <c r="D20" s="5"/>
    </row>
    <row r="21" spans="2:8" hidden="1" outlineLevel="1" x14ac:dyDescent="0.25">
      <c r="B21" s="1" t="s">
        <v>17</v>
      </c>
      <c r="C21" s="5" t="e">
        <f ca="1">_xll.DBR($C$20,psUser,$B21,"value")</f>
        <v>#NAME?</v>
      </c>
      <c r="D21" s="5"/>
    </row>
    <row r="22" spans="2:8" hidden="1" outlineLevel="1" x14ac:dyDescent="0.25">
      <c r="B22" s="1" t="s">
        <v>18</v>
      </c>
      <c r="C22" s="5" t="e">
        <f ca="1">_xll.DBR($C$20,psUser,$B22,"value")</f>
        <v>#NAME?</v>
      </c>
      <c r="D22" s="5"/>
    </row>
    <row r="23" spans="2:8" hidden="1" outlineLevel="1" x14ac:dyDescent="0.25">
      <c r="B23" s="1" t="s">
        <v>19</v>
      </c>
      <c r="C23" s="5" t="e">
        <f ca="1">_xll.DBR($C$20,psUser,$B23,"value")</f>
        <v>#NAME?</v>
      </c>
      <c r="D23" s="5"/>
    </row>
    <row r="24" spans="2:8" hidden="1" outlineLevel="1" x14ac:dyDescent="0.25">
      <c r="B24" s="1" t="s">
        <v>20</v>
      </c>
      <c r="C24" s="5" t="e">
        <f ca="1">_xll.DBR($C$20,psUser,$B24,"value")</f>
        <v>#NAME?</v>
      </c>
      <c r="D24" s="5"/>
    </row>
    <row r="25" spans="2:8" hidden="1" outlineLevel="1" x14ac:dyDescent="0.25">
      <c r="B25" s="1" t="s">
        <v>21</v>
      </c>
      <c r="C25" s="5" t="s">
        <v>22</v>
      </c>
      <c r="D25" s="5"/>
    </row>
    <row r="26" spans="2:8" hidden="1" outlineLevel="1" x14ac:dyDescent="0.25"/>
    <row r="27" spans="2:8" hidden="1" outlineLevel="1" x14ac:dyDescent="0.25">
      <c r="B27" s="13" t="s">
        <v>23</v>
      </c>
      <c r="C27" s="14"/>
      <c r="D27" s="15"/>
    </row>
    <row r="28" spans="2:8" hidden="1" outlineLevel="1" x14ac:dyDescent="0.25">
      <c r="B28" s="5" t="s">
        <v>24</v>
      </c>
      <c r="C28" s="6" t="e">
        <f ca="1">_xll.VIEW(db_name&amp;":sys_application","!","!")</f>
        <v>#NAME?</v>
      </c>
      <c r="D28" s="6"/>
    </row>
    <row r="29" spans="2:8" hidden="1" outlineLevel="1" x14ac:dyDescent="0.25">
      <c r="B29" s="1" t="s">
        <v>40</v>
      </c>
      <c r="C29" t="s">
        <v>45</v>
      </c>
      <c r="D29" s="6"/>
    </row>
    <row r="30" spans="2:8" hidden="1" outlineLevel="1" x14ac:dyDescent="0.25">
      <c r="C30" s="6" t="s">
        <v>25</v>
      </c>
      <c r="D30" s="6" t="s">
        <v>26</v>
      </c>
      <c r="E30" s="6" t="s">
        <v>27</v>
      </c>
      <c r="F30" s="6" t="s">
        <v>28</v>
      </c>
      <c r="G30" s="6" t="s">
        <v>29</v>
      </c>
      <c r="H30" s="6" t="s">
        <v>30</v>
      </c>
    </row>
    <row r="31" spans="2:8" hidden="1" outlineLevel="1" x14ac:dyDescent="0.25">
      <c r="B31" s="5" t="s">
        <v>31</v>
      </c>
      <c r="C31" s="5" t="e">
        <f ca="1">_xll.DBR($C$28,$B31,C$30)</f>
        <v>#NAME?</v>
      </c>
      <c r="D31" s="5" t="e">
        <f ca="1">_xll.DBR($C$28,$B31,D$30)</f>
        <v>#NAME?</v>
      </c>
      <c r="E31" s="5" t="e">
        <f ca="1">_xll.DBR($C$28,$B31,E$30)</f>
        <v>#NAME?</v>
      </c>
      <c r="F31" s="5" t="e">
        <f ca="1">_xll.DBR($C$28,$B31,F$30)</f>
        <v>#NAME?</v>
      </c>
      <c r="G31" s="5" t="e">
        <f ca="1">_xll.DBR($C$28,$B31,G$30)</f>
        <v>#NAME?</v>
      </c>
      <c r="H31" s="5" t="e">
        <f ca="1">_xll.DBR($C$28,$B31,H$30)</f>
        <v>#NAME?</v>
      </c>
    </row>
    <row r="32" spans="2:8" hidden="1" outlineLevel="1" x14ac:dyDescent="0.25">
      <c r="B32" s="5" t="s">
        <v>32</v>
      </c>
      <c r="C32" s="5" t="e">
        <f ca="1">_xll.DBR($C$28,$B32,C$30)</f>
        <v>#NAME?</v>
      </c>
      <c r="D32" s="5" t="e">
        <f ca="1">_xll.DBR($C$28,$B32,D$30)</f>
        <v>#NAME?</v>
      </c>
      <c r="E32" s="5" t="e">
        <f ca="1">_xll.DBR($C$28,$B32,E$30)</f>
        <v>#NAME?</v>
      </c>
      <c r="F32" s="5" t="e">
        <f ca="1">_xll.DBR($C$28,$B32,F$30)</f>
        <v>#NAME?</v>
      </c>
      <c r="G32" s="5" t="e">
        <f ca="1">_xll.DBR($C$28,$B32,G$30)</f>
        <v>#NAME?</v>
      </c>
      <c r="H32" s="5" t="e">
        <f ca="1">_xll.DBR($C$28,$B32,H$30)</f>
        <v>#NAME?</v>
      </c>
    </row>
    <row r="33" spans="2:12" hidden="1" outlineLevel="1" x14ac:dyDescent="0.25">
      <c r="B33" s="5" t="s">
        <v>33</v>
      </c>
      <c r="C33" s="5" t="e">
        <f ca="1">_xll.DBR($C$28,$B33,C$30)</f>
        <v>#NAME?</v>
      </c>
      <c r="D33" s="5" t="e">
        <f ca="1">_xll.DBR($C$28,$B33,D$30)</f>
        <v>#NAME?</v>
      </c>
      <c r="E33" s="5" t="e">
        <f ca="1">_xll.DBR($C$28,$B33,E$30)</f>
        <v>#NAME?</v>
      </c>
      <c r="F33" s="5" t="e">
        <f ca="1">_xll.DBR($C$28,$B33,F$30)</f>
        <v>#NAME?</v>
      </c>
      <c r="G33" s="5" t="e">
        <f ca="1">_xll.DBR($C$28,$B33,G$30)</f>
        <v>#NAME?</v>
      </c>
      <c r="H33" s="5" t="e">
        <f ca="1">_xll.DBR($C$28,$B33,H$30)</f>
        <v>#NAME?</v>
      </c>
    </row>
    <row r="34" spans="2:12" hidden="1" outlineLevel="1" x14ac:dyDescent="0.25">
      <c r="B34" s="5" t="s">
        <v>34</v>
      </c>
      <c r="C34" s="5" t="e">
        <f ca="1">_xll.DBR($C$28,$B34,C$30)</f>
        <v>#NAME?</v>
      </c>
      <c r="D34" s="5" t="e">
        <f ca="1">_xll.DBR($C$28,$B34,D$30)</f>
        <v>#NAME?</v>
      </c>
      <c r="E34" s="5" t="e">
        <f ca="1">_xll.DBR($C$28,$B34,E$30)</f>
        <v>#NAME?</v>
      </c>
      <c r="F34" s="5" t="e">
        <f ca="1">_xll.DBR($C$28,$B34,F$30)</f>
        <v>#NAME?</v>
      </c>
      <c r="G34" s="5" t="e">
        <f ca="1">_xll.DBR($C$28,$B34,G$30)</f>
        <v>#NAME?</v>
      </c>
      <c r="H34" s="5" t="e">
        <f ca="1">_xll.DBR($C$28,$B34,H$30)</f>
        <v>#NAME?</v>
      </c>
    </row>
    <row r="35" spans="2:12" hidden="1" outlineLevel="1" x14ac:dyDescent="0.25">
      <c r="B35" s="5" t="s">
        <v>35</v>
      </c>
      <c r="C35" s="5" t="e">
        <f ca="1">_xll.DBR($C$28,$B35,C$30)</f>
        <v>#NAME?</v>
      </c>
      <c r="D35" s="5" t="e">
        <f ca="1">_xll.DBR($C$28,$B35,D$30)</f>
        <v>#NAME?</v>
      </c>
      <c r="E35" s="5" t="e">
        <f ca="1">_xll.DBR($C$28,$B35,E$30)</f>
        <v>#NAME?</v>
      </c>
      <c r="F35" s="5" t="e">
        <f ca="1">_xll.DBR($C$28,$B35,F$30)</f>
        <v>#NAME?</v>
      </c>
      <c r="G35" s="5" t="e">
        <f ca="1">_xll.DBR($C$28,$B35,G$30)</f>
        <v>#NAME?</v>
      </c>
      <c r="H35" s="5" t="e">
        <f ca="1">_xll.DBR($C$28,$B35,H$30)</f>
        <v>#NAME?</v>
      </c>
    </row>
    <row r="36" spans="2:12" hidden="1" outlineLevel="1" x14ac:dyDescent="0.25">
      <c r="B36" s="5" t="s">
        <v>36</v>
      </c>
      <c r="C36" s="5" t="e">
        <f ca="1">_xll.DBR($C$28,$B36,C$30)</f>
        <v>#NAME?</v>
      </c>
      <c r="D36" s="5" t="e">
        <f ca="1">_xll.DBR($C$28,$B36,D$30)</f>
        <v>#NAME?</v>
      </c>
      <c r="E36" s="5" t="e">
        <f ca="1">_xll.DBR($C$28,$B36,E$30)</f>
        <v>#NAME?</v>
      </c>
      <c r="F36" s="5" t="e">
        <f ca="1">_xll.DBR($C$28,$B36,F$30)</f>
        <v>#NAME?</v>
      </c>
      <c r="G36" s="5" t="e">
        <f ca="1">_xll.DBR($C$28,$B36,G$30)</f>
        <v>#NAME?</v>
      </c>
      <c r="H36" s="5" t="e">
        <f ca="1">_xll.DBR($C$28,$B36,H$30)</f>
        <v>#NAME?</v>
      </c>
    </row>
    <row r="37" spans="2:12" hidden="1" outlineLevel="1" x14ac:dyDescent="0.25">
      <c r="B37" s="5" t="s">
        <v>37</v>
      </c>
      <c r="C37" s="5" t="e">
        <f ca="1">_xll.DBR($C$28,$B37,C$30)</f>
        <v>#NAME?</v>
      </c>
      <c r="D37" s="5" t="e">
        <f ca="1">_xll.DBR($C$28,$B37,D$30)</f>
        <v>#NAME?</v>
      </c>
      <c r="E37" s="5" t="e">
        <f ca="1">_xll.DBR($C$28,$B37,E$30)</f>
        <v>#NAME?</v>
      </c>
      <c r="F37" s="5" t="e">
        <f ca="1">_xll.DBR($C$28,$B37,F$30)</f>
        <v>#NAME?</v>
      </c>
      <c r="G37" s="5" t="e">
        <f ca="1">_xll.DBR($C$28,$B37,G$30)</f>
        <v>#NAME?</v>
      </c>
      <c r="H37" s="5" t="e">
        <f ca="1">_xll.DBR($C$28,$B37,H$30)</f>
        <v>#NAME?</v>
      </c>
    </row>
    <row r="38" spans="2:12" hidden="1" outlineLevel="1" x14ac:dyDescent="0.25">
      <c r="B38" s="5" t="s">
        <v>38</v>
      </c>
      <c r="C38" s="5" t="e">
        <f ca="1">_xll.DBR($C$28,$B38,C$30)</f>
        <v>#NAME?</v>
      </c>
      <c r="D38" s="5" t="e">
        <f ca="1">_xll.DBR($C$28,$B38,D$30)</f>
        <v>#NAME?</v>
      </c>
      <c r="E38" s="5" t="e">
        <f ca="1">_xll.DBR($C$28,$B38,E$30)</f>
        <v>#NAME?</v>
      </c>
      <c r="F38" s="5" t="e">
        <f ca="1">_xll.DBR($C$28,$B38,F$30)</f>
        <v>#NAME?</v>
      </c>
      <c r="G38" s="5" t="e">
        <f ca="1">_xll.DBR($C$28,$B38,G$30)</f>
        <v>#NAME?</v>
      </c>
      <c r="H38" s="5" t="e">
        <f ca="1">_xll.DBR($C$28,$B38,H$30)</f>
        <v>#NAME?</v>
      </c>
    </row>
    <row r="39" spans="2:12" hidden="1" outlineLevel="1" x14ac:dyDescent="0.25">
      <c r="B39" s="5" t="s">
        <v>39</v>
      </c>
      <c r="C39" s="5" t="e">
        <f ca="1">_xll.DBR($C$28,$B39,C$30)</f>
        <v>#NAME?</v>
      </c>
      <c r="D39" s="5" t="e">
        <f ca="1">_xll.DBR($C$28,$B39,D$30)</f>
        <v>#NAME?</v>
      </c>
      <c r="E39" s="5" t="e">
        <f ca="1">_xll.DBR($C$28,$B39,E$30)</f>
        <v>#NAME?</v>
      </c>
      <c r="F39" s="5" t="e">
        <f ca="1">_xll.DBR($C$28,$B39,F$30)</f>
        <v>#NAME?</v>
      </c>
      <c r="G39" s="5" t="e">
        <f ca="1">_xll.DBR($C$28,$B39,G$30)</f>
        <v>#NAME?</v>
      </c>
      <c r="H39" s="5" t="e">
        <f ca="1">_xll.DBR($C$28,$B39,H$30)</f>
        <v>#NAME?</v>
      </c>
    </row>
    <row r="40" spans="2:12" hidden="1" outlineLevel="1" x14ac:dyDescent="0.25">
      <c r="B40" s="5" t="s">
        <v>45</v>
      </c>
      <c r="C40" s="5" t="e">
        <f ca="1">_xll.DBR($C$28,$B40,C$30)</f>
        <v>#NAME?</v>
      </c>
      <c r="D40" s="5" t="e">
        <f ca="1">_xll.DBR($C$28,$B40,D$30)</f>
        <v>#NAME?</v>
      </c>
      <c r="E40" s="5" t="e">
        <f ca="1">_xll.DBR($C$28,$B40,E$30)</f>
        <v>#NAME?</v>
      </c>
      <c r="F40" s="5" t="e">
        <f ca="1">_xll.DBR($C$28,$B40,F$30)</f>
        <v>#NAME?</v>
      </c>
      <c r="G40" s="5" t="e">
        <f ca="1">_xll.DBR($C$28,$B40,G$30)</f>
        <v>#NAME?</v>
      </c>
      <c r="H40" s="5" t="e">
        <f ca="1">_xll.DBR($C$28,$B40,H$30)</f>
        <v>#NAME?</v>
      </c>
    </row>
    <row r="41" spans="2:12" hidden="1" outlineLevel="1" x14ac:dyDescent="0.25">
      <c r="B41" s="5" t="s">
        <v>46</v>
      </c>
      <c r="C41" s="5" t="e">
        <f ca="1">_xll.DBR($C$28,$B41,C$30)</f>
        <v>#NAME?</v>
      </c>
      <c r="D41" s="5" t="e">
        <f ca="1">_xll.DBR($C$28,$B41,D$30)</f>
        <v>#NAME?</v>
      </c>
      <c r="E41" s="5" t="e">
        <f ca="1">_xll.DBR($C$28,$B41,E$30)</f>
        <v>#NAME?</v>
      </c>
      <c r="F41" s="5" t="e">
        <f ca="1">_xll.DBR($C$28,$B41,F$30)</f>
        <v>#NAME?</v>
      </c>
      <c r="G41" s="5" t="e">
        <f ca="1">_xll.DBR($C$28,$B41,G$30)</f>
        <v>#NAME?</v>
      </c>
      <c r="H41" s="5" t="e">
        <f ca="1">_xll.DBR($C$28,$B41,H$30)</f>
        <v>#NAME?</v>
      </c>
    </row>
    <row r="42" spans="2:12" hidden="1" outlineLevel="1" x14ac:dyDescent="0.25"/>
    <row r="43" spans="2:12" hidden="1" outlineLevel="1" x14ac:dyDescent="0.25"/>
    <row r="44" spans="2:12" hidden="1" outlineLevel="1" x14ac:dyDescent="0.25"/>
    <row r="45" spans="2:12" hidden="1" outlineLevel="1" x14ac:dyDescent="0.25"/>
    <row r="46" spans="2:12" ht="39.950000000000003" customHeight="1" collapsed="1" x14ac:dyDescent="0.25">
      <c r="I46" s="7"/>
      <c r="J46" s="7"/>
      <c r="K46" s="7"/>
      <c r="L46" s="7" t="s">
        <v>49</v>
      </c>
    </row>
    <row r="47" spans="2:12" ht="4.5" customHeight="1" x14ac:dyDescent="0.25"/>
    <row r="48" spans="2:12" ht="24" customHeight="1" x14ac:dyDescent="0.25"/>
    <row r="49" spans="9:12" ht="1.5" customHeight="1" x14ac:dyDescent="0.25">
      <c r="I49" s="7"/>
      <c r="J49" s="7"/>
      <c r="K49" s="7"/>
      <c r="L49" s="7"/>
    </row>
    <row r="50" spans="9:12" ht="4.5" customHeight="1" x14ac:dyDescent="0.25"/>
    <row r="51" spans="9:12" x14ac:dyDescent="0.25">
      <c r="J51" s="12" t="s">
        <v>43</v>
      </c>
      <c r="K51" s="12"/>
      <c r="L51" s="12"/>
    </row>
    <row r="52" spans="9:12" x14ac:dyDescent="0.25">
      <c r="J52" s="12" t="s">
        <v>44</v>
      </c>
      <c r="K52" s="12"/>
      <c r="L52" s="12"/>
    </row>
    <row r="53" spans="9:12" x14ac:dyDescent="0.25">
      <c r="J53" s="12" t="s">
        <v>47</v>
      </c>
      <c r="K53" s="12"/>
      <c r="L53" s="12"/>
    </row>
    <row r="54" spans="9:12" ht="4.5" customHeight="1" x14ac:dyDescent="0.25"/>
    <row r="55" spans="9:12" x14ac:dyDescent="0.25">
      <c r="L55" s="10" t="s">
        <v>48</v>
      </c>
    </row>
    <row r="56" spans="9:12" ht="57.75" customHeight="1" x14ac:dyDescent="0.25">
      <c r="J56" s="8" t="s">
        <v>42</v>
      </c>
      <c r="K56" s="9"/>
      <c r="L56" s="11" t="e">
        <f ca="1">_xll.DBRW($C$10,$B17,$C$11)</f>
        <v>#NAME?</v>
      </c>
    </row>
  </sheetData>
  <sheetProtection sheet="1" objects="1" scenarios="1"/>
  <mergeCells count="7">
    <mergeCell ref="J52:L52"/>
    <mergeCell ref="J53:L53"/>
    <mergeCell ref="B1:D1"/>
    <mergeCell ref="B9:D9"/>
    <mergeCell ref="B19:D19"/>
    <mergeCell ref="B27:D27"/>
    <mergeCell ref="J51:L51"/>
  </mergeCells>
  <pageMargins left="0.7" right="0.7" top="0.75" bottom="0.75" header="0.3" footer="0.3"/>
  <pageSetup paperSize="9" orientation="portrait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36</vt:i4>
      </vt:variant>
    </vt:vector>
  </HeadingPairs>
  <TitlesOfParts>
    <vt:vector size="37" baseType="lpstr">
      <vt:lpstr>save location</vt:lpstr>
      <vt:lpstr>db_name</vt:lpstr>
      <vt:lpstr>psApp</vt:lpstr>
      <vt:lpstr>psUser</vt:lpstr>
      <vt:lpstr>TM1FFExtractCAP</vt:lpstr>
      <vt:lpstr>TM1FFExtractWB</vt:lpstr>
      <vt:lpstr>TM1FFExtractWS</vt:lpstr>
      <vt:lpstr>TM1FFSetSaveLocCAP</vt:lpstr>
      <vt:lpstr>TM1FFSetSaveLocWB</vt:lpstr>
      <vt:lpstr>TM1FFSetSaveLocWS</vt:lpstr>
      <vt:lpstr>TM1HomeAdminCAP</vt:lpstr>
      <vt:lpstr>TM1HomeAdminWB</vt:lpstr>
      <vt:lpstr>TM1HomeAdminWS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TM1HomeAEFFCAP</vt:lpstr>
      <vt:lpstr>TM1HomeAEFFWB</vt:lpstr>
      <vt:lpstr>TM1HomeAEFFWS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2019-08-29T08:51:24Z</dcterms:created>
  <dcterms:modified xsi:type="dcterms:W3CDTF">2025-08-11T06:09:33Z</dcterms:modified>
</cp:coreProperties>
</file>