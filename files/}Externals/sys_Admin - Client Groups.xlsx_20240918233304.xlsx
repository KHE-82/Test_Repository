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\Excelerated Consulting\"/>
    </mc:Choice>
  </mc:AlternateContent>
  <bookViews>
    <workbookView xWindow="0" yWindow="0" windowWidth="38400" windowHeight="17700"/>
  </bookViews>
  <sheets>
    <sheet name="Sheet1" sheetId="1" r:id="rId1"/>
  </sheets>
  <definedNames>
    <definedName name="db_name">Sheet1!$C$12</definedName>
    <definedName name="TM1HomeAdminCAP">Sheet1!$D$34</definedName>
    <definedName name="TM1HomeAdminGEUSCAP">Sheet1!$D$35</definedName>
    <definedName name="TM1HomeAdminGEUSWB">Sheet1!$F$35</definedName>
    <definedName name="TM1HomeAdminGEUSWS">Sheet1!$H$35</definedName>
    <definedName name="TM1HomeAdminWB">Sheet1!$F$34</definedName>
    <definedName name="TM1HomeAdminWS">Sheet1!$H$34</definedName>
    <definedName name="TM1HomeAECAP">Sheet1!$D$32</definedName>
    <definedName name="TM1HomeAEWB">Sheet1!$F$32</definedName>
    <definedName name="TM1HomeAEWS">Sheet1!$H$32</definedName>
    <definedName name="TM1HomeCAP">Sheet1!$D$31</definedName>
    <definedName name="TM1HomeRepCAP">Sheet1!$D$33</definedName>
    <definedName name="TM1HomeRepWB">Sheet1!$F$33</definedName>
    <definedName name="TM1HomeRepWS">Sheet1!$H$33</definedName>
    <definedName name="TM1HomeWB">Sheet1!$F$31</definedName>
    <definedName name="TM1HomeWS">Sheet1!$H$31</definedName>
    <definedName name="TM1REBUILDOPTION">0</definedName>
    <definedName name="TM1RPTDATARNG1" localSheetId="0">Sheet1!$52:$52</definedName>
    <definedName name="TM1RPTFMTIDCOL" localSheetId="0">Sheet1!$A$1:$A$8</definedName>
    <definedName name="TM1RPTFMTRNG" localSheetId="0">Sheet1!$J$1:$P$8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1" l="1"/>
  <c r="H35" i="1"/>
  <c r="G35" i="1"/>
  <c r="F35" i="1"/>
  <c r="E35" i="1"/>
  <c r="D35" i="1"/>
  <c r="C35" i="1"/>
  <c r="C39" i="1"/>
  <c r="C20" i="1"/>
  <c r="C25" i="1"/>
  <c r="C24" i="1"/>
  <c r="C23" i="1"/>
  <c r="C22" i="1"/>
  <c r="C21" i="1"/>
  <c r="C13" i="1"/>
  <c r="C14" i="1"/>
  <c r="C15" i="1"/>
  <c r="C17" i="1"/>
  <c r="C16" i="1"/>
  <c r="J52" i="1"/>
  <c r="M52" i="1"/>
  <c r="N52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P52" i="1"/>
  <c r="O52" i="1"/>
  <c r="L52" i="1"/>
  <c r="K52" i="1"/>
  <c r="A52" i="1"/>
  <c r="A5" i="1"/>
  <c r="A4" i="1"/>
  <c r="A3" i="1"/>
  <c r="A2" i="1"/>
</calcChain>
</file>

<file path=xl/sharedStrings.xml><?xml version="1.0" encoding="utf-8"?>
<sst xmlns="http://schemas.openxmlformats.org/spreadsheetml/2006/main" count="48" uniqueCount="47">
  <si>
    <t>ADMIN</t>
  </si>
  <si>
    <t>AE Approvers</t>
  </si>
  <si>
    <t>CAMID("pans:g:Subscription Administrators")</t>
  </si>
  <si>
    <t>CAMID("::Everyone")</t>
  </si>
  <si>
    <t>D</t>
  </si>
  <si>
    <t>N</t>
  </si>
  <si>
    <t>[Begin Format Range]</t>
  </si>
  <si>
    <t>[End Format Range]</t>
  </si>
  <si>
    <t>Database Variables</t>
  </si>
  <si>
    <t>Database Name</t>
  </si>
  <si>
    <t>dcceew_geus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</si>
  <si>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</si>
  <si>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</si>
  <si>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</si>
  <si>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</si>
  <si>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</si>
  <si>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</si>
  <si>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</si>
  <si>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</si>
  <si>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</si>
  <si>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</si>
  <si>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</si>
  <si>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current budget round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</si>
  <si>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</si>
  <si>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</si>
  <si>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</si>
  <si>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</si>
  <si>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</si>
  <si>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</si>
  <si>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</si>
  <si>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</si>
  <si>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</si>
  <si>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</si>
  <si>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</si>
  <si>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</si>
  <si>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</si>
  <si>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Active Form</t>
  </si>
  <si>
    <t>}CLientGroups</t>
  </si>
  <si>
    <t>MDX</t>
  </si>
  <si>
    <t>{TM1SUBSETALL( [}Clients] )}</t>
  </si>
  <si>
    <t>AE Data Entry</t>
  </si>
  <si>
    <t>AE Reports</t>
  </si>
  <si>
    <t>NON CAM GROUPS</t>
  </si>
  <si>
    <t>Note : This screen is used to maintain the }ClientGroups cube. Note only Administrators are only allowed to make changes to this cube</t>
  </si>
  <si>
    <t>Homepage - Administration - GEUS Setup</t>
  </si>
  <si>
    <t>Admin - Client Groups</t>
  </si>
  <si>
    <t>Administration - Client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</si>
</sst>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26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4" fillId="3" borderId="4" xfId="0" applyFont="1" applyFill="1" applyBorder="1"/>
    <xf numFmtId="0" fontId="3" fillId="3" borderId="4" xfId="0" applyFont="1" applyFill="1" applyBorder="1"/>
    <xf numFmtId="0" fontId="4" fillId="0" borderId="4" xfId="0" applyFont="1" applyBorder="1" applyProtection="1">
      <protection locked="0"/>
    </xf>
    <xf numFmtId="0" fontId="3" fillId="0" borderId="4" xfId="0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5" fillId="0" borderId="0" xfId="0" applyFont="1"/>
    <xf numFmtId="0" fontId="6" fillId="4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7" fillId="0" borderId="0" xfId="0" applyFont="1" applyFill="1"/>
    <xf numFmtId="0" fontId="7" fillId="0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49" fontId="4" fillId="0" borderId="9" xfId="0" applyNumberFormat="1" applyFont="1" applyBorder="1" applyAlignment="1" applyProtection="1">
      <protection locked="0"/>
    </xf>
    <xf numFmtId="0" fontId="3" fillId="0" borderId="9" xfId="0" applyFont="1" applyBorder="1" applyAlignment="1" applyProtection="1">
      <alignment horizontal="center"/>
      <protection locked="0"/>
    </xf>
    <xf numFmtId="0" fontId="3" fillId="0" borderId="9" xfId="0" applyFont="1" applyBorder="1" applyProtection="1">
      <protection locked="0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42</xdr:row>
      <xdr:rowOff>38100</xdr:rowOff>
    </xdr:from>
    <xdr:to>
      <xdr:col>9</xdr:col>
      <xdr:colOff>1819275</xdr:colOff>
      <xdr:row>42</xdr:row>
      <xdr:rowOff>497205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8039100"/>
          <a:ext cx="1819275" cy="45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66675</xdr:colOff>
          <xdr:row>44</xdr:row>
          <xdr:rowOff>9525</xdr:rowOff>
        </xdr:from>
        <xdr:to>
          <xdr:col>9</xdr:col>
          <xdr:colOff>704850</xdr:colOff>
          <xdr:row>44</xdr:row>
          <xdr:rowOff>257175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742950</xdr:colOff>
          <xdr:row>44</xdr:row>
          <xdr:rowOff>9525</xdr:rowOff>
        </xdr:from>
        <xdr:to>
          <xdr:col>9</xdr:col>
          <xdr:colOff>1866900</xdr:colOff>
          <xdr:row>44</xdr:row>
          <xdr:rowOff>257175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1924050</xdr:colOff>
          <xdr:row>44</xdr:row>
          <xdr:rowOff>9525</xdr:rowOff>
        </xdr:from>
        <xdr:to>
          <xdr:col>10</xdr:col>
          <xdr:colOff>219075</xdr:colOff>
          <xdr:row>44</xdr:row>
          <xdr:rowOff>257175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outlinePr showOutlineSymbols="0"/>
    <pageSetUpPr fitToPage="1"/>
  </sheetPr>
  <dimension ref="A1:P52"/>
  <sheetViews>
    <sheetView showGridLines="0" tabSelected="1" showOutlineSymbols="0" topLeftCell="I43" workbookViewId="0">
      <pane ySplit="9" topLeftCell="A52" activePane="bottomLeft" state="frozen"/>
      <selection activeCell="I43" sqref="I43"/>
      <selection pane="bottomLeft" activeCell="L43" sqref="L43"/>
    </sheetView>
  </sheetViews>
  <sheetFormatPr defaultRowHeight="15" outlineLevelRow="1" outlineLevelCol="1" x14ac:dyDescent="0.25"/>
  <cols>
    <col min="1" max="1" width="20.28515625" hidden="1" customWidth="1" outlineLevel="1"/>
    <col min="2" max="2" width="47.42578125" hidden="1" customWidth="1" outlineLevel="1"/>
    <col min="3" max="8" width="20.28515625" hidden="1" customWidth="1" outlineLevel="1"/>
    <col min="9" max="9" width="0.85546875" customWidth="1" collapsed="1"/>
    <col min="10" max="10" width="37.28515625" bestFit="1" customWidth="1"/>
    <col min="11" max="14" width="15.7109375" customWidth="1"/>
    <col min="15" max="15" width="42.5703125" bestFit="1" customWidth="1"/>
    <col min="16" max="16" width="20.28515625" bestFit="1" customWidth="1"/>
  </cols>
  <sheetData>
    <row r="1" spans="1:16" ht="15" hidden="1" customHeight="1" outlineLevel="1" x14ac:dyDescent="0.25">
      <c r="A1" s="16" t="s">
        <v>6</v>
      </c>
      <c r="B1" s="16"/>
      <c r="C1" s="16"/>
      <c r="D1" s="16"/>
      <c r="E1" s="16"/>
      <c r="F1" s="16"/>
      <c r="G1" s="16"/>
      <c r="H1" s="16"/>
      <c r="I1" s="16"/>
    </row>
    <row r="2" spans="1:16" ht="15" hidden="1" customHeight="1" outlineLevel="1" x14ac:dyDescent="0.25">
      <c r="A2" s="16">
        <f>0</f>
        <v>0</v>
      </c>
      <c r="B2" s="16"/>
      <c r="C2" s="16"/>
      <c r="D2" s="16"/>
      <c r="E2" s="16"/>
      <c r="F2" s="16"/>
      <c r="G2" s="16"/>
      <c r="H2" s="16"/>
      <c r="I2" s="16"/>
      <c r="J2" s="9"/>
      <c r="K2" s="19"/>
      <c r="L2" s="19"/>
      <c r="M2" s="19"/>
      <c r="N2" s="19"/>
      <c r="O2" s="10"/>
      <c r="P2" s="10"/>
    </row>
    <row r="3" spans="1:16" ht="15" hidden="1" customHeight="1" outlineLevel="1" x14ac:dyDescent="0.25">
      <c r="A3" s="16">
        <f>1</f>
        <v>1</v>
      </c>
      <c r="B3" s="16"/>
      <c r="C3" s="16"/>
      <c r="D3" s="16"/>
      <c r="E3" s="16"/>
      <c r="F3" s="16"/>
      <c r="G3" s="16"/>
      <c r="H3" s="16"/>
      <c r="I3" s="16"/>
      <c r="J3" s="11"/>
      <c r="K3" s="13"/>
      <c r="L3" s="13"/>
      <c r="M3" s="13"/>
      <c r="N3" s="13"/>
      <c r="O3" s="12"/>
      <c r="P3" s="12"/>
    </row>
    <row r="4" spans="1:16" ht="15" hidden="1" customHeight="1" outlineLevel="1" x14ac:dyDescent="0.25">
      <c r="A4" s="16">
        <f>2</f>
        <v>2</v>
      </c>
      <c r="B4" s="16"/>
      <c r="C4" s="16"/>
      <c r="D4" s="16"/>
      <c r="E4" s="16"/>
      <c r="F4" s="16"/>
      <c r="G4" s="16"/>
      <c r="H4" s="16"/>
      <c r="I4" s="16"/>
      <c r="J4" s="11"/>
      <c r="K4" s="13"/>
      <c r="L4" s="13"/>
      <c r="M4" s="13"/>
      <c r="N4" s="13"/>
      <c r="O4" s="12"/>
      <c r="P4" s="12"/>
    </row>
    <row r="5" spans="1:16" ht="15" hidden="1" customHeight="1" outlineLevel="1" x14ac:dyDescent="0.25">
      <c r="A5" s="16">
        <f>3</f>
        <v>3</v>
      </c>
      <c r="B5" s="16"/>
      <c r="C5" s="16"/>
      <c r="D5" s="16"/>
      <c r="E5" s="16"/>
      <c r="F5" s="16"/>
      <c r="G5" s="16"/>
      <c r="H5" s="16"/>
      <c r="I5" s="16"/>
      <c r="J5" s="11"/>
      <c r="K5" s="13"/>
      <c r="L5" s="13"/>
      <c r="M5" s="13"/>
      <c r="N5" s="13"/>
      <c r="O5" s="12"/>
      <c r="P5" s="12"/>
    </row>
    <row r="6" spans="1:16" ht="15" hidden="1" customHeight="1" outlineLevel="1" x14ac:dyDescent="0.25">
      <c r="A6" s="16" t="s">
        <v>4</v>
      </c>
      <c r="B6" s="16"/>
      <c r="C6" s="16"/>
      <c r="D6" s="16"/>
      <c r="E6" s="16"/>
      <c r="F6" s="16"/>
      <c r="G6" s="16"/>
      <c r="H6" s="16"/>
      <c r="I6" s="16"/>
      <c r="J6" s="11"/>
      <c r="K6" s="13"/>
      <c r="L6" s="13"/>
      <c r="M6" s="13"/>
      <c r="N6" s="13"/>
      <c r="O6" s="12"/>
      <c r="P6" s="12"/>
    </row>
    <row r="7" spans="1:16" ht="15" hidden="1" customHeight="1" outlineLevel="1" x14ac:dyDescent="0.25">
      <c r="A7" s="16" t="s">
        <v>5</v>
      </c>
      <c r="B7" s="16"/>
      <c r="C7" s="16"/>
      <c r="D7" s="16"/>
      <c r="E7" s="16"/>
      <c r="F7" s="16"/>
      <c r="G7" s="16"/>
      <c r="H7" s="16"/>
      <c r="I7" s="16"/>
      <c r="J7" s="11"/>
      <c r="K7" s="13"/>
      <c r="L7" s="13"/>
      <c r="M7" s="13"/>
      <c r="N7" s="13"/>
      <c r="O7" s="12"/>
      <c r="P7" s="12"/>
    </row>
    <row r="8" spans="1:16" s="17" customFormat="1" ht="15" hidden="1" customHeight="1" outlineLevel="1" x14ac:dyDescent="0.25">
      <c r="A8" s="16" t="s">
        <v>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1:16" s="17" customFormat="1" ht="15" hidden="1" customHeight="1" outlineLevel="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1:16" s="17" customFormat="1" ht="15" hidden="1" customHeight="1" outlineLevel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1:16" s="17" customFormat="1" ht="15" hidden="1" customHeight="1" outlineLevel="1" x14ac:dyDescent="0.25">
      <c r="A11" s="16"/>
      <c r="B11" s="1" t="s">
        <v>8</v>
      </c>
      <c r="C11" s="2"/>
      <c r="D11" s="3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1:16" s="17" customFormat="1" ht="15" hidden="1" customHeight="1" outlineLevel="1" x14ac:dyDescent="0.25">
      <c r="A12" s="16"/>
      <c r="B12" s="4" t="s">
        <v>9</v>
      </c>
      <c r="C12" s="5" t="s">
        <v>10</v>
      </c>
      <c r="D12" s="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1:16" s="17" customFormat="1" ht="15" hidden="1" customHeight="1" outlineLevel="1" x14ac:dyDescent="0.25">
      <c r="A13" s="16"/>
      <c r="B13" s="4" t="s">
        <v>11</v>
      </c>
      <c r="C13" s="7" t="str">
        <f ca="1">_xll.VIEW(db_name&amp;":}ElementAttributes_}Clients","!","!")</f>
        <v>dcceew_geus:}ElementAttributes_}Clients</v>
      </c>
      <c r="D13" s="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1:16" s="17" customFormat="1" ht="15" hidden="1" customHeight="1" outlineLevel="1" x14ac:dyDescent="0.25">
      <c r="A14" s="16"/>
      <c r="B14" s="4" t="s">
        <v>12</v>
      </c>
      <c r="C14" s="5" t="str">
        <f ca="1">_xll.TM1USER(db_name)</f>
        <v>CAMID("pans:u:kgimena@excelerated.com.au")</v>
      </c>
      <c r="D14" s="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1:16" s="17" customFormat="1" ht="15" hidden="1" customHeight="1" outlineLevel="1" x14ac:dyDescent="0.25">
      <c r="A15" s="16"/>
      <c r="B15" s="4" t="s">
        <v>13</v>
      </c>
      <c r="C15" s="5" t="str">
        <f ca="1">_xll.DBR($C$13,$C$14,$B15)</f>
        <v>Business Analytics/Khristian Gimena</v>
      </c>
      <c r="D15" s="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1:16" s="17" customFormat="1" ht="15" hidden="1" customHeight="1" outlineLevel="1" x14ac:dyDescent="0.25">
      <c r="A16" s="16"/>
      <c r="B16" s="4" t="s">
        <v>14</v>
      </c>
      <c r="C16" s="5" t="str">
        <f ca="1">_xll.DBR($C$13,$C$14,$B16)</f>
        <v>Khristian Gimena</v>
      </c>
      <c r="D16" s="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1:15" s="17" customFormat="1" ht="15" hidden="1" customHeight="1" outlineLevel="1" x14ac:dyDescent="0.25">
      <c r="A17" s="16"/>
      <c r="B17" s="4" t="s">
        <v>15</v>
      </c>
      <c r="C17" s="5" t="str">
        <f ca="1">IF(LEFT($C$15,6)="CAM_AD",$C$16,$C$15)</f>
        <v>Business Analytics/Khristian Gimena</v>
      </c>
      <c r="D17" s="8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1:15" s="17" customFormat="1" ht="15" hidden="1" customHeight="1" outlineLevel="1" x14ac:dyDescent="0.25">
      <c r="A18" s="16"/>
      <c r="B18"/>
      <c r="C18"/>
      <c r="D18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1:15" s="17" customFormat="1" ht="15" hidden="1" customHeight="1" outlineLevel="1" x14ac:dyDescent="0.25">
      <c r="A19" s="16"/>
      <c r="B19" s="1" t="s">
        <v>16</v>
      </c>
      <c r="C19" s="2"/>
      <c r="D19" s="3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1:15" s="17" customFormat="1" ht="15" hidden="1" customHeight="1" outlineLevel="1" x14ac:dyDescent="0.25">
      <c r="A20" s="16"/>
      <c r="B20" s="4" t="s">
        <v>17</v>
      </c>
      <c r="C20" s="8" t="str">
        <f ca="1">_xll.VIEW(db_name&amp;":}ElementAttributes_variables","!","!")</f>
        <v>dcceew_geus:}ElementAttributes_variables</v>
      </c>
      <c r="D20" s="8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s="17" customFormat="1" ht="15" hidden="1" customHeight="1" outlineLevel="1" x14ac:dyDescent="0.25">
      <c r="A21" s="16"/>
      <c r="B21" s="4" t="s">
        <v>18</v>
      </c>
      <c r="C21" s="8" t="str">
        <f ca="1">_xll.DBR($C$20,$B21,"value")</f>
        <v>HL2025-2026</v>
      </c>
      <c r="D21" s="8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1:15" s="17" customFormat="1" ht="15" hidden="1" customHeight="1" outlineLevel="1" x14ac:dyDescent="0.25">
      <c r="A22" s="16"/>
      <c r="B22" s="4" t="s">
        <v>19</v>
      </c>
      <c r="C22" s="8" t="str">
        <f ca="1">_xll.DBR($C$20,$B22,"value")</f>
        <v>current</v>
      </c>
      <c r="D22" s="8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1:15" s="17" customFormat="1" ht="15" hidden="1" customHeight="1" outlineLevel="1" x14ac:dyDescent="0.25">
      <c r="A23" s="16"/>
      <c r="B23" s="4" t="s">
        <v>20</v>
      </c>
      <c r="C23" s="8" t="str">
        <f ca="1">_xll.DBR($C$20,$B23,"value")</f>
        <v>HL2024-2025</v>
      </c>
      <c r="D23" s="8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1:15" s="17" customFormat="1" ht="15" hidden="1" customHeight="1" outlineLevel="1" x14ac:dyDescent="0.25">
      <c r="A24" s="16"/>
      <c r="B24" s="4" t="s">
        <v>21</v>
      </c>
      <c r="C24" s="8" t="str">
        <f ca="1">_xll.DBR($C$20,$B24,"value")</f>
        <v>Budget</v>
      </c>
      <c r="D24" s="8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1:15" s="17" customFormat="1" ht="15" hidden="1" customHeight="1" outlineLevel="1" x14ac:dyDescent="0.25">
      <c r="A25" s="16"/>
      <c r="B25" s="4" t="s">
        <v>22</v>
      </c>
      <c r="C25" s="8" t="str">
        <f ca="1">_xll.DBR($C$20,$B25,"value")</f>
        <v>MYEFO</v>
      </c>
      <c r="D25" s="8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1:15" s="17" customFormat="1" ht="15" hidden="1" customHeight="1" outlineLevel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1:15" s="17" customFormat="1" ht="15" hidden="1" customHeight="1" outlineLevel="1" x14ac:dyDescent="0.25">
      <c r="A27" s="16"/>
      <c r="B27" s="1" t="s">
        <v>23</v>
      </c>
      <c r="C27" s="2"/>
      <c r="D27" s="3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1:15" s="17" customFormat="1" ht="15" hidden="1" customHeight="1" outlineLevel="1" x14ac:dyDescent="0.25">
      <c r="A28" s="16"/>
      <c r="B28" s="4" t="s">
        <v>24</v>
      </c>
      <c r="C28" s="8" t="str">
        <f ca="1">_xll.VIEW(db_name&amp;":sys_application","!","!")</f>
        <v>dcceew_geus:sys_application</v>
      </c>
      <c r="D28" s="8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1:15" s="17" customFormat="1" ht="15" hidden="1" customHeight="1" outlineLevel="1" x14ac:dyDescent="0.25">
      <c r="A29" s="16"/>
      <c r="B29" s="4" t="s">
        <v>25</v>
      </c>
      <c r="C29" t="s">
        <v>45</v>
      </c>
      <c r="D29" s="8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1:15" s="17" customFormat="1" ht="15" hidden="1" customHeight="1" outlineLevel="1" x14ac:dyDescent="0.25">
      <c r="A30" s="16"/>
      <c r="B30" s="8"/>
      <c r="C30" s="4" t="s">
        <v>26</v>
      </c>
      <c r="D30" s="4" t="s">
        <v>27</v>
      </c>
      <c r="E30" s="4" t="s">
        <v>28</v>
      </c>
      <c r="F30" s="4" t="s">
        <v>29</v>
      </c>
      <c r="G30" s="4" t="s">
        <v>30</v>
      </c>
      <c r="H30" s="4" t="s">
        <v>31</v>
      </c>
      <c r="I30" s="16"/>
      <c r="J30" s="16"/>
      <c r="K30" s="16"/>
      <c r="L30" s="16"/>
      <c r="M30" s="16"/>
      <c r="N30" s="16"/>
      <c r="O30" s="16"/>
    </row>
    <row r="31" spans="1:15" s="17" customFormat="1" ht="15" hidden="1" customHeight="1" outlineLevel="1" x14ac:dyDescent="0.25">
      <c r="A31" s="16"/>
      <c r="B31" s="18" t="s">
        <v>32</v>
      </c>
      <c r="C31" s="18" t="str">
        <f ca="1">_xll.DBR($C$28,$B31,C$30)</f>
        <v>TM1HomeCAP</v>
      </c>
      <c r="D31" s="18" t="str">
        <f ca="1">_xll.DBR($C$28,$B31,D$30)</f>
        <v>Home</v>
      </c>
      <c r="E31" s="18" t="str">
        <f ca="1">_xll.DBR($C$28,$B31,E$30)</f>
        <v>TM1HomeWB</v>
      </c>
      <c r="F31" s="18" t="str">
        <f ca="1">_xll.DBR($C$28,$B31,F$30)</f>
        <v>PRIMUS\GEUS WEB\Homepage\sys_Home.xlsx</v>
      </c>
      <c r="G31" s="18" t="str">
        <f ca="1">_xll.DBR($C$28,$B31,G$30)</f>
        <v>TM1HomeWS</v>
      </c>
      <c r="H31" s="18" t="str">
        <f ca="1">_xll.DBR($C$28,$B31,H$30)</f>
        <v>home</v>
      </c>
      <c r="I31" s="16"/>
      <c r="J31" s="16"/>
      <c r="K31" s="16"/>
      <c r="L31" s="16"/>
      <c r="M31" s="16"/>
      <c r="N31" s="16"/>
      <c r="O31" s="16"/>
    </row>
    <row r="32" spans="1:15" s="17" customFormat="1" ht="15" hidden="1" customHeight="1" outlineLevel="1" x14ac:dyDescent="0.25">
      <c r="A32" s="16"/>
      <c r="B32" s="18" t="s">
        <v>33</v>
      </c>
      <c r="C32" s="18" t="str">
        <f ca="1">_xll.DBR($C$28,$B32,C$30)</f>
        <v>TM1HomeAECAP</v>
      </c>
      <c r="D32" s="18" t="str">
        <f ca="1">_xll.DBR($C$28,$B32,D$30)</f>
        <v>Annual Estimates</v>
      </c>
      <c r="E32" s="18" t="str">
        <f ca="1">_xll.DBR($C$28,$B32,E$30)</f>
        <v>TM1HomeAEWB</v>
      </c>
      <c r="F32" s="18" t="str">
        <f ca="1">_xll.DBR($C$28,$B32,F$30)</f>
        <v>PRIMUS\GEUS WEB\Homepage\sys_Home - Annual Estimates - Data Entry.xlsx</v>
      </c>
      <c r="G32" s="18" t="str">
        <f ca="1">_xll.DBR($C$28,$B32,G$30)</f>
        <v>TM1HomeAEWS</v>
      </c>
      <c r="H32" s="18" t="str">
        <f ca="1">_xll.DBR($C$28,$B32,H$30)</f>
        <v>Menu</v>
      </c>
      <c r="I32" s="16"/>
      <c r="J32" s="16"/>
      <c r="K32" s="16"/>
      <c r="L32" s="16"/>
      <c r="M32" s="16"/>
      <c r="N32" s="16"/>
      <c r="O32" s="16"/>
    </row>
    <row r="33" spans="1:16" s="17" customFormat="1" ht="15" hidden="1" customHeight="1" outlineLevel="1" x14ac:dyDescent="0.25">
      <c r="A33" s="16"/>
      <c r="B33" s="18" t="s">
        <v>34</v>
      </c>
      <c r="C33" s="18" t="str">
        <f ca="1">_xll.DBR($C$28,$B33,C$30)</f>
        <v>TM1HomeRepCAP</v>
      </c>
      <c r="D33" s="18" t="str">
        <f ca="1">_xll.DBR($C$28,$B33,D$30)</f>
        <v>Reports</v>
      </c>
      <c r="E33" s="18" t="str">
        <f ca="1">_xll.DBR($C$28,$B33,E$30)</f>
        <v>TM1HomeRepWB</v>
      </c>
      <c r="F33" s="18" t="str">
        <f ca="1">_xll.DBR($C$28,$B33,F$30)</f>
        <v>PRIMUS\GEUS WEB\Homepage\sys_Home - Reports - PFS.xlsx</v>
      </c>
      <c r="G33" s="18" t="str">
        <f ca="1">_xll.DBR($C$28,$B33,G$30)</f>
        <v>TM1HomeRepWS</v>
      </c>
      <c r="H33" s="18" t="str">
        <f ca="1">_xll.DBR($C$28,$B33,H$30)</f>
        <v>Menu</v>
      </c>
      <c r="I33" s="16"/>
      <c r="J33" s="16"/>
      <c r="K33" s="16"/>
      <c r="L33" s="16"/>
      <c r="M33" s="16"/>
      <c r="N33" s="16"/>
      <c r="O33" s="16"/>
    </row>
    <row r="34" spans="1:16" s="17" customFormat="1" ht="15" hidden="1" customHeight="1" outlineLevel="1" x14ac:dyDescent="0.25">
      <c r="A34" s="16"/>
      <c r="B34" s="18" t="s">
        <v>35</v>
      </c>
      <c r="C34" s="18" t="str">
        <f ca="1">_xll.DBR($C$28,$B34,C$30)</f>
        <v>TM1HomeAdminCAP</v>
      </c>
      <c r="D34" s="18" t="str">
        <f ca="1">_xll.DBR($C$28,$B34,D$30)</f>
        <v>Administration</v>
      </c>
      <c r="E34" s="18" t="str">
        <f ca="1">_xll.DBR($C$28,$B34,E$30)</f>
        <v>TM1HomeAdminWB</v>
      </c>
      <c r="F34" s="18" t="str">
        <f ca="1">_xll.DBR($C$28,$B34,F$30)</f>
        <v>PRIMUS\GEUS WEB\Homepage\sys_Home - Administration - GEUS Setup.xlsx</v>
      </c>
      <c r="G34" s="18" t="str">
        <f ca="1">_xll.DBR($C$28,$B34,G$30)</f>
        <v>TM1HomeAdminWS</v>
      </c>
      <c r="H34" s="18" t="str">
        <f ca="1">_xll.DBR($C$28,$B34,H$30)</f>
        <v>Menu</v>
      </c>
      <c r="I34" s="16"/>
      <c r="J34" s="16"/>
      <c r="K34" s="16"/>
      <c r="L34" s="16"/>
      <c r="M34" s="16"/>
      <c r="N34" s="16"/>
      <c r="O34" s="16"/>
    </row>
    <row r="35" spans="1:16" s="17" customFormat="1" ht="15" hidden="1" customHeight="1" outlineLevel="1" x14ac:dyDescent="0.25">
      <c r="A35" s="16"/>
      <c r="B35" s="18" t="s">
        <v>44</v>
      </c>
      <c r="C35" s="18" t="str">
        <f ca="1">_xll.DBR($C$28,$B35,C$30)</f>
        <v>TM1HomeAdminGEUSCAP</v>
      </c>
      <c r="D35" s="18" t="str">
        <f ca="1">_xll.DBR($C$28,$B35,D$30)</f>
        <v>GEUS Administration Setup</v>
      </c>
      <c r="E35" s="18" t="str">
        <f ca="1">_xll.DBR($C$28,$B35,E$30)</f>
        <v>TM1HomeAdminGEUSWB</v>
      </c>
      <c r="F35" s="18" t="str">
        <f ca="1">_xll.DBR($C$28,$B35,F$30)</f>
        <v>PRIMUS\GEUS WEB\Homepage\sys_Home - Administration - GEUS Setup.xlsx</v>
      </c>
      <c r="G35" s="18" t="str">
        <f ca="1">_xll.DBR($C$28,$B35,G$30)</f>
        <v>TM1HomeAdminGEUSWS</v>
      </c>
      <c r="H35" s="18" t="str">
        <f ca="1">_xll.DBR($C$28,$B35,H$30)</f>
        <v>Menu</v>
      </c>
      <c r="I35" s="16"/>
      <c r="J35" s="16"/>
      <c r="K35" s="16"/>
      <c r="L35" s="16"/>
      <c r="M35" s="16"/>
      <c r="N35" s="16"/>
      <c r="O35" s="16"/>
    </row>
    <row r="36" spans="1:16" s="17" customFormat="1" ht="15" hidden="1" customHeight="1" outlineLevel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1:16" s="17" customFormat="1" ht="15" hidden="1" customHeight="1" outlineLevel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1:16" s="17" customFormat="1" ht="15" hidden="1" customHeight="1" outlineLevel="1" x14ac:dyDescent="0.25">
      <c r="A38" s="16"/>
      <c r="B38" s="1" t="s">
        <v>37</v>
      </c>
      <c r="C38" s="2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1:16" s="17" customFormat="1" ht="15" hidden="1" customHeight="1" outlineLevel="1" x14ac:dyDescent="0.25">
      <c r="A39" s="16"/>
      <c r="B39" s="18" t="s">
        <v>36</v>
      </c>
      <c r="C39" s="18" t="str">
        <f ca="1">_xll.TM1RPTVIEW("DCCEEW_GEUS:}ClientGroups:1", 1,TM1RPTFMTRNG,TM1RPTFMTIDCOL)</f>
        <v>DCCEEW_GEUS:}ClientGroups:1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1:16" s="17" customFormat="1" ht="15" hidden="1" customHeight="1" outlineLevel="1" x14ac:dyDescent="0.25">
      <c r="A40" s="16"/>
      <c r="B40" s="18" t="s">
        <v>38</v>
      </c>
      <c r="C40" s="18" t="s">
        <v>39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1:16" s="17" customFormat="1" ht="15" hidden="1" customHeight="1" outlineLevel="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1:16" s="17" customFormat="1" ht="15" hidden="1" customHeight="1" outlineLevel="1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1:16" ht="39.950000000000003" customHeight="1" collapsed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 t="s">
        <v>46</v>
      </c>
    </row>
    <row r="44" spans="1:16" ht="4.5" customHeight="1" x14ac:dyDescent="0.25"/>
    <row r="45" spans="1:16" ht="24" customHeight="1" x14ac:dyDescent="0.25"/>
    <row r="46" spans="1:16" ht="4.5" customHeight="1" x14ac:dyDescent="0.25">
      <c r="I46" s="15"/>
      <c r="J46" s="15"/>
      <c r="K46" s="15"/>
      <c r="L46" s="15"/>
      <c r="M46" s="15"/>
      <c r="N46" s="15"/>
      <c r="O46" s="15"/>
      <c r="P46" s="15"/>
    </row>
    <row r="47" spans="1:16" ht="4.5" customHeight="1" x14ac:dyDescent="0.25"/>
    <row r="48" spans="1:16" x14ac:dyDescent="0.25">
      <c r="J48" s="14" t="s">
        <v>43</v>
      </c>
    </row>
    <row r="49" spans="1:16" ht="4.5" customHeight="1" x14ac:dyDescent="0.25"/>
    <row r="50" spans="1:16" x14ac:dyDescent="0.25">
      <c r="K50" s="20" t="s">
        <v>42</v>
      </c>
      <c r="L50" s="21"/>
      <c r="M50" s="21"/>
      <c r="N50" s="22"/>
    </row>
    <row r="51" spans="1:16" x14ac:dyDescent="0.25">
      <c r="J51" s="26" t="s">
        <v>11</v>
      </c>
      <c r="K51" s="26" t="s">
        <v>0</v>
      </c>
      <c r="L51" s="26" t="s">
        <v>1</v>
      </c>
      <c r="M51" s="26" t="s">
        <v>40</v>
      </c>
      <c r="N51" s="26" t="s">
        <v>41</v>
      </c>
      <c r="O51" s="27" t="s">
        <v>2</v>
      </c>
      <c r="P51" s="27" t="s">
        <v>3</v>
      </c>
    </row>
    <row r="52" spans="1:16" x14ac:dyDescent="0.25">
      <c r="A52" s="16" t="str">
        <f ca="1">IF(_xll.TM1RPTELISCONSOLIDATED($J$52,$J52),IF(_xll.TM1RPTELLEV($J$52,$J52)&lt;=3,_xll.TM1RPTELLEV($J$52,$J52),"D"),"N")</f>
        <v>N</v>
      </c>
      <c r="B52" s="16"/>
      <c r="C52" s="16"/>
      <c r="D52" s="16"/>
      <c r="E52" s="16"/>
      <c r="F52" s="16"/>
      <c r="G52" s="16"/>
      <c r="H52" s="16"/>
      <c r="I52" s="16"/>
      <c r="J52" s="23" t="str">
        <f ca="1">_xll.TM1RPTROW($C$39,"DCCEEW_GEUS:}Clients","","","}TM1_DefaultDisplayValue",0,$C$40)</f>
        <v>Admin</v>
      </c>
      <c r="K52" s="24" t="str">
        <f ca="1">_xll.DBRW($C$39,$J52,K$51)</f>
        <v>ADMIN</v>
      </c>
      <c r="L52" s="24" t="str">
        <f ca="1">_xll.DBRW($C$39,$J52,L$51)</f>
        <v/>
      </c>
      <c r="M52" s="24" t="str">
        <f ca="1">_xll.DBRW($C$39,$J52,M$51)</f>
        <v/>
      </c>
      <c r="N52" s="24" t="str">
        <f ca="1">_xll.DBRW($C$39,$J52,N$51)</f>
        <v/>
      </c>
      <c r="O52" s="25" t="str">
        <f ca="1">_xll.DBRW($C$39,$J52,O$51)</f>
        <v/>
      </c>
      <c r="P52" s="25" t="str">
        <f ca="1">_xll.DBRW($C$39,$J52,P$51)</f>
        <v/>
      </c>
    </row>
  </sheetData>
  <mergeCells count="5">
    <mergeCell ref="B11:D11"/>
    <mergeCell ref="B19:D19"/>
    <mergeCell ref="B27:D27"/>
    <mergeCell ref="K50:N50"/>
    <mergeCell ref="B38:C38"/>
  </mergeCells>
  <pageMargins left="0.7" right="0.7" top="0.75" bottom="0.75" header="0.3" footer="0.3"/>
  <pageSetup scale="55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1027" r:id="rId4" name="TIButton3">
          <controlPr defaultSize="0" print="0" autoLine="0" r:id="rId5">
            <anchor moveWithCells="1" sizeWithCells="1">
              <from>
                <xdr:col>9</xdr:col>
                <xdr:colOff>1924050</xdr:colOff>
                <xdr:row>44</xdr:row>
                <xdr:rowOff>9525</xdr:rowOff>
              </from>
              <to>
                <xdr:col>10</xdr:col>
                <xdr:colOff>219075</xdr:colOff>
                <xdr:row>44</xdr:row>
                <xdr:rowOff>257175</xdr:rowOff>
              </to>
            </anchor>
          </controlPr>
        </control>
      </mc:Choice>
      <mc:Fallback>
        <control shapeId="1027" r:id="rId4" name="TIButton3"/>
      </mc:Fallback>
    </mc:AlternateContent>
    <mc:AlternateContent xmlns:mc="http://schemas.openxmlformats.org/markup-compatibility/2006">
      <mc:Choice Requires="x14">
        <control shapeId="1026" r:id="rId6" name="TIButton2">
          <controlPr defaultSize="0" print="0" autoLine="0" r:id="rId7">
            <anchor moveWithCells="1" sizeWithCells="1">
              <from>
                <xdr:col>9</xdr:col>
                <xdr:colOff>742950</xdr:colOff>
                <xdr:row>44</xdr:row>
                <xdr:rowOff>9525</xdr:rowOff>
              </from>
              <to>
                <xdr:col>9</xdr:col>
                <xdr:colOff>1866900</xdr:colOff>
                <xdr:row>44</xdr:row>
                <xdr:rowOff>257175</xdr:rowOff>
              </to>
            </anchor>
          </controlPr>
        </control>
      </mc:Choice>
      <mc:Fallback>
        <control shapeId="1026" r:id="rId6" name="TIButton2"/>
      </mc:Fallback>
    </mc:AlternateContent>
    <mc:AlternateContent xmlns:mc="http://schemas.openxmlformats.org/markup-compatibility/2006">
      <mc:Choice Requires="x14">
        <control shapeId="1025" r:id="rId8" name="TIButton1">
          <controlPr defaultSize="0" print="0" autoLine="0" r:id="rId9">
            <anchor moveWithCells="1" sizeWithCells="1">
              <from>
                <xdr:col>9</xdr:col>
                <xdr:colOff>66675</xdr:colOff>
                <xdr:row>44</xdr:row>
                <xdr:rowOff>9525</xdr:rowOff>
              </from>
              <to>
                <xdr:col>9</xdr:col>
                <xdr:colOff>704850</xdr:colOff>
                <xdr:row>44</xdr:row>
                <xdr:rowOff>257175</xdr:rowOff>
              </to>
            </anchor>
          </controlPr>
        </control>
      </mc:Choice>
      <mc:Fallback>
        <control shapeId="1025" r:id="rId8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HeadingPairs>
  <TitlesOfParts>
    <vt:vector size="20" baseType="lpstr">
      <vt:lpstr>Sheet1</vt:lpstr>
      <vt:lpstr>db_name</vt:lpstr>
      <vt:lpstr>TM1HomeAdminCAP</vt:lpstr>
      <vt:lpstr>TM1HomeAdminGEUSCAP</vt:lpstr>
      <vt:lpstr>TM1HomeAdminGEUSWB</vt:lpstr>
      <vt:lpstr>TM1HomeAdminGEUSWS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Sheet1!TM1RPTDATARNG1</vt:lpstr>
      <vt:lpstr>Sheet1!TM1RPTFMTIDCOL</vt:lpstr>
      <vt:lpstr>Sheet1!TM1RPTFMTRNG</vt:lpstr>
    </vt:vector>
  </TitlesOfParts>
  <Company>IBM Planning Analytics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modeler1</dc:creator>
  <cp:lastModifiedBy>modeler1</cp:lastModifiedBy>
  <dcterms:created xsi:type="dcterms:W3CDTF">2024-09-18T23:12:58Z</dcterms:created>
  <dcterms:modified xsi:type="dcterms:W3CDTF">2024-09-18T23:31:25Z</dcterms:modified>
</cp:coreProperties>
</file>