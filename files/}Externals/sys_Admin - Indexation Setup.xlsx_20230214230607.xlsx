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381B95CA-3166-4913-A5B4-F1DE94C36CBD}" xr6:coauthVersionLast="47" xr6:coauthVersionMax="47" xr10:uidLastSave="{00000000-0000-0000-0000-000000000000}"/>
  <bookViews>
    <workbookView xWindow="57480" yWindow="-1965" windowWidth="29040" windowHeight="15840" xr2:uid="{D0398EF9-6986-4E2D-B864-41A7E15ACF0F}"/>
  </bookViews>
  <sheets>
    <sheet name="setup" sheetId="1" r:id="rId1"/>
  </sheets>
  <definedNames>
    <definedName name="db_name">setup!$C$12</definedName>
    <definedName name="psApp">setup!$C$29</definedName>
    <definedName name="psUser">setup!$C$14</definedName>
    <definedName name="TM1HomeAdminCAP">setup!$D$34</definedName>
    <definedName name="TM1HomeAdminRDSCAP">setup!$D$35</definedName>
    <definedName name="TM1HomeAdminRDSWB">setup!$F$35</definedName>
    <definedName name="TM1HomeAdminRDSWS">setup!$H$35</definedName>
    <definedName name="TM1HomeAdminWB">setup!$F$34</definedName>
    <definedName name="TM1HomeAdminWS">setup!$H$34</definedName>
    <definedName name="TM1HomeAECAP">setup!$D$32</definedName>
    <definedName name="TM1HomeAEWB">setup!$F$32</definedName>
    <definedName name="TM1HomeAEWS">setup!$H$32</definedName>
    <definedName name="TM1HomeCAP">setup!$D$31</definedName>
    <definedName name="TM1HomeRepCAP">setup!$D$33</definedName>
    <definedName name="TM1HomeRepWB">setup!$F$33</definedName>
    <definedName name="TM1HomeRepWS">setup!$H$33</definedName>
    <definedName name="TM1HomeWB">setup!$F$31</definedName>
    <definedName name="TM1HomeWS">setup!$H$31</definedName>
    <definedName name="TM1REBUILDOPTION">1</definedName>
    <definedName name="TM1RPTDATARNG1" localSheetId="0">setup!$56:$56</definedName>
    <definedName name="TM1RPTFMTIDCOL" localSheetId="0">setup!$A$1:$A$8</definedName>
    <definedName name="TM1RPTFMTRNG" localSheetId="0">setup!$B$1:$P$8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9" i="1" l="1"/>
  <c r="C20" i="1" a="1"/>
  <c r="C20" i="1"/>
  <c r="C21" i="1" a="1"/>
  <c r="C21" i="1"/>
  <c r="L52" i="1"/>
  <c r="C22" i="1" a="1"/>
  <c r="C22" i="1"/>
  <c r="L53" i="1"/>
  <c r="K21" i="1"/>
  <c r="P21" i="1"/>
  <c r="P55" i="1"/>
  <c r="O21" i="1"/>
  <c r="O55" i="1"/>
  <c r="N21" i="1"/>
  <c r="N55" i="1"/>
  <c r="M21" i="1"/>
  <c r="M55" i="1"/>
  <c r="L21" i="1"/>
  <c r="C56" i="1" a="1"/>
  <c r="C56" i="1"/>
  <c r="B56" i="1" a="1"/>
  <c r="B56" i="1"/>
  <c r="C28" i="1"/>
  <c r="A56" i="1" a="1"/>
  <c r="A56" i="1"/>
  <c r="P56" i="1" a="1"/>
  <c r="P56" i="1"/>
  <c r="O56" i="1" a="1"/>
  <c r="O56" i="1"/>
  <c r="N56" i="1" a="1"/>
  <c r="N56" i="1"/>
  <c r="M56" i="1" a="1"/>
  <c r="M56" i="1"/>
  <c r="L56" i="1" a="1"/>
  <c r="L56" i="1"/>
  <c r="C40" i="1" a="1"/>
  <c r="C40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K56" i="1"/>
  <c r="J56" i="1"/>
  <c r="L55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<sst xmlns="http://schemas.openxmlformats.org/spreadsheetml/2006/main" count="52" uniqueCount="52">
  <si>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headline year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</si>
  <si>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</si>
  <si>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</si>
  <si>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</si>
  <si>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</si>
  <si>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</si>
  <si>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</si>
  <si>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</si>
  <si>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</si>
  <si>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</si>
  <si>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</si>
  <si>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</si>
  <si>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</si>
  <si>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</si>
  <si>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</si>
  <si>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</si>
  <si>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</si>
  <si>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</si>
  <si>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</si>
  <si>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</si>
  <si>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</si>
  <si>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</si>
  <si>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</si>
  <si>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</si>
  <si>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</si>
  <si>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</si>
  <si>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</si>
  <si>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</si>
  <si>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</si>
  <si>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</si>
  <si>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</si>
  <si>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</si>
  <si>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Application Formula (DO NOT DELETE)</t>
  </si>
  <si>
    <t>=DBR($C$28,$B35,C$30)</t>
  </si>
  <si>
    <t>}ElementAttributes_</t>
  </si>
  <si>
    <t>Admin - Indexation Setup</t>
  </si>
  <si>
    <t>Parameters MDX</t>
  </si>
  <si>
    <t>Index MDX</t>
  </si>
  <si>
    <t>{TM1FILTERBYLEVEL( {TM1SUBSETALL( [index] )}, 0)}</t>
  </si>
  <si>
    <t>{TM1FILTERBYLEVEL( {TM1SUBSETALL( [index measure] )}, 0)}</t>
  </si>
  <si>
    <t>Active Form</t>
  </si>
  <si>
    <t>Slice</t>
  </si>
  <si>
    <t>Parameters</t>
  </si>
  <si>
    <t>Index</t>
  </si>
  <si>
    <t>Periods</t>
  </si>
  <si>
    <t>Current</t>
  </si>
  <si>
    <t>Headline Year :</t>
  </si>
  <si>
    <t>Scenario :</t>
  </si>
  <si>
    <t>REPORT PARAMETERS</t>
  </si>
  <si>
    <t>Administration - Indexation Rate Setup</t>
  </si>
  <si>
    <t>Note : This screen is used to manage the Indexation Rates required for the Parameters process for GEUS.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</si>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</sst>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00_);_(* \(#,##0.000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3" borderId="5" xfId="0" applyFill="1" applyBorder="1"/>
    <xf numFmtId="0" fontId="0" fillId="3" borderId="5" xfId="0" quotePrefix="1" applyFill="1" applyBorder="1"/>
    <xf numFmtId="0" fontId="4" fillId="0" borderId="5" xfId="0" applyFont="1" applyBorder="1"/>
    <xf numFmtId="0" fontId="5" fillId="0" borderId="5" xfId="0" applyFont="1" applyBorder="1"/>
    <xf numFmtId="0" fontId="2" fillId="0" borderId="1" xfId="0" applyFont="1" applyBorder="1"/>
    <xf numFmtId="0" fontId="0" fillId="0" borderId="1" xfId="0" applyBorder="1"/>
    <xf numFmtId="164" fontId="3" fillId="0" borderId="5" xfId="0" applyNumberFormat="1" applyFont="1" applyBorder="1"/>
    <xf numFmtId="0" fontId="3" fillId="0" borderId="5" xfId="0" applyFont="1" applyBorder="1"/>
    <xf numFmtId="0" fontId="4" fillId="0" borderId="5" xfId="0" applyFont="1" applyBorder="1" applyAlignment="1">
      <alignment horizontal="left" indent="1"/>
    </xf>
    <xf numFmtId="0" fontId="2" fillId="0" borderId="0" xfId="0" applyFont="1" applyAlignment="1">
      <alignment horizontal="right" indent="1"/>
    </xf>
    <xf numFmtId="0" fontId="1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3" fillId="0" borderId="5" xfId="0" applyNumberFormat="1" applyFont="1" applyBorder="1" applyProtection="1">
      <protection locked="0"/>
    </xf>
    <xf numFmtId="49" fontId="0" fillId="0" borderId="1" xfId="0" applyNumberFormat="1" applyBorder="1"/>
    <xf numFmtId="49" fontId="0" fillId="0" borderId="0" xfId="0" applyNumberFormat="1"/>
    <xf numFmtId="0" fontId="0" fillId="0" borderId="5" xfId="0" applyBorder="1" applyAlignment="1" applyProtection="1">
      <alignment horizontal="left" indent="1"/>
      <protection locked="0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44</xdr:row>
      <xdr:rowOff>38100</xdr:rowOff>
    </xdr:from>
    <xdr:to>
      <xdr:col>9</xdr:col>
      <xdr:colOff>1767840</xdr:colOff>
      <xdr:row>44</xdr:row>
      <xdr:rowOff>495300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46</xdr:row>
          <xdr:rowOff>7620</xdr:rowOff>
        </xdr:from>
        <xdr:to>
          <xdr:col>9</xdr:col>
          <xdr:colOff>647700</xdr:colOff>
          <xdr:row>46</xdr:row>
          <xdr:rowOff>259080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685800</xdr:colOff>
          <xdr:row>46</xdr:row>
          <xdr:rowOff>7620</xdr:rowOff>
        </xdr:from>
        <xdr:to>
          <xdr:col>9</xdr:col>
          <xdr:colOff>1813560</xdr:colOff>
          <xdr:row>46</xdr:row>
          <xdr:rowOff>259080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1866900</xdr:colOff>
          <xdr:row>46</xdr:row>
          <xdr:rowOff>7620</xdr:rowOff>
        </xdr:from>
        <xdr:to>
          <xdr:col>10</xdr:col>
          <xdr:colOff>1318260</xdr:colOff>
          <xdr:row>46</xdr:row>
          <xdr:rowOff>259080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464820</xdr:colOff>
          <xdr:row>45</xdr:row>
          <xdr:rowOff>38100</xdr:rowOff>
        </xdr:from>
        <xdr:to>
          <xdr:col>15</xdr:col>
          <xdr:colOff>784860</xdr:colOff>
          <xdr:row>46</xdr:row>
          <xdr:rowOff>297180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1341120</xdr:colOff>
          <xdr:row>46</xdr:row>
          <xdr:rowOff>7620</xdr:rowOff>
        </xdr:from>
        <xdr:to>
          <xdr:col>11</xdr:col>
          <xdr:colOff>76200</xdr:colOff>
          <xdr:row>46</xdr:row>
          <xdr:rowOff>259080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217E-85B2-4F83-8AFF-7A1F0AA29588}">
  <sheetPr codeName="Sheet1">
    <outlinePr showOutlineSymbols="0"/>
    <pageSetUpPr fitToPage="1"/>
  </sheetPr>
  <dimension ref="A1:P56"/>
  <sheetViews>
    <sheetView showGridLines="0" showRowColHeaders="0" tabSelected="1" showOutlineSymbols="0" topLeftCell="A45" workbookViewId="0">
      <pane ySplit="11" topLeftCell="A56" activePane="bottomLeft" state="frozen"/>
      <selection activeCell="I45" sqref="I45"/>
      <selection pane="bottomLeft"/>
    </sheetView>
  </sheetViews>
  <sheetFormatPr defaultRowHeight="14.4" outlineLevelRow="1" outlineLevelCol="1" x14ac:dyDescent="0.3"/>
  <cols>
    <col min="1" max="1" width="20.33203125" hidden="1" customWidth="1" outlineLevel="1"/>
    <col min="2" max="2" width="20.109375" hidden="1" customWidth="1" outlineLevel="1"/>
    <col min="3" max="8" width="16.88671875" hidden="1" customWidth="1" outlineLevel="1"/>
    <col min="9" max="9" width="0.88671875" customWidth="1" collapsed="1"/>
    <col min="10" max="11" width="30.6640625" customWidth="1"/>
    <col min="12" max="16" width="12.6640625" customWidth="1"/>
  </cols>
  <sheetData>
    <row r="1" spans="1:16" hidden="1" outlineLevel="1" x14ac:dyDescent="0.3">
      <c r="A1" t="s">
        <v>3</v>
      </c>
    </row>
    <row r="2" spans="1:16" hidden="1" outlineLevel="1" x14ac:dyDescent="0.3">
      <c r="A2">
        <f>0</f>
        <v>0</v>
      </c>
      <c r="B2" s="10"/>
      <c r="J2" s="13"/>
      <c r="K2" s="13"/>
      <c r="L2" s="12"/>
      <c r="M2" s="12"/>
      <c r="N2" s="12"/>
      <c r="O2" s="12"/>
      <c r="P2" s="12"/>
    </row>
    <row r="3" spans="1:16" hidden="1" outlineLevel="1" x14ac:dyDescent="0.3">
      <c r="A3">
        <f>1</f>
        <v>1</v>
      </c>
      <c r="B3" s="11"/>
      <c r="J3" s="13"/>
      <c r="K3" s="13"/>
      <c r="L3" s="12"/>
      <c r="M3" s="12"/>
      <c r="N3" s="12"/>
      <c r="O3" s="12"/>
      <c r="P3" s="12"/>
    </row>
    <row r="4" spans="1:16" hidden="1" outlineLevel="1" x14ac:dyDescent="0.3">
      <c r="A4">
        <f>2</f>
        <v>2</v>
      </c>
      <c r="B4" s="11"/>
      <c r="J4" s="13"/>
      <c r="K4" s="13"/>
      <c r="L4" s="12"/>
      <c r="M4" s="12"/>
      <c r="N4" s="12"/>
      <c r="O4" s="12"/>
      <c r="P4" s="12"/>
    </row>
    <row r="5" spans="1:16" hidden="1" outlineLevel="1" x14ac:dyDescent="0.3">
      <c r="A5">
        <f>3</f>
        <v>3</v>
      </c>
      <c r="B5" s="11"/>
      <c r="J5" s="13"/>
      <c r="K5" s="13"/>
      <c r="L5" s="12"/>
      <c r="M5" s="12"/>
      <c r="N5" s="12"/>
      <c r="O5" s="12"/>
      <c r="P5" s="12"/>
    </row>
    <row r="6" spans="1:16" hidden="1" outlineLevel="1" x14ac:dyDescent="0.3">
      <c r="A6" t="s">
        <v>1</v>
      </c>
      <c r="B6" s="11"/>
      <c r="J6" s="13"/>
      <c r="K6" s="13"/>
      <c r="L6" s="12"/>
      <c r="M6" s="12"/>
      <c r="N6" s="12"/>
      <c r="O6" s="12"/>
      <c r="P6" s="12"/>
    </row>
    <row r="7" spans="1:16" hidden="1" outlineLevel="1" x14ac:dyDescent="0.3">
      <c r="A7" t="s">
        <v>2</v>
      </c>
      <c r="B7" s="11"/>
      <c r="J7" s="14"/>
      <c r="K7" s="14"/>
      <c r="L7" s="18"/>
      <c r="M7" s="18"/>
      <c r="N7" s="18"/>
      <c r="O7" s="18"/>
      <c r="P7" s="18"/>
    </row>
    <row r="8" spans="1:16" hidden="1" outlineLevel="1" x14ac:dyDescent="0.3">
      <c r="A8" t="s">
        <v>4</v>
      </c>
    </row>
    <row r="9" spans="1:16" hidden="1" outlineLevel="1" x14ac:dyDescent="0.3"/>
    <row r="10" spans="1:16" hidden="1" outlineLevel="1" x14ac:dyDescent="0.3"/>
    <row r="11" spans="1:16" hidden="1" outlineLevel="1" x14ac:dyDescent="0.3">
      <c r="B11" s="25" t="s">
        <v>5</v>
      </c>
      <c r="C11" s="26"/>
      <c r="D11" s="27"/>
    </row>
    <row r="12" spans="1:16" hidden="1" outlineLevel="1" x14ac:dyDescent="0.3">
      <c r="B12" s="1" t="s">
        <v>6</v>
      </c>
      <c r="C12" s="2" t="s">
        <v>51</v>
      </c>
      <c r="D12" s="3"/>
    </row>
    <row r="13" spans="1:16" hidden="1" outlineLevel="1" x14ac:dyDescent="0.3">
      <c r="B13" s="1" t="s">
        <v>7</v>
      </c>
      <c r="C13" s="4" t="str" cm="1">
        <f t="array" aca="1" ref="C13" ca="1">_xll.VIEW(db_name&amp;":}ElementAttributes_}Clients","!","!")</f>
        <v>dcceew_geus:}ElementAttributes_}Clients</v>
      </c>
      <c r="D13" s="3"/>
    </row>
    <row r="14" spans="1:16" hidden="1" outlineLevel="1" x14ac:dyDescent="0.3">
      <c r="B14" s="1" t="s">
        <v>8</v>
      </c>
      <c r="C14" s="2" t="str" cm="1">
        <f t="array" aca="1" ref="C14" ca="1">_xll.TM1USER(db_name)</f>
        <v/>
      </c>
      <c r="D14" s="3"/>
    </row>
    <row r="15" spans="1:16" hidden="1" outlineLevel="1" x14ac:dyDescent="0.3">
      <c r="B15" s="1" t="s">
        <v>9</v>
      </c>
      <c r="C15" s="2" t="str" cm="1">
        <f t="array" aca="1" ref="C15" ca="1">_xll.DBR($C$13,$C$14,$B15)</f>
        <v>*KEY_ERR</v>
      </c>
      <c r="D15" s="3"/>
    </row>
    <row r="16" spans="1:16" hidden="1" outlineLevel="1" x14ac:dyDescent="0.3">
      <c r="B16" s="1" t="s">
        <v>10</v>
      </c>
      <c r="C16" s="2" t="str" cm="1">
        <f t="array" aca="1" ref="C16" ca="1">_xll.DBR($C$13,$C$14,$B16)</f>
        <v>*KEY_ERR</v>
      </c>
      <c r="D16" s="3"/>
    </row>
    <row r="17" spans="2:16" hidden="1" outlineLevel="1" x14ac:dyDescent="0.3">
      <c r="B17" s="1" t="s">
        <v>11</v>
      </c>
      <c r="C17" s="2" t="str">
        <f ca="1">IF(LEFT($C$15,6)="CAM_AD",$C$16,$C$15)</f>
        <v>*KEY_ERR</v>
      </c>
      <c r="D17" s="5"/>
    </row>
    <row r="18" spans="2:16" hidden="1" outlineLevel="1" x14ac:dyDescent="0.3"/>
    <row r="19" spans="2:16" hidden="1" outlineLevel="1" x14ac:dyDescent="0.3">
      <c r="B19" s="25" t="s">
        <v>12</v>
      </c>
      <c r="C19" s="26"/>
      <c r="D19" s="27"/>
      <c r="K19" s="8" t="s">
        <v>44</v>
      </c>
    </row>
    <row r="20" spans="2:16" hidden="1" outlineLevel="1" x14ac:dyDescent="0.3">
      <c r="B20" s="1" t="s">
        <v>13</v>
      </c>
      <c r="C20" s="5" t="str" cm="1">
        <f t="array" aca="1" ref="C20" ca="1">_xll.VIEW(db_name&amp;":}ElementAttributes_variables","!","!")</f>
        <v>dcceew_geus:}ElementAttributes_variables</v>
      </c>
      <c r="D20" s="5"/>
      <c r="K20" s="9" t="s">
        <v>45</v>
      </c>
      <c r="L20" s="9">
        <v>-1</v>
      </c>
      <c r="M20" s="9">
        <v>0</v>
      </c>
      <c r="N20" s="9">
        <v>1</v>
      </c>
      <c r="O20" s="9">
        <v>2</v>
      </c>
      <c r="P20" s="9">
        <v>3</v>
      </c>
    </row>
    <row r="21" spans="2:16" hidden="1" outlineLevel="1" x14ac:dyDescent="0.3">
      <c r="B21" s="1" t="s">
        <v>0</v>
      </c>
      <c r="C21" s="5" t="str" cm="1">
        <f t="array" aca="1" ref="C21" ca="1">_xll.DBR($C$20,$B21,"value")</f>
        <v>*KEY_ERR</v>
      </c>
      <c r="D21" s="5"/>
      <c r="K21" s="9" t="str">
        <f ca="1">MID($L$52,3,9)</f>
        <v/>
      </c>
      <c r="L21" s="9" t="str">
        <f ca="1">_xll.DIMNM(db_name&amp;":period",_xll.DIMIX(db_name&amp;":period",$K21)+L20)</f>
        <v/>
      </c>
      <c r="M21" s="9" t="str">
        <f ca="1">_xll.DIMNM(db_name&amp;":period",_xll.DIMIX(db_name&amp;":period",$K21)+M20)</f>
        <v/>
      </c>
      <c r="N21" s="9" t="str">
        <f ca="1">_xll.DIMNM(db_name&amp;":period",_xll.DIMIX(db_name&amp;":period",$K21)+N20)</f>
        <v/>
      </c>
      <c r="O21" s="9" t="str">
        <f ca="1">_xll.DIMNM(db_name&amp;":period",_xll.DIMIX(db_name&amp;":period",$K21)+O20)</f>
        <v/>
      </c>
      <c r="P21" s="9" t="str">
        <f ca="1">_xll.DIMNM(db_name&amp;":period",_xll.DIMIX(db_name&amp;":period",$K21)+P20)</f>
        <v/>
      </c>
    </row>
    <row r="22" spans="2:16" hidden="1" outlineLevel="1" x14ac:dyDescent="0.3">
      <c r="B22" s="1" t="s">
        <v>14</v>
      </c>
      <c r="C22" s="5" t="str" cm="1">
        <f t="array" aca="1" ref="C22" ca="1">_xll.DBR($C$20,$B22,"value")</f>
        <v>*KEY_ERR</v>
      </c>
      <c r="D22" s="5"/>
    </row>
    <row r="23" spans="2:16" hidden="1" outlineLevel="1" x14ac:dyDescent="0.3">
      <c r="B23" s="1" t="s">
        <v>15</v>
      </c>
      <c r="C23" s="5" t="str" cm="1">
        <f t="array" aca="1" ref="C23" ca="1">_xll.DBR($C$20,$B23,"value")</f>
        <v>*KEY_ERR</v>
      </c>
      <c r="D23" s="5"/>
    </row>
    <row r="24" spans="2:16" hidden="1" outlineLevel="1" x14ac:dyDescent="0.3">
      <c r="B24" s="1" t="s">
        <v>16</v>
      </c>
      <c r="C24" s="5" t="str" cm="1">
        <f t="array" aca="1" ref="C24" ca="1">_xll.DBR($C$20,$B24,"value")</f>
        <v>*KEY_ERR</v>
      </c>
      <c r="D24" s="5"/>
    </row>
    <row r="25" spans="2:16" hidden="1" outlineLevel="1" x14ac:dyDescent="0.3">
      <c r="B25" s="1" t="s">
        <v>17</v>
      </c>
      <c r="C25" s="5" t="str" cm="1">
        <f t="array" aca="1" ref="C25" ca="1">_xll.DBR($C$20,$B25,"value")</f>
        <v>*KEY_ERR</v>
      </c>
      <c r="D25" s="5"/>
    </row>
    <row r="26" spans="2:16" hidden="1" outlineLevel="1" x14ac:dyDescent="0.3"/>
    <row r="27" spans="2:16" hidden="1" outlineLevel="1" x14ac:dyDescent="0.3">
      <c r="B27" s="25" t="s">
        <v>18</v>
      </c>
      <c r="C27" s="26"/>
      <c r="D27" s="27"/>
    </row>
    <row r="28" spans="2:16" hidden="1" outlineLevel="1" x14ac:dyDescent="0.3">
      <c r="B28" s="1" t="s">
        <v>19</v>
      </c>
      <c r="C28" s="5" t="str">
        <f ca="1">_xll.VIEW(db_name&amp;":sys_application","!","!")</f>
        <v>dcceew_geus:sys_application</v>
      </c>
      <c r="D28" s="5"/>
    </row>
    <row r="29" spans="2:16" hidden="1" outlineLevel="1" x14ac:dyDescent="0.3">
      <c r="B29" s="1" t="s">
        <v>20</v>
      </c>
      <c r="C29" t="s">
        <v>35</v>
      </c>
      <c r="D29" s="5"/>
    </row>
    <row r="30" spans="2:16" hidden="1" outlineLevel="1" x14ac:dyDescent="0.3">
      <c r="B30" s="5"/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</row>
    <row r="31" spans="2:16" hidden="1" outlineLevel="1" x14ac:dyDescent="0.3">
      <c r="B31" s="5" t="s">
        <v>27</v>
      </c>
      <c r="C31" s="5" t="str" cm="1">
        <f t="array" aca="1" ref="C31" ca="1">_xll.DBR($C$28,$B31,C$30)</f>
        <v>*KEY_ERR</v>
      </c>
      <c r="D31" s="5" t="str" cm="1">
        <f t="array" aca="1" ref="D31" ca="1">_xll.DBR($C$28,$B31,D$30)</f>
        <v>*KEY_ERR</v>
      </c>
      <c r="E31" s="5" t="str" cm="1">
        <f t="array" aca="1" ref="E31" ca="1">_xll.DBR($C$28,$B31,E$30)</f>
        <v>*KEY_ERR</v>
      </c>
      <c r="F31" s="5" t="str" cm="1">
        <f t="array" aca="1" ref="F31" ca="1">_xll.DBR($C$28,$B31,F$30)</f>
        <v>*KEY_ERR</v>
      </c>
      <c r="G31" s="5" t="str" cm="1">
        <f t="array" aca="1" ref="G31" ca="1">_xll.DBR($C$28,$B31,G$30)</f>
        <v>*KEY_ERR</v>
      </c>
      <c r="H31" s="5" t="str" cm="1">
        <f t="array" aca="1" ref="H31" ca="1">_xll.DBR($C$28,$B31,H$30)</f>
        <v>*KEY_ERR</v>
      </c>
    </row>
    <row r="32" spans="2:16" hidden="1" outlineLevel="1" x14ac:dyDescent="0.3">
      <c r="B32" s="5" t="s">
        <v>28</v>
      </c>
      <c r="C32" s="5" t="str" cm="1">
        <f t="array" aca="1" ref="C32" ca="1">_xll.DBR($C$28,$B32,C$30)</f>
        <v>*KEY_ERR</v>
      </c>
      <c r="D32" s="5" t="str" cm="1">
        <f t="array" aca="1" ref="D32" ca="1">_xll.DBR($C$28,$B32,D$30)</f>
        <v>*KEY_ERR</v>
      </c>
      <c r="E32" s="5" t="str" cm="1">
        <f t="array" aca="1" ref="E32" ca="1">_xll.DBR($C$28,$B32,E$30)</f>
        <v>*KEY_ERR</v>
      </c>
      <c r="F32" s="5" t="str" cm="1">
        <f t="array" aca="1" ref="F32" ca="1">_xll.DBR($C$28,$B32,F$30)</f>
        <v>*KEY_ERR</v>
      </c>
      <c r="G32" s="5" t="str" cm="1">
        <f t="array" aca="1" ref="G32" ca="1">_xll.DBR($C$28,$B32,G$30)</f>
        <v>*KEY_ERR</v>
      </c>
      <c r="H32" s="5" t="str" cm="1">
        <f t="array" aca="1" ref="H32" ca="1">_xll.DBR($C$28,$B32,H$30)</f>
        <v>*KEY_ERR</v>
      </c>
    </row>
    <row r="33" spans="1:16" hidden="1" outlineLevel="1" x14ac:dyDescent="0.3">
      <c r="B33" s="5" t="s">
        <v>29</v>
      </c>
      <c r="C33" s="5" t="str" cm="1">
        <f t="array" aca="1" ref="C33" ca="1">_xll.DBR($C$28,$B33,C$30)</f>
        <v>*KEY_ERR</v>
      </c>
      <c r="D33" s="5" t="str" cm="1">
        <f t="array" aca="1" ref="D33" ca="1">_xll.DBR($C$28,$B33,D$30)</f>
        <v>*KEY_ERR</v>
      </c>
      <c r="E33" s="5" t="str" cm="1">
        <f t="array" aca="1" ref="E33" ca="1">_xll.DBR($C$28,$B33,E$30)</f>
        <v>*KEY_ERR</v>
      </c>
      <c r="F33" s="5" t="str" cm="1">
        <f t="array" aca="1" ref="F33" ca="1">_xll.DBR($C$28,$B33,F$30)</f>
        <v>*KEY_ERR</v>
      </c>
      <c r="G33" s="5" t="str" cm="1">
        <f t="array" aca="1" ref="G33" ca="1">_xll.DBR($C$28,$B33,G$30)</f>
        <v>*KEY_ERR</v>
      </c>
      <c r="H33" s="5" t="str" cm="1">
        <f t="array" aca="1" ref="H33" ca="1">_xll.DBR($C$28,$B33,H$30)</f>
        <v>*KEY_ERR</v>
      </c>
    </row>
    <row r="34" spans="1:16" hidden="1" outlineLevel="1" x14ac:dyDescent="0.3">
      <c r="B34" s="5" t="s">
        <v>30</v>
      </c>
      <c r="C34" s="5" t="str" cm="1">
        <f t="array" aca="1" ref="C34" ca="1">_xll.DBR($C$28,$B34,C$30)</f>
        <v>*KEY_ERR</v>
      </c>
      <c r="D34" s="5" t="str" cm="1">
        <f t="array" aca="1" ref="D34" ca="1">_xll.DBR($C$28,$B34,D$30)</f>
        <v>*KEY_ERR</v>
      </c>
      <c r="E34" s="5" t="str" cm="1">
        <f t="array" aca="1" ref="E34" ca="1">_xll.DBR($C$28,$B34,E$30)</f>
        <v>*KEY_ERR</v>
      </c>
      <c r="F34" s="5" t="str" cm="1">
        <f t="array" aca="1" ref="F34" ca="1">_xll.DBR($C$28,$B34,F$30)</f>
        <v>*KEY_ERR</v>
      </c>
      <c r="G34" s="5" t="str" cm="1">
        <f t="array" aca="1" ref="G34" ca="1">_xll.DBR($C$28,$B34,G$30)</f>
        <v>*KEY_ERR</v>
      </c>
      <c r="H34" s="5" t="str" cm="1">
        <f t="array" aca="1" ref="H34" ca="1">_xll.DBR($C$28,$B34,H$30)</f>
        <v>*KEY_ERR</v>
      </c>
    </row>
    <row r="35" spans="1:16" hidden="1" outlineLevel="1" x14ac:dyDescent="0.3">
      <c r="B35" s="5" t="s">
        <v>31</v>
      </c>
      <c r="C35" s="5" t="str" cm="1">
        <f t="array" aca="1" ref="C35" ca="1">_xll.DBR($C$28,$B35,C$30)</f>
        <v>*KEY_ERR</v>
      </c>
      <c r="D35" s="5" t="str" cm="1">
        <f t="array" aca="1" ref="D35" ca="1">_xll.DBR($C$28,$B35,D$30)</f>
        <v>*KEY_ERR</v>
      </c>
      <c r="E35" s="5" t="str" cm="1">
        <f t="array" aca="1" ref="E35" ca="1">_xll.DBR($C$28,$B35,E$30)</f>
        <v>*KEY_ERR</v>
      </c>
      <c r="F35" s="5" t="str" cm="1">
        <f t="array" aca="1" ref="F35" ca="1">_xll.DBR($C$28,$B35,F$30)</f>
        <v>*KEY_ERR</v>
      </c>
      <c r="G35" s="5" t="str" cm="1">
        <f t="array" aca="1" ref="G35" ca="1">_xll.DBR($C$28,$B35,G$30)</f>
        <v>*KEY_ERR</v>
      </c>
      <c r="H35" s="5" t="str" cm="1">
        <f t="array" aca="1" ref="H35" ca="1">_xll.DBR($C$28,$B35,H$30)</f>
        <v>*KEY_ERR</v>
      </c>
    </row>
    <row r="36" spans="1:16" hidden="1" outlineLevel="1" x14ac:dyDescent="0.3">
      <c r="B36" s="6" t="s">
        <v>32</v>
      </c>
      <c r="C36" s="7" t="s">
        <v>33</v>
      </c>
    </row>
    <row r="37" spans="1:16" hidden="1" outlineLevel="1" x14ac:dyDescent="0.3"/>
    <row r="38" spans="1:16" hidden="1" outlineLevel="1" x14ac:dyDescent="0.3">
      <c r="B38" s="25" t="s">
        <v>34</v>
      </c>
      <c r="C38" s="26"/>
      <c r="D38" s="27"/>
    </row>
    <row r="39" spans="1:16" hidden="1" outlineLevel="1" x14ac:dyDescent="0.3">
      <c r="B39" s="5" t="s">
        <v>40</v>
      </c>
      <c r="C39" s="5" t="str">
        <f ca="1">_xll.TM1RPTVIEW(db_name&amp;":index:1", 0, _xll.TM1RPTTITLE(db_name&amp;":headline year",$L$52), _xll.TM1RPTTITLE(db_name&amp;":scenario",$L$53),TM1RPTFMTRNG,TM1RPTFMTIDCOL)</f>
        <v>dcceew_geus:index:1</v>
      </c>
      <c r="D39" s="5"/>
    </row>
    <row r="40" spans="1:16" hidden="1" outlineLevel="1" x14ac:dyDescent="0.3">
      <c r="B40" s="5" t="s">
        <v>41</v>
      </c>
      <c r="C40" s="5" t="str" cm="1">
        <f t="array" aca="1" ref="C40" ca="1">_xll.VIEW(db_name&amp;":index",$C$21,$C$22,"!","!","!")</f>
        <v>dcceew_geus:index</v>
      </c>
      <c r="D40" s="5"/>
    </row>
    <row r="41" spans="1:16" hidden="1" outlineLevel="1" x14ac:dyDescent="0.3">
      <c r="B41" s="5" t="s">
        <v>36</v>
      </c>
      <c r="C41" s="5" t="s">
        <v>38</v>
      </c>
      <c r="D41" s="5"/>
    </row>
    <row r="42" spans="1:16" hidden="1" outlineLevel="1" x14ac:dyDescent="0.3">
      <c r="B42" s="5" t="s">
        <v>37</v>
      </c>
      <c r="C42" s="5" t="s">
        <v>39</v>
      </c>
      <c r="D42" s="5"/>
    </row>
    <row r="43" spans="1:16" hidden="1" outlineLevel="1" x14ac:dyDescent="0.3"/>
    <row r="44" spans="1:16" hidden="1" outlineLevel="1" x14ac:dyDescent="0.3"/>
    <row r="45" spans="1:16" ht="39.75" customHeight="1" collapsed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 t="s">
        <v>49</v>
      </c>
    </row>
    <row r="46" spans="1:16" ht="4.5" customHeight="1" x14ac:dyDescent="0.3"/>
    <row r="47" spans="1:16" ht="24" customHeight="1" x14ac:dyDescent="0.3"/>
    <row r="48" spans="1:16" ht="1.5" customHeight="1" x14ac:dyDescent="0.3">
      <c r="I48" s="17"/>
      <c r="J48" s="17"/>
      <c r="K48" s="17"/>
      <c r="L48" s="17"/>
      <c r="M48" s="17"/>
      <c r="N48" s="17"/>
      <c r="O48" s="17"/>
      <c r="P48" s="17"/>
    </row>
    <row r="49" spans="1:16" x14ac:dyDescent="0.3">
      <c r="J49" s="24" t="s">
        <v>50</v>
      </c>
      <c r="K49" s="24"/>
      <c r="L49" s="24"/>
      <c r="M49" s="24"/>
      <c r="N49" s="24"/>
      <c r="O49" s="24"/>
      <c r="P49" s="24"/>
    </row>
    <row r="50" spans="1:16" ht="4.5" customHeight="1" x14ac:dyDescent="0.3"/>
    <row r="51" spans="1:16" x14ac:dyDescent="0.3">
      <c r="L51" s="22" t="s">
        <v>48</v>
      </c>
      <c r="M51" s="23"/>
    </row>
    <row r="52" spans="1:16" x14ac:dyDescent="0.3">
      <c r="K52" s="15" t="s">
        <v>46</v>
      </c>
      <c r="L52" s="21" t="str">
        <f ca="1">_xll.SUBNM(db_name&amp;":headline year","sys_all-n",$C$21)</f>
        <v/>
      </c>
      <c r="M52" s="21"/>
    </row>
    <row r="53" spans="1:16" x14ac:dyDescent="0.3">
      <c r="K53" s="15" t="s">
        <v>47</v>
      </c>
      <c r="L53" s="21" t="str">
        <f ca="1">_xll.SUBNM(db_name&amp;":scenario","sys_Budget Round",$C$22)</f>
        <v/>
      </c>
      <c r="M53" s="21"/>
    </row>
    <row r="54" spans="1:16" ht="4.5" customHeight="1" x14ac:dyDescent="0.3"/>
    <row r="55" spans="1:16" x14ac:dyDescent="0.3">
      <c r="J55" s="16" t="s">
        <v>42</v>
      </c>
      <c r="K55" s="16" t="s">
        <v>43</v>
      </c>
      <c r="L55" s="16" t="str">
        <f ca="1">L$21</f>
        <v/>
      </c>
      <c r="M55" s="16" t="str">
        <f t="shared" ref="M55:P55" ca="1" si="0">M$21</f>
        <v/>
      </c>
      <c r="N55" s="16" t="str">
        <f t="shared" ca="1" si="0"/>
        <v/>
      </c>
      <c r="O55" s="16" t="str">
        <f t="shared" ca="1" si="0"/>
        <v/>
      </c>
      <c r="P55" s="16" t="str">
        <f t="shared" ca="1" si="0"/>
        <v/>
      </c>
    </row>
    <row r="56" spans="1:16" x14ac:dyDescent="0.3">
      <c r="A56" t="str" cm="1">
        <f t="array" aca="1" ref="A56" ca="1">IF(_xll.TM1RPTELISCONSOLIDATED($C$56,$C56),IF(_xll.TM1RPTELLEV($C$56,$C56)&lt;=3,_xll.TM1RPTELLEV($C$56,$C56),"D"),"N")</f>
        <v>N</v>
      </c>
      <c r="B56" s="19" t="str" cm="1">
        <f t="array" aca="1" ref="B56" ca="1">_xll.TM1RPTROW($C$39,db_name&amp;":index","","","",0,$C$41)</f>
        <v/>
      </c>
      <c r="C56" s="20" t="str" cm="1">
        <f t="array" aca="1" ref="C56" ca="1">_xll.TM1RPTROW($C$39,db_name&amp;":index measure","","","",0,$C$42)</f>
        <v/>
      </c>
      <c r="J56" s="14" t="str">
        <f ca="1">$B56</f>
        <v/>
      </c>
      <c r="K56" s="14" t="str">
        <f ca="1">$C56</f>
        <v/>
      </c>
      <c r="L56" s="18" t="str" cm="1">
        <f t="array" aca="1" ref="L56" ca="1">_xll.DBRW($C$39,$L$52,$L$53,$B56,$C56,L$21)</f>
        <v/>
      </c>
      <c r="M56" s="18" t="str" cm="1">
        <f t="array" aca="1" ref="M56" ca="1">_xll.DBRW($C$39,$L$52,$L$53,$B56,$C56,M$55)</f>
        <v/>
      </c>
      <c r="N56" s="18" t="str" cm="1">
        <f t="array" aca="1" ref="N56" ca="1">_xll.DBRW($C$39,$L$52,$L$53,$B56,$C56,N$55)</f>
        <v/>
      </c>
      <c r="O56" s="18" t="str" cm="1">
        <f t="array" aca="1" ref="O56" ca="1">_xll.DBRW($C$39,$L$52,$L$53,$B56,$C56,O$55)</f>
        <v/>
      </c>
      <c r="P56" s="18" t="str" cm="1">
        <f t="array" aca="1" ref="P56" ca="1">_xll.DBRW($C$39,$L$52,$L$53,$B56,$C56,P$55)</f>
        <v/>
      </c>
    </row>
  </sheetData>
  <sheetProtection sheet="1" objects="1" scenarios="1"/>
  <mergeCells count="8">
    <mergeCell ref="L53:M53"/>
    <mergeCell ref="L51:M51"/>
    <mergeCell ref="J49:P49"/>
    <mergeCell ref="B11:D11"/>
    <mergeCell ref="B19:D19"/>
    <mergeCell ref="B27:D27"/>
    <mergeCell ref="B38:D38"/>
    <mergeCell ref="L52:M52"/>
  </mergeCells>
  <conditionalFormatting sqref="J7:P7 J56:P56">
    <cfRule type="expression" dxfId="0" priority="28">
      <formula>$K7="adjustment factor"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r:id="rId5">
            <anchor moveWithCells="1" sizeWithCells="1">
              <from>
                <xdr:col>10</xdr:col>
                <xdr:colOff>1341120</xdr:colOff>
                <xdr:row>46</xdr:row>
                <xdr:rowOff>7620</xdr:rowOff>
              </from>
              <to>
                <xdr:col>11</xdr:col>
                <xdr:colOff>76200</xdr:colOff>
                <xdr:row>46</xdr:row>
                <xdr:rowOff>259080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8" r:id="rId6" name="TIButton4">
          <controlPr defaultSize="0" print="0" autoLine="0" r:id="rId7">
            <anchor moveWithCells="1" sizeWithCells="1">
              <from>
                <xdr:col>15</xdr:col>
                <xdr:colOff>464820</xdr:colOff>
                <xdr:row>45</xdr:row>
                <xdr:rowOff>38100</xdr:rowOff>
              </from>
              <to>
                <xdr:col>15</xdr:col>
                <xdr:colOff>784860</xdr:colOff>
                <xdr:row>46</xdr:row>
                <xdr:rowOff>297180</xdr:rowOff>
              </to>
            </anchor>
          </controlPr>
        </control>
      </mc:Choice>
      <mc:Fallback>
        <control shapeId="1028" r:id="rId6" name="TIButton4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9</xdr:col>
                <xdr:colOff>1866900</xdr:colOff>
                <xdr:row>46</xdr:row>
                <xdr:rowOff>7620</xdr:rowOff>
              </from>
              <to>
                <xdr:col>10</xdr:col>
                <xdr:colOff>1318260</xdr:colOff>
                <xdr:row>46</xdr:row>
                <xdr:rowOff>259080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9</xdr:col>
                <xdr:colOff>685800</xdr:colOff>
                <xdr:row>46</xdr:row>
                <xdr:rowOff>7620</xdr:rowOff>
              </from>
              <to>
                <xdr:col>9</xdr:col>
                <xdr:colOff>1813560</xdr:colOff>
                <xdr:row>46</xdr:row>
                <xdr:rowOff>259080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9</xdr:col>
                <xdr:colOff>7620</xdr:colOff>
                <xdr:row>46</xdr:row>
                <xdr:rowOff>7620</xdr:rowOff>
              </from>
              <to>
                <xdr:col>9</xdr:col>
                <xdr:colOff>647700</xdr:colOff>
                <xdr:row>46</xdr:row>
                <xdr:rowOff>259080</xdr:rowOff>
              </to>
            </anchor>
          </controlPr>
        </control>
      </mc:Choice>
      <mc:Fallback>
        <control shapeId="1025" r:id="rId12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setup</vt:lpstr>
      <vt:lpstr>db_name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setup!TM1RPTDATARNG1</vt:lpstr>
      <vt:lpstr>setup!TM1RPTFMTIDCOL</vt:lpstr>
      <vt:lpstr>setup!TM1RPTFMTRNG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2019-06-10T06:57:21Z</dcterms:created>
  <dcterms:modified xsi:type="dcterms:W3CDTF">2023-02-14T22:33:40Z</dcterms:modified>
</cp:coreProperties>
</file>