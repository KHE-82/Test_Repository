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4.xml" ContentType="application/vnd.ms-office.activeX+xml"/>
  <Override PartName="/xl/activeX/activeX3.bin" ContentType="application/vnd.ms-office.activeX"/>
  <Override PartName="/xl/activeX/activeX5.xml" ContentType="application/vnd.ms-office.activeX+xml"/>
  <Override PartName="/xl/activeX/activeX4.bin" ContentType="application/vnd.ms-office.activeX"/>
  <Override PartName="/xl/activeX/activeX6.xml" ContentType="application/vnd.ms-office.activeX+xml"/>
  <Override PartName="/xl/activeX/activeX5.bin" ContentType="application/vnd.ms-office.activeX"/>
  <Override PartName="/xl/activeX/activeX7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prod\DCCEEW_GEUS\EC Files\20240827 Aug Patch\20240828 Aug Patch\20240828 Aug Patch\"/>
    </mc:Choice>
  </mc:AlternateContent>
  <bookViews>
    <workbookView xWindow="0" yWindow="0" windowWidth="28800" windowHeight="12300"/>
  </bookViews>
  <sheets>
    <sheet name="Error Log" sheetId="1" r:id="rId1"/>
    <sheet name="{PL}PickLst" sheetId="4" state="hidden" r:id="rId2"/>
  </sheets>
  <definedNames>
    <definedName name="db_name">'Error Log'!$C$12</definedName>
    <definedName name="Freeze_Here">'Error Log'!$A$58</definedName>
    <definedName name="psUser">'Error Log'!$C$14</definedName>
    <definedName name="TM1AdjIDListCAP">'Error Log'!$D$28</definedName>
    <definedName name="TM1AdjIDListWB">'Error Log'!$F$28</definedName>
    <definedName name="TM1AdminArcCBMSRecoCAP">'Error Log'!$D$29</definedName>
    <definedName name="TM1AdminArcCBMSRecoRep">'Error Log'!$H$29</definedName>
    <definedName name="TM1AdminArcCBMSRecoWB">'Error Log'!$F$29</definedName>
    <definedName name="TM1HomeAECAP">'Error Log'!$D$24</definedName>
    <definedName name="TM1HomeAEDataEntryCAP">'Error Log'!$D$25</definedName>
    <definedName name="TM1HomeAEDataEntryWB">'Error Log'!$F$25</definedName>
    <definedName name="TM1HomeAEDataEntryWS">'Error Log'!$H$25</definedName>
    <definedName name="TM1HomeAEWB">'Error Log'!$F$24</definedName>
    <definedName name="TM1HomeAEWS">'Error Log'!$H$24</definedName>
    <definedName name="TM1HomeCAP">'Error Log'!$D$23</definedName>
    <definedName name="TM1HomeWB">'Error Log'!$F$23</definedName>
    <definedName name="TM1HomeWS">'Error Log'!$H$23</definedName>
    <definedName name="TM1IDListWS">'Error Log'!$H$28</definedName>
    <definedName name="TM1NewAdj95ApndReplCAP">'Error Log'!$D$27</definedName>
    <definedName name="TM1NewAdj95ApndReplWB">'Error Log'!$F$27</definedName>
    <definedName name="TM1NewAdj95ApndReplWS">'Error Log'!$H$27</definedName>
    <definedName name="TM1NewAdj97UploadCAP">'Error Log'!$D$26</definedName>
    <definedName name="TM1NewAdj97UploadWB">'Error Log'!$F$26</definedName>
    <definedName name="TM1NewAdj97UploadWS">'Error Log'!$H$26</definedName>
    <definedName name="TM1REBUILDOPTION">0</definedName>
    <definedName name="TM1RPTDATARNG2" localSheetId="0">'Error Log'!$58:$58</definedName>
    <definedName name="TM1RPTFMTIDCOL" localSheetId="0">'Error Log'!$A$1:$A$8</definedName>
    <definedName name="TM1RPTFMTRNG" localSheetId="0">'Error Log'!$B$1:$P$8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H29" i="1"/>
  <c r="G29" i="1"/>
  <c r="F29" i="1"/>
  <c r="E29" i="1"/>
  <c r="D29" i="1"/>
  <c r="C29" i="1"/>
  <c r="H27" i="1"/>
  <c r="G27" i="1"/>
  <c r="F27" i="1"/>
  <c r="E27" i="1"/>
  <c r="D27" i="1"/>
  <c r="C27" i="1"/>
  <c r="C41" i="1" a="1"/>
  <c r="C41" i="1"/>
  <c r="C58" i="1" a="1"/>
  <c r="C58" i="1"/>
  <c r="N55" i="1"/>
  <c r="C14" i="1"/>
  <c r="N54" i="1" a="1"/>
  <c r="N54" i="1"/>
  <c r="C44" i="1"/>
  <c r="C42" i="1"/>
  <c r="B58" i="1"/>
  <c r="G23" i="1"/>
  <c r="H26" i="1"/>
  <c r="G26" i="1"/>
  <c r="F26" i="1"/>
  <c r="E26" i="1"/>
  <c r="D26" i="1"/>
  <c r="C26" i="1"/>
  <c r="H28" i="1"/>
  <c r="G28" i="1"/>
  <c r="F28" i="1"/>
  <c r="E28" i="1"/>
  <c r="D28" i="1"/>
  <c r="C28" i="1"/>
  <c r="L58" i="1"/>
  <c r="K58" i="1"/>
  <c r="L57" i="1"/>
  <c r="C32" i="1"/>
  <c r="C36" i="1"/>
  <c r="C37" i="1"/>
  <c r="C35" i="1"/>
  <c r="C34" i="1"/>
  <c r="C33" i="1"/>
  <c r="N58" i="1" a="1"/>
  <c r="N58" i="1"/>
  <c r="O58" i="1" a="1"/>
  <c r="O58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F23" i="1"/>
  <c r="E23" i="1"/>
  <c r="D23" i="1"/>
  <c r="C23" i="1"/>
  <c r="C13" i="1"/>
  <c r="C15" i="1"/>
  <c r="C17" i="1"/>
  <c r="C16" i="1"/>
  <c r="P58" i="1" a="1"/>
  <c r="P58" i="1"/>
  <c r="D58" i="1" a="1"/>
  <c r="D58" i="1"/>
  <c r="A58" i="1" a="1"/>
  <c r="A58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<sst xmlns="http://schemas.openxmlformats.org/spreadsheetml/2006/main" count="67" uniqueCount="65">
  <si>
    <t>Used</t>
  </si>
  <si>
    <t>D</t>
  </si>
  <si>
    <t>N</t>
  </si>
  <si>
    <t>[Begin Format Range]</t>
  </si>
  <si>
    <t>[End Format Range]</t>
  </si>
  <si>
    <t>System Parameters</t>
  </si>
  <si>
    <t>Database Name</t>
  </si>
  <si>
    <t>Client Attributes</t>
  </si>
  <si>
    <t>TM1 User</t>
  </si>
  <si>
    <t>}TM1_DefaultDisplayValue</t>
  </si>
  <si>
    <t>GEUS User Name</t>
  </si>
  <si>
    <t>Current User</t>
  </si>
  <si>
    <t>sys_Application Cube</t>
  </si>
  <si>
    <t>View</t>
  </si>
  <si>
    <t>Current Workbook</t>
  </si>
  <si>
    <t>Adjustment - ID List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</si>
  <si>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</si>
  <si>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</si>
  <si>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</si>
  <si>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</si>
  <si>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</si>
  <si>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</si>
  <si>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</si>
  <si>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</si>
  <si>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</si>
  <si>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</si>
  <si>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User</t>
  </si>
  <si>
    <t>ID</t>
  </si>
  <si>
    <t>Process name</t>
  </si>
  <si>
    <t>{TM1FilterByLevel( TM1SubsetAll( [}clients] ), 0)}</t>
  </si>
  <si>
    <t>System Variables</t>
  </si>
  <si>
    <t>headline year</t>
  </si>
  <si>
    <t>headline scenario</t>
  </si>
  <si>
    <t>current budget round</t>
  </si>
  <si>
    <t>sys_upload directory</t>
  </si>
  <si>
    <t>PEFO</t>
  </si>
  <si>
    <t>MYEFO</t>
  </si>
  <si>
    <t>Additional Estimates</t>
  </si>
  <si>
    <t>Pre-ERC</t>
  </si>
  <si>
    <t>Budget</t>
  </si>
  <si>
    <t>Appropriation Bills</t>
  </si>
  <si>
    <t>Economic Update</t>
  </si>
  <si>
    <t>FBO</t>
  </si>
  <si>
    <t>Budget(2)</t>
  </si>
  <si>
    <t>current</t>
  </si>
  <si>
    <t>Outcome Restructure</t>
  </si>
  <si>
    <t>Data Entry - Upload Logging Report</t>
  </si>
  <si>
    <t>sys_ImpFileExceptionLogs</t>
  </si>
  <si>
    <t>sys_Logging Cube</t>
  </si>
  <si>
    <t>AF View</t>
  </si>
  <si>
    <t>MDX - Row ID</t>
  </si>
  <si>
    <t>MDX - All Clients</t>
  </si>
  <si>
    <t>MDX - by Client Name</t>
  </si>
  <si>
    <t xml:space="preserve">User Name : </t>
  </si>
  <si>
    <t>MDX - Client to Use</t>
  </si>
  <si>
    <t>REPORT PARAMETERS</t>
  </si>
  <si>
    <t xml:space="preserve">Show All Users : </t>
  </si>
  <si>
    <t>Upload Adjustment - Error Log Report</t>
  </si>
  <si>
    <t>Data Entry - New Adj 97 - Upload</t>
  </si>
  <si>
    <r>
      <t>{TM1SORT({TM1FilterByLevel( TM1SubsetAll( [row id] ), 0)</t>
    </r>
    <r>
      <rPr>
        <sz val="12.7"/>
        <color theme="1"/>
        <rFont val="Arial Unicode MS"/>
      </rPr>
      <t>}, Asc)}</t>
    </r>
  </si>
  <si>
    <t>Data Entry - New Adj 95 - Append Replace Upload</t>
  </si>
  <si>
    <t>Error Message</t>
  </si>
  <si>
    <t>Comments</t>
  </si>
  <si>
    <t>Admin Archive - CBMS GEUS Reconciliation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</si>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</sst>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.7"/>
      <color theme="1"/>
      <name val="Arial Unicode MS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28"/>
      <color theme="0"/>
      <name val="Calibri"/>
      <family val="2"/>
      <scheme val="minor"/>
    </font>
    <font>
      <sz val="8"/>
      <color rgb="FF333399"/>
      <name val="Verdana"/>
      <family val="2"/>
    </font>
    <font>
      <sz val="11"/>
      <color theme="3" tint="-0.24991607409894101"/>
      <name val="Calibri"/>
      <family val="2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53535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>
      <protection locked="0"/>
    </xf>
  </cellStyleXfs>
  <cellXfs count="4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2" fillId="2" borderId="0" xfId="0" applyFont="1" applyFill="1"/>
    <xf numFmtId="0" fontId="2" fillId="3" borderId="0" xfId="0" applyFont="1" applyFill="1"/>
    <xf numFmtId="0" fontId="4" fillId="0" borderId="0" xfId="1"/>
    <xf numFmtId="0" fontId="5" fillId="0" borderId="0" xfId="1" applyFont="1"/>
    <xf numFmtId="0" fontId="0" fillId="0" borderId="4" xfId="0" applyBorder="1"/>
    <xf numFmtId="0" fontId="4" fillId="0" borderId="4" xfId="1" applyBorder="1"/>
    <xf numFmtId="0" fontId="5" fillId="5" borderId="1" xfId="0" applyFont="1" applyFill="1" applyBorder="1"/>
    <xf numFmtId="0" fontId="5" fillId="5" borderId="5" xfId="0" applyFont="1" applyFill="1" applyBorder="1"/>
    <xf numFmtId="0" fontId="4" fillId="0" borderId="4" xfId="0" applyFont="1" applyBorder="1"/>
    <xf numFmtId="0" fontId="1" fillId="0" borderId="4" xfId="0" applyFont="1" applyBorder="1"/>
    <xf numFmtId="0" fontId="0" fillId="0" borderId="4" xfId="0" applyBorder="1" applyAlignment="1">
      <alignment horizontal="left" indent="1"/>
    </xf>
    <xf numFmtId="0" fontId="0" fillId="0" borderId="0" xfId="0" applyAlignment="1">
      <alignment horizontal="left" indent="1"/>
    </xf>
    <xf numFmtId="0" fontId="6" fillId="7" borderId="0" xfId="0" applyFont="1" applyFill="1" applyAlignment="1">
      <alignment horizontal="center" vertical="center" wrapText="1"/>
    </xf>
    <xf numFmtId="0" fontId="0" fillId="0" borderId="4" xfId="0" applyBorder="1" applyAlignment="1" applyProtection="1">
      <alignment horizontal="left" indent="1"/>
      <protection locked="0"/>
    </xf>
    <xf numFmtId="0" fontId="0" fillId="0" borderId="0" xfId="0" applyAlignment="1">
      <alignment wrapText="1"/>
    </xf>
    <xf numFmtId="0" fontId="4" fillId="0" borderId="0" xfId="1" applyAlignment="1">
      <alignment wrapText="1"/>
    </xf>
    <xf numFmtId="0" fontId="0" fillId="0" borderId="0" xfId="0" applyAlignment="1">
      <alignment vertical="top"/>
    </xf>
    <xf numFmtId="0" fontId="0" fillId="6" borderId="0" xfId="0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49" fontId="0" fillId="6" borderId="0" xfId="0" applyNumberFormat="1" applyFill="1" applyAlignment="1">
      <alignment horizontal="left" vertical="top"/>
    </xf>
    <xf numFmtId="0" fontId="6" fillId="7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0" fontId="0" fillId="0" borderId="4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indent="1"/>
    </xf>
    <xf numFmtId="0" fontId="0" fillId="0" borderId="0" xfId="0" applyAlignment="1">
      <alignment horizontal="center"/>
    </xf>
    <xf numFmtId="0" fontId="0" fillId="6" borderId="4" xfId="0" applyFill="1" applyBorder="1" applyAlignment="1">
      <alignment horizontal="center" vertical="top"/>
    </xf>
    <xf numFmtId="0" fontId="4" fillId="0" borderId="0" xfId="1" applyAlignment="1">
      <alignment horizontal="center"/>
    </xf>
    <xf numFmtId="0" fontId="0" fillId="6" borderId="4" xfId="0" applyFill="1" applyBorder="1" applyAlignment="1">
      <alignment horizontal="left" vertical="top" wrapText="1" indent="1"/>
    </xf>
    <xf numFmtId="0" fontId="4" fillId="0" borderId="0" xfId="1" applyAlignment="1">
      <alignment horizontal="left" wrapText="1" indent="1"/>
    </xf>
    <xf numFmtId="0" fontId="8" fillId="7" borderId="0" xfId="0" applyFont="1" applyFill="1" applyAlignment="1">
      <alignment horizontal="right" vertical="center"/>
    </xf>
    <xf numFmtId="0" fontId="10" fillId="0" borderId="0" xfId="2" applyFont="1" applyProtection="1"/>
    <xf numFmtId="0" fontId="9" fillId="0" borderId="0" xfId="2" applyProtection="1"/>
    <xf numFmtId="0" fontId="11" fillId="0" borderId="0" xfId="1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7" fillId="8" borderId="0" xfId="0" applyFont="1" applyFill="1" applyAlignment="1">
      <alignment horizontal="left" indent="1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05"/>
  <ax:ocxPr ax:name="_ExtentY" ax:value="397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Adj Lis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=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19050</xdr:colOff>
          <xdr:row>48</xdr:row>
          <xdr:rowOff>19050</xdr:rowOff>
        </xdr:from>
        <xdr:to>
          <xdr:col>10</xdr:col>
          <xdr:colOff>685800</xdr:colOff>
          <xdr:row>48</xdr:row>
          <xdr:rowOff>266700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704850</xdr:colOff>
          <xdr:row>48</xdr:row>
          <xdr:rowOff>19050</xdr:rowOff>
        </xdr:from>
        <xdr:to>
          <xdr:col>11</xdr:col>
          <xdr:colOff>438150</xdr:colOff>
          <xdr:row>48</xdr:row>
          <xdr:rowOff>266700</xdr:rowOff>
        </xdr:to>
        <xdr:sp macro="" textlink="">
          <xdr:nvSpPr>
            <xdr:cNvPr id="1029" name="TIButton2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10</xdr:col>
      <xdr:colOff>0</xdr:colOff>
      <xdr:row>46</xdr:row>
      <xdr:rowOff>0</xdr:rowOff>
    </xdr:from>
    <xdr:to>
      <xdr:col>11</xdr:col>
      <xdr:colOff>396240</xdr:colOff>
      <xdr:row>47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1825" y="8201025"/>
          <a:ext cx="1828800" cy="4572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704850</xdr:colOff>
          <xdr:row>48</xdr:row>
          <xdr:rowOff>19050</xdr:rowOff>
        </xdr:from>
        <xdr:to>
          <xdr:col>14</xdr:col>
          <xdr:colOff>1333500</xdr:colOff>
          <xdr:row>48</xdr:row>
          <xdr:rowOff>266700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1362075</xdr:colOff>
          <xdr:row>48</xdr:row>
          <xdr:rowOff>19050</xdr:rowOff>
        </xdr:from>
        <xdr:to>
          <xdr:col>14</xdr:col>
          <xdr:colOff>2124075</xdr:colOff>
          <xdr:row>48</xdr:row>
          <xdr:rowOff>266700</xdr:rowOff>
        </xdr:to>
        <xdr:sp macro="" textlink="">
          <xdr:nvSpPr>
            <xdr:cNvPr id="1031" name="TIButton4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476250</xdr:colOff>
          <xdr:row>48</xdr:row>
          <xdr:rowOff>19050</xdr:rowOff>
        </xdr:from>
        <xdr:to>
          <xdr:col>13</xdr:col>
          <xdr:colOff>514350</xdr:colOff>
          <xdr:row>48</xdr:row>
          <xdr:rowOff>266700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1714500</xdr:colOff>
          <xdr:row>48</xdr:row>
          <xdr:rowOff>19050</xdr:rowOff>
        </xdr:from>
        <xdr:to>
          <xdr:col>14</xdr:col>
          <xdr:colOff>685800</xdr:colOff>
          <xdr:row>48</xdr:row>
          <xdr:rowOff>266700</xdr:rowOff>
        </xdr:to>
        <xdr:sp macro="" textlink="">
          <xdr:nvSpPr>
            <xdr:cNvPr id="1033" name="TIButton6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552450</xdr:colOff>
          <xdr:row>48</xdr:row>
          <xdr:rowOff>19050</xdr:rowOff>
        </xdr:from>
        <xdr:to>
          <xdr:col>13</xdr:col>
          <xdr:colOff>1666875</xdr:colOff>
          <xdr:row>48</xdr:row>
          <xdr:rowOff>266700</xdr:rowOff>
        </xdr:to>
        <xdr:sp macro="" textlink="">
          <xdr:nvSpPr>
            <xdr:cNvPr id="1034" name="TIButton7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B6102C98-862C-95D1-63B3-7F1355AFA9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58"/>
  <sheetViews>
    <sheetView showGridLines="0" tabSelected="1" topLeftCell="J47" workbookViewId="0"/>
  </sheetViews>
  <sheetFormatPr defaultRowHeight="15" outlineLevelRow="1" outlineLevelCol="1"/>
  <cols>
    <col min="1" max="1" width="2.7109375" hidden="1" customWidth="1" outlineLevel="1"/>
    <col min="2" max="2" width="25.7109375" hidden="1" customWidth="1" outlineLevel="1"/>
    <col min="3" max="3" width="22.42578125" hidden="1" customWidth="1" outlineLevel="1"/>
    <col min="4" max="4" width="5.42578125" hidden="1" customWidth="1" outlineLevel="1"/>
    <col min="5" max="5" width="7.28515625" hidden="1" customWidth="1" outlineLevel="1"/>
    <col min="6" max="6" width="10.5703125" hidden="1" customWidth="1" outlineLevel="1"/>
    <col min="7" max="9" width="8.85546875" hidden="1" customWidth="1" outlineLevel="1"/>
    <col min="10" max="10" width="0.85546875" customWidth="1" collapsed="1"/>
    <col min="11" max="11" width="20.85546875" style="27" customWidth="1"/>
    <col min="12" max="12" width="15.28515625" style="30" bestFit="1" customWidth="1"/>
    <col min="13" max="13" width="0.85546875" customWidth="1"/>
    <col min="14" max="14" width="50.7109375" bestFit="1" customWidth="1"/>
    <col min="15" max="15" width="84.5703125" style="19" customWidth="1"/>
    <col min="16" max="16" width="63" customWidth="1"/>
  </cols>
  <sheetData>
    <row r="1" spans="1:16" hidden="1" outlineLevel="1">
      <c r="A1" t="s">
        <v>3</v>
      </c>
      <c r="N1" s="16"/>
      <c r="O1" s="27"/>
      <c r="P1" s="16"/>
    </row>
    <row r="2" spans="1:16" hidden="1" outlineLevel="1">
      <c r="A2">
        <f>0</f>
        <v>0</v>
      </c>
      <c r="B2" s="2"/>
      <c r="C2" s="1"/>
      <c r="D2" s="5"/>
      <c r="E2" s="5"/>
      <c r="F2" s="5"/>
    </row>
    <row r="3" spans="1:16" hidden="1" outlineLevel="1">
      <c r="A3">
        <f>1</f>
        <v>1</v>
      </c>
      <c r="B3" s="3"/>
      <c r="C3" s="4"/>
      <c r="D3" s="6"/>
      <c r="E3" s="6"/>
      <c r="F3" s="6"/>
    </row>
    <row r="4" spans="1:16" hidden="1" outlineLevel="1">
      <c r="A4">
        <f>2</f>
        <v>2</v>
      </c>
      <c r="B4" s="3"/>
      <c r="C4" s="4"/>
      <c r="D4" s="6"/>
      <c r="E4" s="6"/>
      <c r="F4" s="6"/>
    </row>
    <row r="5" spans="1:16" hidden="1" outlineLevel="1">
      <c r="A5">
        <f>3</f>
        <v>3</v>
      </c>
      <c r="B5" s="3"/>
      <c r="C5" s="4"/>
      <c r="D5" s="6"/>
      <c r="E5" s="6"/>
      <c r="F5" s="6"/>
    </row>
    <row r="6" spans="1:16" hidden="1" outlineLevel="1">
      <c r="A6" t="s">
        <v>1</v>
      </c>
      <c r="B6" s="3"/>
      <c r="C6" s="4"/>
      <c r="D6" s="6"/>
      <c r="E6" s="6"/>
      <c r="F6" s="6"/>
    </row>
    <row r="7" spans="1:16" s="21" customFormat="1" hidden="1" outlineLevel="1">
      <c r="A7" s="21" t="s">
        <v>2</v>
      </c>
      <c r="B7" s="22"/>
      <c r="C7" s="22"/>
      <c r="D7" s="23"/>
      <c r="E7" s="24"/>
      <c r="F7" s="24"/>
      <c r="K7" s="33"/>
      <c r="L7" s="31"/>
      <c r="N7" s="28"/>
      <c r="O7" s="28"/>
      <c r="P7" s="29"/>
    </row>
    <row r="8" spans="1:16" hidden="1" outlineLevel="1">
      <c r="A8" t="s">
        <v>4</v>
      </c>
    </row>
    <row r="9" spans="1:16" s="7" customFormat="1" ht="15" hidden="1" customHeight="1" outlineLevel="1">
      <c r="G9" s="8"/>
      <c r="H9" s="8"/>
      <c r="K9" s="34"/>
      <c r="L9" s="32"/>
      <c r="O9" s="20"/>
    </row>
    <row r="10" spans="1:16" s="7" customFormat="1" ht="15" hidden="1" customHeight="1" outlineLevel="1">
      <c r="G10" s="8"/>
      <c r="H10" s="8"/>
      <c r="K10" s="34"/>
      <c r="L10" s="32"/>
      <c r="O10" s="20"/>
    </row>
    <row r="11" spans="1:16" s="7" customFormat="1" ht="15" hidden="1" customHeight="1" outlineLevel="1">
      <c r="B11" s="43" t="s">
        <v>5</v>
      </c>
      <c r="C11" s="44"/>
      <c r="K11" s="34"/>
      <c r="L11" s="32"/>
      <c r="O11" s="20"/>
    </row>
    <row r="12" spans="1:16" s="7" customFormat="1" ht="15" hidden="1" customHeight="1" outlineLevel="1">
      <c r="B12" s="13" t="s">
        <v>6</v>
      </c>
      <c r="C12" s="15" t="s">
        <v>64</v>
      </c>
      <c r="K12" s="34"/>
      <c r="L12" s="32"/>
      <c r="O12" s="20"/>
    </row>
    <row r="13" spans="1:16" s="7" customFormat="1" ht="15" hidden="1" customHeight="1" outlineLevel="1">
      <c r="B13" s="10" t="s">
        <v>7</v>
      </c>
      <c r="C13" s="15" t="str">
        <f ca="1">_xll.VIEW((db_name&amp;":}ElementAttributes_}Clients"),"!","!")</f>
        <v>dcceew_geus:}ElementAttributes_}Clients</v>
      </c>
      <c r="K13" s="34"/>
      <c r="L13" s="32"/>
      <c r="O13" s="20"/>
    </row>
    <row r="14" spans="1:16" s="7" customFormat="1" ht="15" hidden="1" customHeight="1" outlineLevel="1">
      <c r="B14" s="13" t="s">
        <v>8</v>
      </c>
      <c r="C14" s="15" t="str">
        <f ca="1">_xll.TM1USER(db_name)</f>
        <v>CAMID("pans:u:kgimena@excelerated.com.au")</v>
      </c>
      <c r="K14" s="34"/>
      <c r="L14" s="32"/>
      <c r="O14" s="20"/>
    </row>
    <row r="15" spans="1:16" s="7" customFormat="1" ht="15" hidden="1" customHeight="1" outlineLevel="1">
      <c r="B15" s="13" t="s">
        <v>9</v>
      </c>
      <c r="C15" s="15" t="str">
        <f ca="1">_xll.DBR($C$13,$C$14,$B15)</f>
        <v>Business Analytics/Khristian Gimena</v>
      </c>
      <c r="K15" s="34"/>
      <c r="L15" s="32"/>
      <c r="O15" s="20"/>
    </row>
    <row r="16" spans="1:16" s="7" customFormat="1" ht="15" hidden="1" customHeight="1" outlineLevel="1">
      <c r="B16" s="13" t="s">
        <v>10</v>
      </c>
      <c r="C16" s="15" t="str">
        <f ca="1">_xll.DBR($C$13,$C$14,$B16)</f>
        <v>Khristian Gimena</v>
      </c>
      <c r="K16" s="34"/>
      <c r="L16" s="32"/>
      <c r="O16" s="20"/>
    </row>
    <row r="17" spans="2:15" s="7" customFormat="1" ht="15" hidden="1" customHeight="1" outlineLevel="1">
      <c r="B17" s="13" t="s">
        <v>11</v>
      </c>
      <c r="C17" s="15" t="str">
        <f ca="1">IF((LEFT($C$15,6)="CAM_AD"),$C$16,$C$15)</f>
        <v>Business Analytics/Khristian Gimena</v>
      </c>
      <c r="K17" s="34"/>
      <c r="L17" s="32"/>
    </row>
    <row r="18" spans="2:15" hidden="1" outlineLevel="1"/>
    <row r="19" spans="2:15" s="7" customFormat="1" ht="15" hidden="1" customHeight="1" outlineLevel="1">
      <c r="B19" s="43" t="s">
        <v>12</v>
      </c>
      <c r="C19" s="44"/>
      <c r="K19" s="34"/>
      <c r="L19" s="32"/>
      <c r="O19" s="20"/>
    </row>
    <row r="20" spans="2:15" s="7" customFormat="1" ht="15" hidden="1" customHeight="1" outlineLevel="1">
      <c r="B20" s="9" t="s">
        <v>13</v>
      </c>
      <c r="C20" s="9" t="str">
        <f ca="1">_xll.VIEW((db_name&amp;":sys_application"),"!","!")</f>
        <v>dcceew_geus:sys_application</v>
      </c>
      <c r="K20" s="34"/>
      <c r="L20" s="32"/>
      <c r="O20" s="20"/>
    </row>
    <row r="21" spans="2:15" s="7" customFormat="1" ht="15" hidden="1" customHeight="1" outlineLevel="1">
      <c r="B21" s="9" t="s">
        <v>14</v>
      </c>
      <c r="C21" s="10" t="s">
        <v>46</v>
      </c>
      <c r="K21" s="34"/>
      <c r="L21" s="32"/>
      <c r="O21" s="20"/>
    </row>
    <row r="22" spans="2:15" s="7" customFormat="1" ht="15" hidden="1" customHeight="1" outlineLevel="1">
      <c r="B22" s="11" t="s">
        <v>16</v>
      </c>
      <c r="C22" s="12" t="s">
        <v>17</v>
      </c>
      <c r="D22" s="12" t="s">
        <v>18</v>
      </c>
      <c r="E22" s="12" t="s">
        <v>19</v>
      </c>
      <c r="F22" s="12" t="s">
        <v>20</v>
      </c>
      <c r="G22" s="12" t="s">
        <v>21</v>
      </c>
      <c r="H22" s="12" t="s">
        <v>22</v>
      </c>
      <c r="K22" s="34"/>
      <c r="L22" s="32"/>
      <c r="O22" s="20"/>
    </row>
    <row r="23" spans="2:15" s="7" customFormat="1" ht="15" hidden="1" customHeight="1" outlineLevel="1">
      <c r="B23" s="9" t="s">
        <v>23</v>
      </c>
      <c r="C23" s="9" t="str">
        <f ca="1">_xll.DBR($C$20,$B23,C$22)</f>
        <v>TM1HomeCAP</v>
      </c>
      <c r="D23" s="9" t="str">
        <f ca="1">_xll.DBR($C$20,$B23,D$22)</f>
        <v>Home</v>
      </c>
      <c r="E23" s="9" t="str">
        <f ca="1">_xll.DBR($C$20,$B23,E$22)</f>
        <v>TM1HomeWB</v>
      </c>
      <c r="F23" s="9" t="str">
        <f ca="1">_xll.DBR($C$20,$B23,F$22)</f>
        <v>PRIMUS\GEUS WEB\Homepage\sys_Home.xlsx</v>
      </c>
      <c r="G23" s="9" t="str">
        <f ca="1">_xll.DBR($C$20,$B23,G$22)</f>
        <v>TM1HomeWS</v>
      </c>
      <c r="H23" s="9" t="str">
        <f ca="1">_xll.DBR($C$20,$B23,H$22)</f>
        <v>home</v>
      </c>
      <c r="K23" s="34"/>
      <c r="L23" s="32"/>
      <c r="O23" s="20"/>
    </row>
    <row r="24" spans="2:15" s="7" customFormat="1" ht="15" hidden="1" customHeight="1" outlineLevel="1">
      <c r="B24" s="9" t="s">
        <v>24</v>
      </c>
      <c r="C24" s="9" t="str">
        <f ca="1">_xll.DBR($C$20,$B24,C$22)</f>
        <v>TM1HomeAECAP</v>
      </c>
      <c r="D24" s="9" t="str">
        <f ca="1">_xll.DBR($C$20,$B24,D$22)</f>
        <v>Annual Estimates</v>
      </c>
      <c r="E24" s="9" t="str">
        <f ca="1">_xll.DBR($C$20,$B24,E$22)</f>
        <v>TM1HomeAEWB</v>
      </c>
      <c r="F24" s="9" t="str">
        <f ca="1">_xll.DBR($C$20,$B24,F$22)</f>
        <v>PRIMUS\GEUS WEB\Homepage\sys_Home - Annual Estimates - Data Entry.xlsx</v>
      </c>
      <c r="G24" s="9" t="str">
        <f ca="1">_xll.DBR($C$20,$B24,G$22)</f>
        <v>TM1HomeAEWS</v>
      </c>
      <c r="H24" s="9" t="str">
        <f ca="1">_xll.DBR($C$20,$B24,H$22)</f>
        <v>Menu</v>
      </c>
      <c r="K24" s="34"/>
      <c r="L24" s="32"/>
      <c r="O24" s="20"/>
    </row>
    <row r="25" spans="2:15" s="7" customFormat="1" ht="15" hidden="1" customHeight="1" outlineLevel="1">
      <c r="B25" s="9" t="s">
        <v>25</v>
      </c>
      <c r="C25" s="9" t="str">
        <f ca="1">_xll.DBR($C$20,$B25,C$22)</f>
        <v>TM1HomeAEDataEntryCAP</v>
      </c>
      <c r="D25" s="9" t="str">
        <f ca="1">_xll.DBR($C$20,$B25,D$22)</f>
        <v>Data Entry Menu</v>
      </c>
      <c r="E25" s="9" t="str">
        <f ca="1">_xll.DBR($C$20,$B25,E$22)</f>
        <v>TM1HomeAEDataEntryWB</v>
      </c>
      <c r="F25" s="9" t="str">
        <f ca="1">_xll.DBR($C$20,$B25,F$22)</f>
        <v>PRIMUS\GEUS WEB\Homepage\sys_Home - Annual Estimates - Data Entry.xlsx</v>
      </c>
      <c r="G25" s="9" t="str">
        <f ca="1">_xll.DBR($C$20,$B25,G$22)</f>
        <v>TM1HomeAEDataEntryWS</v>
      </c>
      <c r="H25" s="9" t="str">
        <f ca="1">_xll.DBR($C$20,$B25,H$22)</f>
        <v>Menu</v>
      </c>
      <c r="K25" s="34"/>
      <c r="L25" s="32"/>
      <c r="O25" s="20"/>
    </row>
    <row r="26" spans="2:15" s="7" customFormat="1" ht="15" hidden="1" customHeight="1" outlineLevel="1">
      <c r="B26" s="9" t="s">
        <v>58</v>
      </c>
      <c r="C26" s="9" t="str">
        <f ca="1">_xll.DBR($C$20,$B26,C$22)</f>
        <v>TM1NewAdj97UploadCAP</v>
      </c>
      <c r="D26" s="9" t="str">
        <f ca="1">_xll.DBR($C$20,$B26,D$22)</f>
        <v>Upload Flat Files</v>
      </c>
      <c r="E26" s="9" t="str">
        <f ca="1">_xll.DBR($C$20,$B26,E$22)</f>
        <v>TM1NewAdj97UploadWB</v>
      </c>
      <c r="F26" s="9" t="str">
        <f ca="1">_xll.DBR($C$20,$B26,F$22)</f>
        <v>PRIMUS\GEUS WEB\Annual Estimates\Data Entry\new adj 97 - upload process.xlsx</v>
      </c>
      <c r="G26" s="9" t="str">
        <f ca="1">_xll.DBR($C$20,$B26,G$22)</f>
        <v>TM1NewAdj97UploadWS</v>
      </c>
      <c r="H26" s="9" t="str">
        <f ca="1">_xll.DBR($C$20,$B26,H$22)</f>
        <v>upload</v>
      </c>
      <c r="K26" s="34"/>
      <c r="L26" s="32"/>
      <c r="O26" s="20"/>
    </row>
    <row r="27" spans="2:15" s="7" customFormat="1" ht="15" hidden="1" customHeight="1" outlineLevel="1">
      <c r="B27" s="9" t="s">
        <v>60</v>
      </c>
      <c r="C27" s="9" t="str">
        <f ca="1">_xll.DBR($C$20,$B27,C$22)</f>
        <v>TM1NewAdj95ApndReplCAP</v>
      </c>
      <c r="D27" s="9" t="str">
        <f ca="1">_xll.DBR($C$20,$B27,D$22)</f>
        <v>Upload Adjustment - Append/Replace (N/A)</v>
      </c>
      <c r="E27" s="9" t="str">
        <f ca="1">_xll.DBR($C$20,$B27,E$22)</f>
        <v>TM1NewAdj95ApndReplWB</v>
      </c>
      <c r="F27" s="9" t="str">
        <f ca="1">_xll.DBR($C$20,$B27,F$22)</f>
        <v>PRIMUS\GEUS WEB\Annual Estimates\Data Entry\new adj 95 - Append Replace Upload.xlsx</v>
      </c>
      <c r="G27" s="9" t="str">
        <f ca="1">_xll.DBR($C$20,$B27,G$22)</f>
        <v>TM1NewAdj95ApndReplWS</v>
      </c>
      <c r="H27" s="9" t="str">
        <f ca="1">_xll.DBR($C$20,$B27,H$22)</f>
        <v>Append Replace</v>
      </c>
      <c r="K27" s="34"/>
      <c r="L27" s="32"/>
      <c r="O27" s="20"/>
    </row>
    <row r="28" spans="2:15" s="7" customFormat="1" ht="15" hidden="1" customHeight="1" outlineLevel="1">
      <c r="B28" s="9" t="s">
        <v>15</v>
      </c>
      <c r="C28" s="9" t="str">
        <f ca="1">_xll.DBR($C$20,$B28,C$22)</f>
        <v>TM1AdjIDListCAP</v>
      </c>
      <c r="D28" s="9" t="str">
        <f ca="1">_xll.DBR($C$20,$B28,D$22)</f>
        <v>Adj List</v>
      </c>
      <c r="E28" s="9" t="str">
        <f ca="1">_xll.DBR($C$20,$B28,E$22)</f>
        <v>TM1AdjIDListWB</v>
      </c>
      <c r="F28" s="9" t="str">
        <f ca="1">_xll.DBR($C$20,$B28,F$22)</f>
        <v>PRIMUS\GEUS WEB\Annual Estimates\Adjustment\adj_id list.xlsx</v>
      </c>
      <c r="G28" s="9" t="str">
        <f ca="1">_xll.DBR($C$20,$B28,G$22)</f>
        <v>TM1IDListWS</v>
      </c>
      <c r="H28" s="9" t="str">
        <f ca="1">_xll.DBR($C$20,$B28,H$22)</f>
        <v>ID List</v>
      </c>
      <c r="K28" s="34"/>
      <c r="L28" s="32"/>
      <c r="O28" s="20"/>
    </row>
    <row r="29" spans="2:15" s="7" customFormat="1" ht="15" hidden="1" customHeight="1" outlineLevel="1">
      <c r="B29" s="9" t="s">
        <v>63</v>
      </c>
      <c r="C29" s="9" t="str">
        <f ca="1">_xll.DBR($C$20,$B29,C$22)</f>
        <v>TM1AdminArcCBMSRecoCAP</v>
      </c>
      <c r="D29" s="9" t="str">
        <f ca="1">_xll.DBR($C$20,$B29,D$22)</f>
        <v>Perform GEUS - CBMS Reconciliation</v>
      </c>
      <c r="E29" s="9" t="str">
        <f ca="1">_xll.DBR($C$20,$B29,E$22)</f>
        <v>TM1AdminArcCBMSRecoWB</v>
      </c>
      <c r="F29" s="9" t="str">
        <f ca="1">_xll.DBR($C$20,$B29,F$22)</f>
        <v>PRIMUS\GEUS WEB\Administration\Archive\sys_Admin - Archive - CBMS GEUS Reconciliation Upload.xlsx</v>
      </c>
      <c r="G29" s="9" t="str">
        <f ca="1">_xll.DBR($C$20,$B29,G$22)</f>
        <v>TM1AdminArcCBMSRecoRep</v>
      </c>
      <c r="H29" s="9" t="str">
        <f ca="1">_xll.DBR($C$20,$B29,H$22)</f>
        <v>reco</v>
      </c>
      <c r="K29" s="34"/>
      <c r="L29" s="32"/>
      <c r="O29" s="20"/>
    </row>
    <row r="30" spans="2:15" s="7" customFormat="1" ht="15" hidden="1" customHeight="1" outlineLevel="1">
      <c r="K30" s="34"/>
      <c r="L30" s="32"/>
      <c r="O30" s="20"/>
    </row>
    <row r="31" spans="2:15" hidden="1" outlineLevel="1">
      <c r="B31" s="45" t="s">
        <v>30</v>
      </c>
      <c r="C31" s="46"/>
    </row>
    <row r="32" spans="2:15" hidden="1" outlineLevel="1">
      <c r="B32" s="14" t="s">
        <v>13</v>
      </c>
      <c r="C32" s="9" t="str">
        <f ca="1">_xll.VIEW(db_name&amp;":}ElementAttributes_variables","!","!")</f>
        <v>dcceew_geus:}ElementAttributes_variables</v>
      </c>
    </row>
    <row r="33" spans="1:17" hidden="1" outlineLevel="1">
      <c r="B33" s="14" t="s">
        <v>31</v>
      </c>
      <c r="C33" s="9" t="str">
        <f ca="1">_xll.DBR($C$32,$B33,"value")</f>
        <v>HL2025-2026</v>
      </c>
    </row>
    <row r="34" spans="1:17" hidden="1" outlineLevel="1">
      <c r="B34" s="14" t="s">
        <v>32</v>
      </c>
      <c r="C34" s="9" t="str">
        <f ca="1">_xll.DBR($C$32,$B34,"value")</f>
        <v>current</v>
      </c>
    </row>
    <row r="35" spans="1:17" hidden="1" outlineLevel="1">
      <c r="B35" s="14" t="s">
        <v>33</v>
      </c>
      <c r="C35" s="9" t="str">
        <f ca="1">_xll.DBR($C$32,$B35,"value")</f>
        <v>MYEFO</v>
      </c>
    </row>
    <row r="36" spans="1:17" hidden="1" outlineLevel="1">
      <c r="B36" s="14" t="s">
        <v>47</v>
      </c>
      <c r="C36" s="9" t="str">
        <f ca="1">_xll.DBR($C$32,$B36,"value")</f>
        <v>s:\prod\dcceew_geus\Data\model_upload\GEUS PRIMUS\Flatfile Extract Directory\</v>
      </c>
    </row>
    <row r="37" spans="1:17" hidden="1" outlineLevel="1">
      <c r="B37" s="14" t="s">
        <v>34</v>
      </c>
      <c r="C37" s="9" t="str">
        <f ca="1">_xll.DBR($C$32,$B37,"value")</f>
        <v>s:\prod\dcceew_geus\Data\model_upload\GEUS PRIMUS\Upload\</v>
      </c>
    </row>
    <row r="38" spans="1:17" hidden="1" outlineLevel="1">
      <c r="B38" s="14"/>
      <c r="C38" s="9"/>
    </row>
    <row r="39" spans="1:17" s="7" customFormat="1" ht="15" hidden="1" customHeight="1" outlineLevel="1">
      <c r="D39"/>
      <c r="K39" s="34"/>
      <c r="L39" s="32"/>
      <c r="O39" s="20"/>
    </row>
    <row r="40" spans="1:17" s="7" customFormat="1" ht="15" hidden="1" customHeight="1" outlineLevel="1">
      <c r="B40" s="47" t="s">
        <v>48</v>
      </c>
      <c r="C40" s="47"/>
      <c r="D40"/>
      <c r="K40" s="34"/>
      <c r="L40" s="32"/>
      <c r="O40" s="20"/>
    </row>
    <row r="41" spans="1:17" hidden="1" outlineLevel="1">
      <c r="B41" s="9" t="s">
        <v>49</v>
      </c>
      <c r="C41" s="9" t="str">
        <f t="array" aca="1" ref="C41" ca="1">_xll.TM1RPTVIEW(db_name&amp;":sys_logging:2", 2,TM1RPTFMTRNG,TM1RPTFMTIDCOL)</f>
        <v>dcceew_geus:sys_logging:2</v>
      </c>
    </row>
    <row r="42" spans="1:17" hidden="1" outlineLevel="1">
      <c r="B42" s="9" t="s">
        <v>54</v>
      </c>
      <c r="C42" s="9" t="str">
        <f ca="1">IF(N55="No",$C$44,$C$43)</f>
        <v>{[}Clients].[CAMID("pans:u:kgimena@excelerated.com.au")]}</v>
      </c>
    </row>
    <row r="43" spans="1:17" hidden="1" outlineLevel="1">
      <c r="B43" s="9" t="s">
        <v>51</v>
      </c>
      <c r="C43" s="9" t="s">
        <v>29</v>
      </c>
    </row>
    <row r="44" spans="1:17" hidden="1" outlineLevel="1">
      <c r="B44" s="9" t="s">
        <v>52</v>
      </c>
      <c r="C44" s="9" t="str">
        <f ca="1">"{[}Clients].[" &amp;N54 &amp; "]}"</f>
        <v>{[}Clients].[CAMID("pans:u:kgimena@excelerated.com.au")]}</v>
      </c>
    </row>
    <row r="45" spans="1:17" ht="16.5" hidden="1" outlineLevel="1">
      <c r="B45" s="9" t="s">
        <v>50</v>
      </c>
      <c r="C45" s="9" t="s">
        <v>59</v>
      </c>
    </row>
    <row r="46" spans="1:17" hidden="1" outlineLevel="1"/>
    <row r="47" spans="1:17" s="7" customFormat="1" ht="36" customHeight="1" collapsed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 t="s">
        <v>57</v>
      </c>
      <c r="Q47" s="39"/>
    </row>
    <row r="48" spans="1:17" s="7" customFormat="1" ht="4.5" customHeight="1">
      <c r="I48" s="36"/>
      <c r="J48" s="36"/>
      <c r="K48" s="36"/>
      <c r="L48" s="36"/>
      <c r="M48" s="36"/>
      <c r="N48" s="36"/>
      <c r="O48" s="36"/>
      <c r="P48" s="37"/>
      <c r="Q48" s="37"/>
    </row>
    <row r="49" spans="1:17" s="7" customFormat="1" ht="24" customHeight="1">
      <c r="I49" s="36"/>
      <c r="J49" s="36"/>
      <c r="K49" s="36"/>
      <c r="L49" s="36"/>
      <c r="M49" s="36"/>
      <c r="N49"/>
      <c r="O49" s="36"/>
      <c r="P49" s="37"/>
      <c r="Q49" s="37"/>
    </row>
    <row r="50" spans="1:17" s="7" customFormat="1" ht="1.5" customHeight="1">
      <c r="I50" s="36"/>
      <c r="J50" s="35"/>
      <c r="K50" s="35"/>
      <c r="L50" s="35"/>
      <c r="M50" s="35"/>
      <c r="N50" s="35"/>
      <c r="O50" s="35"/>
      <c r="P50" s="35"/>
      <c r="Q50" s="40"/>
    </row>
    <row r="51" spans="1:17" s="7" customFormat="1" ht="4.5" customHeight="1">
      <c r="I51"/>
      <c r="J51"/>
      <c r="N51"/>
      <c r="O51"/>
    </row>
    <row r="52" spans="1:17" s="7" customFormat="1" ht="15" customHeight="1">
      <c r="I52"/>
      <c r="J52"/>
      <c r="L52" s="38"/>
      <c r="N52"/>
      <c r="O52"/>
    </row>
    <row r="53" spans="1:17">
      <c r="L53" s="42" t="s">
        <v>55</v>
      </c>
      <c r="M53" s="42"/>
      <c r="N53" s="42"/>
    </row>
    <row r="54" spans="1:17">
      <c r="L54" s="41" t="s">
        <v>53</v>
      </c>
      <c r="N54" s="18" t="str">
        <f t="array" aca="1" ref="N54" ca="1">_xll.SUBNM(db_name&amp;":}Clients","",psUser)</f>
        <v>CAMID("pans:u:kgimena@excelerated.com.au")</v>
      </c>
    </row>
    <row r="55" spans="1:17">
      <c r="L55" s="41" t="s">
        <v>56</v>
      </c>
      <c r="N55" s="18" t="str">
        <f ca="1">_xll.SUBNM(db_name&amp;":sys_YesNo","","No")</f>
        <v>No</v>
      </c>
    </row>
    <row r="56" spans="1:17" ht="4.1500000000000004" customHeight="1"/>
    <row r="57" spans="1:17" ht="30">
      <c r="B57" s="17" t="s">
        <v>26</v>
      </c>
      <c r="C57" s="17" t="s">
        <v>27</v>
      </c>
      <c r="D57" s="17" t="s">
        <v>0</v>
      </c>
      <c r="K57" s="26" t="s">
        <v>26</v>
      </c>
      <c r="L57" s="17" t="str">
        <f>C57</f>
        <v>ID</v>
      </c>
      <c r="N57" s="17" t="s">
        <v>28</v>
      </c>
      <c r="O57" s="17" t="s">
        <v>61</v>
      </c>
      <c r="P57" s="17" t="s">
        <v>62</v>
      </c>
    </row>
    <row r="58" spans="1:17" ht="30" customHeight="1">
      <c r="A58" s="21" t="str" cm="1">
        <f t="array" aca="1" ref="A58" ca="1">IF(_xll.TM1RPTELISCONSOLIDATED($C$58,$C58),IF(_xll.TM1RPTELLEV($C$58,$C58)&lt;=3,_xll.TM1RPTELLEV($C$58,$C58),"D"),"N")</f>
        <v>N</v>
      </c>
      <c r="B58" s="25" t="str">
        <f ca="1">_xll.TM1RPTROW($C$41,db_name&amp;":}Clients","",,"",0,$C$42)</f>
        <v/>
      </c>
      <c r="C58" s="25" t="str">
        <f t="array" aca="1" ref="C58" ca="1">_xll.TM1RPTROW($C$41,db_name&amp;":row id","",,"",0,$C$45)</f>
        <v/>
      </c>
      <c r="D58" s="23" t="str" cm="1">
        <f t="array" aca="1" ref="D58" ca="1">_xll.DBRW($C$41,$B58,$C58,D$57)</f>
        <v/>
      </c>
      <c r="E58" s="24"/>
      <c r="F58" s="24"/>
      <c r="G58" s="21"/>
      <c r="H58" s="21"/>
      <c r="I58" s="21"/>
      <c r="J58" s="21"/>
      <c r="K58" s="33" t="str">
        <f ca="1">$B58</f>
        <v/>
      </c>
      <c r="L58" s="31" t="str">
        <f ca="1">$C58</f>
        <v/>
      </c>
      <c r="M58" s="21"/>
      <c r="N58" s="28" t="str" cm="1">
        <f t="array" aca="1" ref="N58" ca="1">_xll.DBRW($C$41,$B58,$C58,N$57)</f>
        <v/>
      </c>
      <c r="O58" s="28" t="str" cm="1">
        <f t="array" aca="1" ref="O58" ca="1">_xll.DBRW($C$41,$B58,$C58,O$57)</f>
        <v/>
      </c>
      <c r="P58" s="29" t="str" cm="1">
        <f t="array" aca="1" ref="P58" ca="1">_xll.DBRW($C$41,$B58,$C58,P$57)</f>
        <v/>
      </c>
    </row>
  </sheetData>
  <sheetProtection sheet="1" objects="1" scenarios="1"/>
  <mergeCells count="5">
    <mergeCell ref="L53:N53"/>
    <mergeCell ref="B11:C11"/>
    <mergeCell ref="B19:C19"/>
    <mergeCell ref="B31:C31"/>
    <mergeCell ref="B40:C40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TIButton1">
          <controlPr defaultSize="0" print="0" autoLine="0" r:id="rId5">
            <anchor moveWithCells="1" sizeWithCells="1">
              <from>
                <xdr:col>10</xdr:col>
                <xdr:colOff>19050</xdr:colOff>
                <xdr:row>48</xdr:row>
                <xdr:rowOff>19050</xdr:rowOff>
              </from>
              <to>
                <xdr:col>10</xdr:col>
                <xdr:colOff>685800</xdr:colOff>
                <xdr:row>48</xdr:row>
                <xdr:rowOff>266700</xdr:rowOff>
              </to>
            </anchor>
          </controlPr>
        </control>
      </mc:Choice>
      <mc:Fallback>
        <control shapeId="1028" r:id="rId4" name="TIButton1"/>
      </mc:Fallback>
    </mc:AlternateContent>
    <mc:AlternateContent xmlns:mc="http://schemas.openxmlformats.org/markup-compatibility/2006">
      <mc:Choice Requires="x14">
        <control shapeId="1029" r:id="rId6" name="TIButton2">
          <controlPr defaultSize="0" print="0" autoLine="0" r:id="rId7">
            <anchor moveWithCells="1" sizeWithCells="1">
              <from>
                <xdr:col>10</xdr:col>
                <xdr:colOff>704850</xdr:colOff>
                <xdr:row>48</xdr:row>
                <xdr:rowOff>19050</xdr:rowOff>
              </from>
              <to>
                <xdr:col>11</xdr:col>
                <xdr:colOff>438150</xdr:colOff>
                <xdr:row>48</xdr:row>
                <xdr:rowOff>266700</xdr:rowOff>
              </to>
            </anchor>
          </controlPr>
        </control>
      </mc:Choice>
      <mc:Fallback>
        <control shapeId="1029" r:id="rId6" name="TIButton2"/>
      </mc:Fallback>
    </mc:AlternateContent>
    <mc:AlternateContent xmlns:mc="http://schemas.openxmlformats.org/markup-compatibility/2006">
      <mc:Choice Requires="x14">
        <control shapeId="1030" r:id="rId8" name="TIButton3">
          <controlPr defaultSize="0" print="0" autoLine="0" r:id="rId9">
            <anchor moveWithCells="1" sizeWithCells="1">
              <from>
                <xdr:col>14</xdr:col>
                <xdr:colOff>704850</xdr:colOff>
                <xdr:row>48</xdr:row>
                <xdr:rowOff>19050</xdr:rowOff>
              </from>
              <to>
                <xdr:col>14</xdr:col>
                <xdr:colOff>1333500</xdr:colOff>
                <xdr:row>48</xdr:row>
                <xdr:rowOff>266700</xdr:rowOff>
              </to>
            </anchor>
          </controlPr>
        </control>
      </mc:Choice>
      <mc:Fallback>
        <control shapeId="1030" r:id="rId8" name="TIButton3"/>
      </mc:Fallback>
    </mc:AlternateContent>
    <mc:AlternateContent xmlns:mc="http://schemas.openxmlformats.org/markup-compatibility/2006">
      <mc:Choice Requires="x14">
        <control shapeId="1031" r:id="rId10" name="TIButton4">
          <controlPr defaultSize="0" print="0" autoLine="0" r:id="rId11">
            <anchor moveWithCells="1" sizeWithCells="1">
              <from>
                <xdr:col>14</xdr:col>
                <xdr:colOff>1362075</xdr:colOff>
                <xdr:row>48</xdr:row>
                <xdr:rowOff>19050</xdr:rowOff>
              </from>
              <to>
                <xdr:col>14</xdr:col>
                <xdr:colOff>2124075</xdr:colOff>
                <xdr:row>48</xdr:row>
                <xdr:rowOff>266700</xdr:rowOff>
              </to>
            </anchor>
          </controlPr>
        </control>
      </mc:Choice>
      <mc:Fallback>
        <control shapeId="1031" r:id="rId10" name="TIButton4"/>
      </mc:Fallback>
    </mc:AlternateContent>
    <mc:AlternateContent xmlns:mc="http://schemas.openxmlformats.org/markup-compatibility/2006">
      <mc:Choice Requires="x14">
        <control shapeId="1032" r:id="rId12" name="TIButton5">
          <controlPr defaultSize="0" print="0" autoLine="0" r:id="rId13">
            <anchor moveWithCells="1" sizeWithCells="1">
              <from>
                <xdr:col>11</xdr:col>
                <xdr:colOff>476250</xdr:colOff>
                <xdr:row>48</xdr:row>
                <xdr:rowOff>19050</xdr:rowOff>
              </from>
              <to>
                <xdr:col>13</xdr:col>
                <xdr:colOff>514350</xdr:colOff>
                <xdr:row>48</xdr:row>
                <xdr:rowOff>266700</xdr:rowOff>
              </to>
            </anchor>
          </controlPr>
        </control>
      </mc:Choice>
      <mc:Fallback>
        <control shapeId="1032" r:id="rId12" name="TIButton5"/>
      </mc:Fallback>
    </mc:AlternateContent>
    <mc:AlternateContent xmlns:mc="http://schemas.openxmlformats.org/markup-compatibility/2006">
      <mc:Choice Requires="x14">
        <control shapeId="1033" r:id="rId14" name="TIButton6">
          <controlPr defaultSize="0" print="0" autoLine="0" r:id="rId15">
            <anchor moveWithCells="1" sizeWithCells="1">
              <from>
                <xdr:col>13</xdr:col>
                <xdr:colOff>1714500</xdr:colOff>
                <xdr:row>48</xdr:row>
                <xdr:rowOff>19050</xdr:rowOff>
              </from>
              <to>
                <xdr:col>14</xdr:col>
                <xdr:colOff>685800</xdr:colOff>
                <xdr:row>48</xdr:row>
                <xdr:rowOff>266700</xdr:rowOff>
              </to>
            </anchor>
          </controlPr>
        </control>
      </mc:Choice>
      <mc:Fallback>
        <control shapeId="1033" r:id="rId14" name="TIButton6"/>
      </mc:Fallback>
    </mc:AlternateContent>
    <mc:AlternateContent xmlns:mc="http://schemas.openxmlformats.org/markup-compatibility/2006">
      <mc:Choice Requires="x14">
        <control shapeId="1034" r:id="rId16" name="TIButton7">
          <controlPr defaultSize="0" print="0" autoLine="0" r:id="rId17">
            <anchor moveWithCells="1" sizeWithCells="1">
              <from>
                <xdr:col>13</xdr:col>
                <xdr:colOff>552450</xdr:colOff>
                <xdr:row>48</xdr:row>
                <xdr:rowOff>19050</xdr:rowOff>
              </from>
              <to>
                <xdr:col>13</xdr:col>
                <xdr:colOff>1666875</xdr:colOff>
                <xdr:row>48</xdr:row>
                <xdr:rowOff>266700</xdr:rowOff>
              </to>
            </anchor>
          </controlPr>
        </control>
      </mc:Choice>
      <mc:Fallback>
        <control shapeId="1034" r:id="rId16" name="TIButton7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11"/>
  <sheetViews>
    <sheetView workbookViewId="0"/>
  </sheetViews>
  <sheetFormatPr defaultRowHeight="15"/>
  <sheetData>
    <row r="1" spans="1:1">
      <c r="A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  <row r="7" spans="1:1">
      <c r="A7" t="s">
        <v>41</v>
      </c>
    </row>
    <row r="8" spans="1:1">
      <c r="A8" t="s">
        <v>42</v>
      </c>
    </row>
    <row r="9" spans="1:1">
      <c r="A9" t="s">
        <v>43</v>
      </c>
    </row>
    <row r="10" spans="1:1">
      <c r="A10" t="s">
        <v>44</v>
      </c>
    </row>
    <row r="11" spans="1:1">
      <c r="A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27</vt:i4>
      </vt:variant>
    </vt:vector>
  </HeadingPairs>
  <TitlesOfParts>
    <vt:vector size="29" baseType="lpstr">
      <vt:lpstr>Error Log</vt:lpstr>
      <vt:lpstr>{PL}PickLst</vt:lpstr>
      <vt:lpstr>db_name</vt:lpstr>
      <vt:lpstr>Freeze_Here</vt:lpstr>
      <vt:lpstr>psUser</vt:lpstr>
      <vt:lpstr>TM1AdjIDListCAP</vt:lpstr>
      <vt:lpstr>TM1AdjIDListWB</vt:lpstr>
      <vt:lpstr>TM1AdminArcCBMSRecoCAP</vt:lpstr>
      <vt:lpstr>TM1AdminArcCBMSRecoRep</vt:lpstr>
      <vt:lpstr>TM1AdminArcCBMSRecoWB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TM1NewAdj95ApndReplCAP</vt:lpstr>
      <vt:lpstr>TM1NewAdj95ApndReplWB</vt:lpstr>
      <vt:lpstr>TM1NewAdj95ApndReplWS</vt:lpstr>
      <vt:lpstr>TM1NewAdj97UploadCAP</vt:lpstr>
      <vt:lpstr>TM1NewAdj97UploadWB</vt:lpstr>
      <vt:lpstr>TM1NewAdj97UploadWS</vt:lpstr>
      <vt:lpstr>'Error Log'!TM1RPTDATARNG2</vt:lpstr>
      <vt:lpstr>'Error Log'!TM1RPTFMTIDCOL</vt:lpstr>
      <vt:lpstr>'Error Log'!TM1RPTFMTRNG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modeler1</cp:lastModifiedBy>
  <cp:lastPrinted>2024-01-17T05:03:48Z</cp:lastPrinted>
  <dcterms:created xsi:type="dcterms:W3CDTF">2024-01-09T04:26:52Z</dcterms:created>
  <dcterms:modified xsi:type="dcterms:W3CDTF">2024-08-29T05:40:09Z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77481-9e35-4b68-b667-876a73c6db41_Enabled">
    <vt:lpwstr>true</vt:lpwstr>
  </property>
  <property fmtid="{D5CDD505-2E9C-101B-9397-08002B2CF9AE}" pid="3" name="MSIP_Label_5f877481-9e35-4b68-b667-876a73c6db41_SetDate">
    <vt:lpwstr>2024-08-28T01:11:29Z</vt:lpwstr>
  </property>
  <property fmtid="{D5CDD505-2E9C-101B-9397-08002B2CF9AE}" pid="4" name="MSIP_Label_5f877481-9e35-4b68-b667-876a73c6db41_Method">
    <vt:lpwstr>Privileged</vt:lpwstr>
  </property>
  <property fmtid="{D5CDD505-2E9C-101B-9397-08002B2CF9AE}" pid="5" name="MSIP_Label_5f877481-9e35-4b68-b667-876a73c6db41_Name">
    <vt:lpwstr>5f877481-9e35-4b68-b667-876a73c6db41</vt:lpwstr>
  </property>
  <property fmtid="{D5CDD505-2E9C-101B-9397-08002B2CF9AE}" pid="6" name="MSIP_Label_5f877481-9e35-4b68-b667-876a73c6db41_SiteId">
    <vt:lpwstr>dd0cfd15-4558-4b12-8bad-ea26984fc417</vt:lpwstr>
  </property>
  <property fmtid="{D5CDD505-2E9C-101B-9397-08002B2CF9AE}" pid="7" name="MSIP_Label_5f877481-9e35-4b68-b667-876a73c6db41_ActionId">
    <vt:lpwstr>7779b227-05db-4d6d-b2cd-21072641ad2c</vt:lpwstr>
  </property>
  <property fmtid="{D5CDD505-2E9C-101B-9397-08002B2CF9AE}" pid="8" name="MSIP_Label_5f877481-9e35-4b68-b667-876a73c6db41_ContentBits">
    <vt:lpwstr>0</vt:lpwstr>
  </property>
</Properties>
</file>