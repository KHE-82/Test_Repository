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B812951D-1EDF-4814-A79B-F04C82830503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apping" sheetId="1" r:id="rId1"/>
    <sheet name="{PL}PickLst" sheetId="2" state="hidden" r:id="rId2"/>
  </sheets>
  <definedNames>
    <definedName name="db_name">mapping!$C$11</definedName>
    <definedName name="Freeze_here">mapping!$A$54</definedName>
    <definedName name="RangeName_List">mapping!#REF!</definedName>
    <definedName name="TM1MECCMapCAP">mapping!$D$34</definedName>
    <definedName name="TM1MECCMapWB">mapping!$F$34</definedName>
    <definedName name="TM1MECCMapWS">mapping!$H$34</definedName>
    <definedName name="TM1MEDataEntryCAP">mapping!$D$33</definedName>
    <definedName name="TM1MEDataEntryWB">mapping!$F$33</definedName>
    <definedName name="TM1MEDataEntryWS">mapping!$H$33</definedName>
    <definedName name="TM1MEGLMapCAP">mapping!$D$35</definedName>
    <definedName name="TM1MEGLMapWB">mapping!$F$35</definedName>
    <definedName name="TM1MEGLMapWS">mapping!$H$35</definedName>
    <definedName name="TM1MEHomeCAP">mapping!$D$32</definedName>
    <definedName name="TM1MEHomeWB">mapping!$F$32</definedName>
    <definedName name="TM1MEHomeWS">mapping!$H$32</definedName>
    <definedName name="TM1MESummaryCAP">mapping!$D$36</definedName>
    <definedName name="TM1MESummaryWB">mapping!$F$36</definedName>
    <definedName name="TM1MESummaryWS">mapping!$H$36</definedName>
    <definedName name="TM1REBUILDOPTION">0</definedName>
    <definedName name="TM1RPTDATARNG1" localSheetId="0">mapping!$54:$54</definedName>
    <definedName name="TM1RPTFMTIDCOL" localSheetId="0">mapping!$A$1:$A$8</definedName>
    <definedName name="TM1RPTFMTRNG" localSheetId="0">mapping!$K$1:$P$8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C19" i="1"/>
  <c r="C16" i="1"/>
  <c r="C15" i="1"/>
  <c r="M50" i="1"/>
  <c r="C17" i="1"/>
  <c r="K54" i="1"/>
  <c r="O54" i="1"/>
  <c r="E54" i="1"/>
  <c r="D54" i="1"/>
  <c r="M54" i="1"/>
  <c r="C54" i="1"/>
  <c r="B54" i="1"/>
  <c r="P54" i="1"/>
  <c r="G54" i="1"/>
  <c r="N54" i="1"/>
  <c r="C25" i="1"/>
  <c r="C22" i="1"/>
  <c r="C30" i="1"/>
  <c r="D35" i="1"/>
  <c r="D34" i="1"/>
  <c r="D32" i="1"/>
  <c r="H36" i="1"/>
  <c r="G36" i="1"/>
  <c r="F36" i="1"/>
  <c r="E36" i="1"/>
  <c r="D36" i="1"/>
  <c r="C36" i="1"/>
  <c r="H35" i="1"/>
  <c r="G35" i="1"/>
  <c r="F35" i="1"/>
  <c r="E35" i="1"/>
  <c r="C35" i="1"/>
  <c r="H34" i="1"/>
  <c r="G34" i="1"/>
  <c r="F34" i="1"/>
  <c r="E34" i="1"/>
  <c r="C34" i="1"/>
  <c r="H33" i="1"/>
  <c r="G33" i="1"/>
  <c r="F33" i="1"/>
  <c r="E33" i="1"/>
  <c r="D33" i="1"/>
  <c r="C33" i="1"/>
  <c r="H32" i="1"/>
  <c r="G32" i="1"/>
  <c r="F32" i="1"/>
  <c r="E32" i="1"/>
  <c r="C32" i="1"/>
  <c r="C12" i="1"/>
  <c r="L54" i="1"/>
  <c r="A54" i="1"/>
  <c r="A5" i="1"/>
  <c r="A4" i="1"/>
  <c r="A3" i="1"/>
  <c r="A2" i="1"/>
</calcChain>
</file>

<file path=xl/sharedStrings.xml><?xml version="1.0" encoding="utf-8"?>
<sst xmlns="http://schemas.openxmlformats.org/spreadsheetml/2006/main" count="459" uniqueCount="455">
  <si>
    <t>unmapped</t>
  </si>
  <si>
    <t>D</t>
  </si>
  <si>
    <t>N</t>
  </si>
  <si>
    <t>[Begin Format Range]</t>
  </si>
  <si>
    <t>[End Format Range]</t>
  </si>
  <si>
    <t>System Variables</t>
  </si>
  <si>
    <t>Database Name</t>
  </si>
  <si>
    <t>Current User</t>
  </si>
  <si>
    <t>sys_application</t>
  </si>
  <si>
    <t>Cube View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</si>
  <si>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</si>
  <si>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</si>
  <si>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</si>
  <si>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</si>
  <si>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</si>
  <si>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</si>
  <si>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</si>
  <si>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</si>
  <si>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CC Mapping</t>
  </si>
  <si>
    <t>ME - GL Mapping</t>
  </si>
  <si>
    <t>ME - Summary</t>
  </si>
  <si>
    <t>sys_ME GL Code Mapping</t>
  </si>
  <si>
    <t>View Slice</t>
  </si>
  <si>
    <t>MDX</t>
  </si>
  <si>
    <t>MEASURE :</t>
  </si>
  <si>
    <t>Unmapped Flag</t>
  </si>
  <si>
    <t>GEUS MAPPINGS</t>
  </si>
  <si>
    <t>Account Attributes</t>
  </si>
  <si>
    <t>VIEW</t>
  </si>
  <si>
    <t>description</t>
  </si>
  <si>
    <t>Report Parameters</t>
  </si>
  <si>
    <t>Cost Centre :</t>
  </si>
  <si>
    <t>Cost Centre</t>
  </si>
  <si>
    <t>Program</t>
  </si>
  <si>
    <t>Program Description</t>
  </si>
  <si>
    <t>program Attributes</t>
  </si>
  <si>
    <t>program</t>
  </si>
  <si>
    <t>Cost Centre To GEUS Program Mapping</t>
  </si>
  <si>
    <t>Note : This screen is used to manage the Cost Centre to GEUS Program Mapping used during the monthly estimates Upload Tech One Process</t>
  </si>
  <si>
    <t>Project</t>
  </si>
  <si>
    <t>GL Code</t>
  </si>
  <si>
    <t>Program Override</t>
  </si>
  <si>
    <t>program override</t>
  </si>
  <si>
    <t>1:02-01-01-01</t>
  </si>
  <si>
    <t>1:02-01-01-02</t>
  </si>
  <si>
    <t>1:02-01-01-03</t>
  </si>
  <si>
    <t>1:02-01-01-04</t>
  </si>
  <si>
    <t>1:02-01-01-05</t>
  </si>
  <si>
    <t>1:02-01-01-06</t>
  </si>
  <si>
    <t>1:02-01-01-07</t>
  </si>
  <si>
    <t>1:02-01-01-08</t>
  </si>
  <si>
    <t>1:02-01-01-09</t>
  </si>
  <si>
    <t>1:02-01-01-10</t>
  </si>
  <si>
    <t>1:02-01-01-11</t>
  </si>
  <si>
    <t>1:02-01-01-12</t>
  </si>
  <si>
    <t>1:02-01-01-13</t>
  </si>
  <si>
    <t>1:02-01-01-14</t>
  </si>
  <si>
    <t>1:02-01-01-15</t>
  </si>
  <si>
    <t>1:02-01-01-16</t>
  </si>
  <si>
    <t>1:02-01-01-17</t>
  </si>
  <si>
    <t>1:02-01-01-18</t>
  </si>
  <si>
    <t>1:02-01-01-19</t>
  </si>
  <si>
    <t>1:02-01-01-20</t>
  </si>
  <si>
    <t>1:02-01-01-21</t>
  </si>
  <si>
    <t>1:02-01-01-22</t>
  </si>
  <si>
    <t>1:02-01-01-23</t>
  </si>
  <si>
    <t>1:02-01-02-01</t>
  </si>
  <si>
    <t>1:02-01-02-02</t>
  </si>
  <si>
    <t>1:02-01-02-03</t>
  </si>
  <si>
    <t>1:02-01-02-04</t>
  </si>
  <si>
    <t>1:02-01-02-05</t>
  </si>
  <si>
    <t>1:02-01-02-06</t>
  </si>
  <si>
    <t>1:02-01-02-07</t>
  </si>
  <si>
    <t>1:02-01-02-08</t>
  </si>
  <si>
    <t>1:02-01-02-09</t>
  </si>
  <si>
    <t>1:02-01-02-10</t>
  </si>
  <si>
    <t>1:02-01-02-11-01</t>
  </si>
  <si>
    <t>1:02-01-02-11-02</t>
  </si>
  <si>
    <t>1:02-01-02-12</t>
  </si>
  <si>
    <t>1:02-01-02-13</t>
  </si>
  <si>
    <t>1:02-01-02-14</t>
  </si>
  <si>
    <t>1:02-01-02-15</t>
  </si>
  <si>
    <t>1:02-01-02-16</t>
  </si>
  <si>
    <t>1:02-01-02-17</t>
  </si>
  <si>
    <t>1:02-01-02-18</t>
  </si>
  <si>
    <t>1:02-01-02-19</t>
  </si>
  <si>
    <t>1:02-01-02-20</t>
  </si>
  <si>
    <t>1:02-01-02-21</t>
  </si>
  <si>
    <t>1:02-01-02-22</t>
  </si>
  <si>
    <t>1:02-01-02-23</t>
  </si>
  <si>
    <t>1:02-01-02-24</t>
  </si>
  <si>
    <t>1:02-01-02-25</t>
  </si>
  <si>
    <t>1:02-01-02-26</t>
  </si>
  <si>
    <t>1:02-01-02-27</t>
  </si>
  <si>
    <t>1:02-01-02-28</t>
  </si>
  <si>
    <t>1:02-01-02-29</t>
  </si>
  <si>
    <t>1:02-01-02-30</t>
  </si>
  <si>
    <t>1:02-01-02-31</t>
  </si>
  <si>
    <t>1:02-01-02-32</t>
  </si>
  <si>
    <t>1:02-01-02-33</t>
  </si>
  <si>
    <t>1:03-01-01-01</t>
  </si>
  <si>
    <t>1:03-01-01-02</t>
  </si>
  <si>
    <t>1:03-01-01-03-01</t>
  </si>
  <si>
    <t>1:03-01-01-03-02</t>
  </si>
  <si>
    <t>1:03-01-01-04</t>
  </si>
  <si>
    <t>1:03-01-01-05</t>
  </si>
  <si>
    <t>1:03-01-01-06</t>
  </si>
  <si>
    <t>1:03-01-01-07-01</t>
  </si>
  <si>
    <t>1:03-01-01-07-02</t>
  </si>
  <si>
    <t>1:03-01-01-08</t>
  </si>
  <si>
    <t>1:03-01-01-09</t>
  </si>
  <si>
    <t>1:03-01-01-10</t>
  </si>
  <si>
    <t>1:03-01-01-11</t>
  </si>
  <si>
    <t>1:03-01-01-12</t>
  </si>
  <si>
    <t>1:03-01-01-13</t>
  </si>
  <si>
    <t>1:03-01-01-14</t>
  </si>
  <si>
    <t>1:03-01-01-15</t>
  </si>
  <si>
    <t>1:03-01-01-16</t>
  </si>
  <si>
    <t>1:03-01-01-17</t>
  </si>
  <si>
    <t>1:03-01-01-18</t>
  </si>
  <si>
    <t>1:03-01-01-19</t>
  </si>
  <si>
    <t>1:03-01-01-20</t>
  </si>
  <si>
    <t>1:03-01-01-21</t>
  </si>
  <si>
    <t>1:03-01-01-22</t>
  </si>
  <si>
    <t>1:03-01-01-23</t>
  </si>
  <si>
    <t>1:03-01-01-24</t>
  </si>
  <si>
    <t>1:03-01-01-25</t>
  </si>
  <si>
    <t>1:03-01-02-01</t>
  </si>
  <si>
    <t>1:03-01-02-02</t>
  </si>
  <si>
    <t>1:03-01-02-03</t>
  </si>
  <si>
    <t>1:03-01-02-04-01</t>
  </si>
  <si>
    <t>1:03-01-02-04-02</t>
  </si>
  <si>
    <t>1:03-01-02-04-03</t>
  </si>
  <si>
    <t>1:03-01-02-04-04</t>
  </si>
  <si>
    <t>1:03-01-02-04-05</t>
  </si>
  <si>
    <t>1:03-01-02-04-06</t>
  </si>
  <si>
    <t>1:03-01-02-04-07</t>
  </si>
  <si>
    <t>1:03-01-02-05</t>
  </si>
  <si>
    <t>1:03-01-02-06</t>
  </si>
  <si>
    <t>1:03-01-02-07</t>
  </si>
  <si>
    <t>1:03-01-02-08-01</t>
  </si>
  <si>
    <t>1:03-01-02-08-02</t>
  </si>
  <si>
    <t>1:03-01-02-08-03</t>
  </si>
  <si>
    <t>1:03-01-02-09</t>
  </si>
  <si>
    <t>1:03-01-02-10</t>
  </si>
  <si>
    <t>1:03-01-02-11-01</t>
  </si>
  <si>
    <t>1:03-01-02-11-02</t>
  </si>
  <si>
    <t>1:03-01-02-12</t>
  </si>
  <si>
    <t>1:03-01-02-13</t>
  </si>
  <si>
    <t>1:03-01-02-14</t>
  </si>
  <si>
    <t>1:03-01-02-15</t>
  </si>
  <si>
    <t>1:03-01-02-16</t>
  </si>
  <si>
    <t>1:03-01-02-17</t>
  </si>
  <si>
    <t>1:03-01-02-18</t>
  </si>
  <si>
    <t>1:03-01-02-19</t>
  </si>
  <si>
    <t>1:03-01-02-20</t>
  </si>
  <si>
    <t>1:03-01-02-21</t>
  </si>
  <si>
    <t>1:03-01-02-22</t>
  </si>
  <si>
    <t>1:03-01-02-23</t>
  </si>
  <si>
    <t>1:03-01-02-24</t>
  </si>
  <si>
    <t>1:03-01-02-25</t>
  </si>
  <si>
    <t>1:03-01-02-26</t>
  </si>
  <si>
    <t>1:03-01-02-27</t>
  </si>
  <si>
    <t>1:03-01-02-28</t>
  </si>
  <si>
    <t>1:03-01-02-29</t>
  </si>
  <si>
    <t>1:03-01-02-30</t>
  </si>
  <si>
    <t>1:03-01-03-01</t>
  </si>
  <si>
    <t>1:03-01-03-02</t>
  </si>
  <si>
    <t>1:03-01-03-03</t>
  </si>
  <si>
    <t>1:03-01-03-04</t>
  </si>
  <si>
    <t>1:03-01-03-05</t>
  </si>
  <si>
    <t>1:03-01-03-06</t>
  </si>
  <si>
    <t>1:03-01-03-07</t>
  </si>
  <si>
    <t>1:03-01-03-08</t>
  </si>
  <si>
    <t>1:03-01-03-09</t>
  </si>
  <si>
    <t>1:03-01-03-10</t>
  </si>
  <si>
    <t>1:03-01-03-11</t>
  </si>
  <si>
    <t>1:03-01-03-12-01</t>
  </si>
  <si>
    <t>1:03-01-03-12-02</t>
  </si>
  <si>
    <t>1:03-01-03-13</t>
  </si>
  <si>
    <t>1:03-01-03-14</t>
  </si>
  <si>
    <t>1:03-01-03-15-01</t>
  </si>
  <si>
    <t>1:03-01-03-15-02</t>
  </si>
  <si>
    <t>1:03-01-03-16</t>
  </si>
  <si>
    <t>1:03-01-03-17-01</t>
  </si>
  <si>
    <t>1:03-01-03-17-02</t>
  </si>
  <si>
    <t>1:03-01-03-17-03</t>
  </si>
  <si>
    <t>1:03-01-03-17-04</t>
  </si>
  <si>
    <t>1:03-01-03-17-05</t>
  </si>
  <si>
    <t>1:03-01-03-17-06</t>
  </si>
  <si>
    <t>1:03-01-03-17-07</t>
  </si>
  <si>
    <t>1:03-01-03-17-08</t>
  </si>
  <si>
    <t>1:03-01-03-17-09</t>
  </si>
  <si>
    <t>1:03-01-03-18</t>
  </si>
  <si>
    <t>1:03-01-03-19</t>
  </si>
  <si>
    <t>1:03-01-03-20</t>
  </si>
  <si>
    <t>1:03-01-03-21</t>
  </si>
  <si>
    <t>1:03-01-03-22</t>
  </si>
  <si>
    <t>1:03-01-03-23</t>
  </si>
  <si>
    <t>1:03-01-03-24</t>
  </si>
  <si>
    <t>1:03-01-03-25</t>
  </si>
  <si>
    <t>1:03-01-03-26</t>
  </si>
  <si>
    <t>1:03-01-03-27</t>
  </si>
  <si>
    <t>1:03-01-03-28</t>
  </si>
  <si>
    <t>1:03-01-03-29</t>
  </si>
  <si>
    <t>1:03-01-03-30</t>
  </si>
  <si>
    <t>1:03-01-03-31</t>
  </si>
  <si>
    <t>1:03-01-03-32</t>
  </si>
  <si>
    <t>1:03-01-03-33</t>
  </si>
  <si>
    <t>1:03-01-03-34</t>
  </si>
  <si>
    <t>1:03-01-03-35</t>
  </si>
  <si>
    <t>1:03-01-03-36</t>
  </si>
  <si>
    <t>1:03-01-03-37</t>
  </si>
  <si>
    <t>1:03-01-03-38</t>
  </si>
  <si>
    <t>1:03-01-03-39</t>
  </si>
  <si>
    <t>1:03-01-03-40</t>
  </si>
  <si>
    <t>1:03-01-03-41</t>
  </si>
  <si>
    <t>1:03-01-03-42</t>
  </si>
  <si>
    <t>1:03-01-03-43</t>
  </si>
  <si>
    <t>1:03-01-03-44</t>
  </si>
  <si>
    <t>1:03-01-03-45</t>
  </si>
  <si>
    <t>1:03-01-03-46</t>
  </si>
  <si>
    <t>1:03-01-03-47</t>
  </si>
  <si>
    <t>1:03-01-03-48</t>
  </si>
  <si>
    <t>1:03-01-03-49-01</t>
  </si>
  <si>
    <t>1:03-01-03-50</t>
  </si>
  <si>
    <t>1:03-01-03-51</t>
  </si>
  <si>
    <t>1:03-01-03-52</t>
  </si>
  <si>
    <t>1:03-01-03-53</t>
  </si>
  <si>
    <t>1:03-01-03-54</t>
  </si>
  <si>
    <t>1:03-01-03-55</t>
  </si>
  <si>
    <t>1:03-01-03-56</t>
  </si>
  <si>
    <t>1:03-01-03-57</t>
  </si>
  <si>
    <t>1:03-01-03-60</t>
  </si>
  <si>
    <t>1:03-02-01-01-01</t>
  </si>
  <si>
    <t>1:03-02-01-01-02</t>
  </si>
  <si>
    <t>1:03-02-01-01-03</t>
  </si>
  <si>
    <t>1:03-02-01-01-04</t>
  </si>
  <si>
    <t>1:03-02-01-02</t>
  </si>
  <si>
    <t>1:03-02-01-03</t>
  </si>
  <si>
    <t>1:03-02-01-04</t>
  </si>
  <si>
    <t>1:03-02-01-05</t>
  </si>
  <si>
    <t>1:03-02-01-06</t>
  </si>
  <si>
    <t>1:03-02-01-07</t>
  </si>
  <si>
    <t>1:03-02-01-08</t>
  </si>
  <si>
    <t>1:03-02-01-09</t>
  </si>
  <si>
    <t>1:03-02-01-10</t>
  </si>
  <si>
    <t>1:03-02-01-11-01</t>
  </si>
  <si>
    <t>1:03-02-01-11-02</t>
  </si>
  <si>
    <t>1:03-02-01-11-03</t>
  </si>
  <si>
    <t>1:03-02-01-11-04</t>
  </si>
  <si>
    <t>1:03-02-01-12</t>
  </si>
  <si>
    <t>1:03-02-01-13</t>
  </si>
  <si>
    <t>1:03-02-01-14</t>
  </si>
  <si>
    <t>1:03-02-01-15</t>
  </si>
  <si>
    <t>1:03-02-01-16</t>
  </si>
  <si>
    <t>1:03-02-01-17</t>
  </si>
  <si>
    <t>1:03-02-01-18</t>
  </si>
  <si>
    <t>1:03-02-01-19</t>
  </si>
  <si>
    <t>1:03-02-01-20</t>
  </si>
  <si>
    <t>1:03-02-01-21</t>
  </si>
  <si>
    <t>1:03-02-01-22</t>
  </si>
  <si>
    <t>1:03-02-01-23</t>
  </si>
  <si>
    <t>1:03-02-01-24</t>
  </si>
  <si>
    <t>1:03-02-01-25-01</t>
  </si>
  <si>
    <t>1:03-02-01-25-02</t>
  </si>
  <si>
    <t>1:03-02-01-26</t>
  </si>
  <si>
    <t>1:03-02-01-27</t>
  </si>
  <si>
    <t>1:03-02-01-28</t>
  </si>
  <si>
    <t>1:03-02-01-29</t>
  </si>
  <si>
    <t>1:03-02-01-30</t>
  </si>
  <si>
    <t>1:03-02-01-31</t>
  </si>
  <si>
    <t>1:03-02-01-32</t>
  </si>
  <si>
    <t>1:03-02-01-33</t>
  </si>
  <si>
    <t>1:03-02-01-34</t>
  </si>
  <si>
    <t>1:03-02-01-35</t>
  </si>
  <si>
    <t>1:03-02-01-36</t>
  </si>
  <si>
    <t>1:03-02-01-37</t>
  </si>
  <si>
    <t>1:03-02-01-38</t>
  </si>
  <si>
    <t>1:03-02-01-39</t>
  </si>
  <si>
    <t>1:03-02-01-40</t>
  </si>
  <si>
    <t>1:03-02-01-41</t>
  </si>
  <si>
    <t>1:03-02-01-42</t>
  </si>
  <si>
    <t>1:03-02-01-43</t>
  </si>
  <si>
    <t>1:03-02-01-44</t>
  </si>
  <si>
    <t>1:03-02-01-45</t>
  </si>
  <si>
    <t>1:03-02-01-46</t>
  </si>
  <si>
    <t>1:03-02-01-47</t>
  </si>
  <si>
    <t>1:03-02-01-48</t>
  </si>
  <si>
    <t>1:03-02-01-49</t>
  </si>
  <si>
    <t>1:03-02-01-50</t>
  </si>
  <si>
    <t>1:03-02-01-51</t>
  </si>
  <si>
    <t>1:03-02-01-52</t>
  </si>
  <si>
    <t>1:03-02-01-53</t>
  </si>
  <si>
    <t>1:03-02-01-54</t>
  </si>
  <si>
    <t>1:03-02-01-55</t>
  </si>
  <si>
    <t>1:03-02-01-56</t>
  </si>
  <si>
    <t>1:03-02-02-01-01</t>
  </si>
  <si>
    <t>1:03-02-02-01-02</t>
  </si>
  <si>
    <t>1:03-02-02-01-03</t>
  </si>
  <si>
    <t>1:03-02-02-02</t>
  </si>
  <si>
    <t>1:03-02-02-03</t>
  </si>
  <si>
    <t>1:03-02-02-04</t>
  </si>
  <si>
    <t>1:03-02-02-05</t>
  </si>
  <si>
    <t>1:03-02-02-06</t>
  </si>
  <si>
    <t>1:03-02-02-07</t>
  </si>
  <si>
    <t>1:03-02-02-08</t>
  </si>
  <si>
    <t>1:03-02-02-09</t>
  </si>
  <si>
    <t>1:03-02-02-10</t>
  </si>
  <si>
    <t>1:03-02-02-11</t>
  </si>
  <si>
    <t>1:03-02-02-12</t>
  </si>
  <si>
    <t>1:05-01-01</t>
  </si>
  <si>
    <t>1:05-01-02</t>
  </si>
  <si>
    <t>1:05-01-03</t>
  </si>
  <si>
    <t>1:05-01-04</t>
  </si>
  <si>
    <t>1:05-01-05-01</t>
  </si>
  <si>
    <t>1:05-01-05-02</t>
  </si>
  <si>
    <t>1:05-01-05-03</t>
  </si>
  <si>
    <t>1:05-01-05-04</t>
  </si>
  <si>
    <t>1:05-01-05-05</t>
  </si>
  <si>
    <t>1:05-01-05-06</t>
  </si>
  <si>
    <t>1:05-01-05-07</t>
  </si>
  <si>
    <t>1:05-01-05-08</t>
  </si>
  <si>
    <t>1:05-01-05-09</t>
  </si>
  <si>
    <t>1:05-01-05-10</t>
  </si>
  <si>
    <t>1:05-01-05-11</t>
  </si>
  <si>
    <t>1:05-01-06</t>
  </si>
  <si>
    <t>1:05-01-07</t>
  </si>
  <si>
    <t>1:05-01-08</t>
  </si>
  <si>
    <t>1:05-01-09</t>
  </si>
  <si>
    <t>1:05-01-10</t>
  </si>
  <si>
    <t>1:05-01-11</t>
  </si>
  <si>
    <t>1:05-01-12</t>
  </si>
  <si>
    <t>1:05-01-13</t>
  </si>
  <si>
    <t>1:05-01-14</t>
  </si>
  <si>
    <t>1:05-01-15</t>
  </si>
  <si>
    <t>1:05-01-16</t>
  </si>
  <si>
    <t>1:05-01-17</t>
  </si>
  <si>
    <t>1:05-01-18</t>
  </si>
  <si>
    <t>1:05-01-19</t>
  </si>
  <si>
    <t>1:05-01-20</t>
  </si>
  <si>
    <t>1:05-01-21</t>
  </si>
  <si>
    <t>1:05-01-22</t>
  </si>
  <si>
    <t>1:05-01-23</t>
  </si>
  <si>
    <t>1:05-01-24</t>
  </si>
  <si>
    <t>1:05-01-25</t>
  </si>
  <si>
    <t>1:05-01-26</t>
  </si>
  <si>
    <t>1:06-01-01</t>
  </si>
  <si>
    <t>1:06-01-02</t>
  </si>
  <si>
    <t>1:06-01-03</t>
  </si>
  <si>
    <t>1:06-01-04</t>
  </si>
  <si>
    <t>1:06-01-05</t>
  </si>
  <si>
    <t>1:06-01-06</t>
  </si>
  <si>
    <t>2:01-01</t>
  </si>
  <si>
    <t>2:01-02</t>
  </si>
  <si>
    <t>2:01-03</t>
  </si>
  <si>
    <t>2:01-04</t>
  </si>
  <si>
    <t>2:01-05</t>
  </si>
  <si>
    <t>2:01-06</t>
  </si>
  <si>
    <t>2:01-07</t>
  </si>
  <si>
    <t>2:01-08</t>
  </si>
  <si>
    <t>2:01-09</t>
  </si>
  <si>
    <t>2:01-10</t>
  </si>
  <si>
    <t>2:01-11</t>
  </si>
  <si>
    <t>2:01-12</t>
  </si>
  <si>
    <t>2:01-13</t>
  </si>
  <si>
    <t>2:01-14</t>
  </si>
  <si>
    <t>2:01-15</t>
  </si>
  <si>
    <t>2:01-16</t>
  </si>
  <si>
    <t>2:01-17</t>
  </si>
  <si>
    <t>2:01-18</t>
  </si>
  <si>
    <t>2:01-19</t>
  </si>
  <si>
    <t>2:01-20</t>
  </si>
  <si>
    <t>2:01-21</t>
  </si>
  <si>
    <t>2:01-22</t>
  </si>
  <si>
    <t>2:01-23</t>
  </si>
  <si>
    <t>2:01-24</t>
  </si>
  <si>
    <t>2:01-25</t>
  </si>
  <si>
    <t>2:01-26</t>
  </si>
  <si>
    <t>2:01-27</t>
  </si>
  <si>
    <t>2:01-28</t>
  </si>
  <si>
    <t>2:01-29</t>
  </si>
  <si>
    <t>2:01-30</t>
  </si>
  <si>
    <t>2:01-31</t>
  </si>
  <si>
    <t>2:01-32</t>
  </si>
  <si>
    <t>2:01-33</t>
  </si>
  <si>
    <t>2:01-34</t>
  </si>
  <si>
    <t>2:02-02</t>
  </si>
  <si>
    <t>2:03-01</t>
  </si>
  <si>
    <t>2:03-02</t>
  </si>
  <si>
    <t>2:03-03</t>
  </si>
  <si>
    <t>2:03-04</t>
  </si>
  <si>
    <t>2:03-05</t>
  </si>
  <si>
    <t>2:03-06</t>
  </si>
  <si>
    <t>2:03-07</t>
  </si>
  <si>
    <t>2:03-08</t>
  </si>
  <si>
    <t>2:03-09</t>
  </si>
  <si>
    <t>2:03-10</t>
  </si>
  <si>
    <t>2:03-11</t>
  </si>
  <si>
    <t>3:01-01</t>
  </si>
  <si>
    <t>3:01-02</t>
  </si>
  <si>
    <t>3:01-03</t>
  </si>
  <si>
    <t>3:01-04</t>
  </si>
  <si>
    <t>3:01-05</t>
  </si>
  <si>
    <t>3:01-06</t>
  </si>
  <si>
    <t>3:01-07</t>
  </si>
  <si>
    <t>3:01-08</t>
  </si>
  <si>
    <t>3:01-09</t>
  </si>
  <si>
    <t>3:01-10</t>
  </si>
  <si>
    <t>3:01-11</t>
  </si>
  <si>
    <t>3:01-12</t>
  </si>
  <si>
    <t>3:01-13</t>
  </si>
  <si>
    <t>3:01-15</t>
  </si>
  <si>
    <t>3:01-16</t>
  </si>
  <si>
    <t>3:01-17</t>
  </si>
  <si>
    <t>3:01-18</t>
  </si>
  <si>
    <t>3:01-19</t>
  </si>
  <si>
    <t>3:01-20</t>
  </si>
  <si>
    <t>3:01-21</t>
  </si>
  <si>
    <t>3:01-22</t>
  </si>
  <si>
    <t>3:01-23</t>
  </si>
  <si>
    <t>3:01-24</t>
  </si>
  <si>
    <t>3:01-25</t>
  </si>
  <si>
    <t>3:01-26</t>
  </si>
  <si>
    <t>3:01-27</t>
  </si>
  <si>
    <t>3:01-28</t>
  </si>
  <si>
    <t>3:01-29</t>
  </si>
  <si>
    <t>3:01-30</t>
  </si>
  <si>
    <t>3:01-31</t>
  </si>
  <si>
    <t>3:01-32</t>
  </si>
  <si>
    <t>3:01-33</t>
  </si>
  <si>
    <t>3:01-34</t>
  </si>
  <si>
    <t>3:01-35</t>
  </si>
  <si>
    <t>3:01-36</t>
  </si>
  <si>
    <t>3:01-37</t>
  </si>
  <si>
    <t>3:01-38</t>
  </si>
  <si>
    <t>3:01-39</t>
  </si>
  <si>
    <t>3:01-40</t>
  </si>
  <si>
    <t>3:01-41</t>
  </si>
  <si>
    <t>3:01-42</t>
  </si>
  <si>
    <t>3:01-43</t>
  </si>
  <si>
    <t>3:01-44</t>
  </si>
  <si>
    <t>4:01-01-01</t>
  </si>
  <si>
    <t>4:01-02-01</t>
  </si>
  <si>
    <t>6258</t>
  </si>
  <si>
    <t>8647</t>
  </si>
  <si>
    <t>8651</t>
  </si>
  <si>
    <t>8652</t>
  </si>
  <si>
    <t>8655</t>
  </si>
  <si>
    <t>ABUDME</t>
  </si>
  <si>
    <t>BUDME</t>
  </si>
  <si>
    <t>1:03-01-03-58-01</t>
  </si>
  <si>
    <t>1:03-01-03-58-02</t>
  </si>
  <si>
    <t>1:03-01-03-58-03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</si>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</sst>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164" fontId="10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2" fillId="3" borderId="1" xfId="0" applyFont="1" applyFill="1" applyBorder="1"/>
    <xf numFmtId="0" fontId="3" fillId="4" borderId="0" xfId="0" applyFont="1" applyFill="1"/>
    <xf numFmtId="0" fontId="5" fillId="3" borderId="1" xfId="0" applyFont="1" applyFill="1" applyBorder="1" applyAlignment="1">
      <alignment horizontal="center"/>
    </xf>
    <xf numFmtId="0" fontId="6" fillId="5" borderId="1" xfId="0" applyFont="1" applyFill="1" applyBorder="1"/>
    <xf numFmtId="0" fontId="4" fillId="0" borderId="1" xfId="0" applyFont="1" applyBorder="1" applyAlignment="1">
      <alignment horizontal="center"/>
    </xf>
    <xf numFmtId="0" fontId="6" fillId="6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0" borderId="1" xfId="0" applyFont="1" applyBorder="1"/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" fillId="0" borderId="0" xfId="0" applyFont="1" applyAlignment="1">
      <alignment horizontal="right" indent="1"/>
    </xf>
    <xf numFmtId="0" fontId="1" fillId="7" borderId="0" xfId="0" applyFont="1" applyFill="1" applyAlignment="1">
      <alignment horizontal="center"/>
    </xf>
    <xf numFmtId="0" fontId="7" fillId="4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right" vertical="center"/>
    </xf>
    <xf numFmtId="0" fontId="2" fillId="0" borderId="1" xfId="1" applyFont="1" applyBorder="1" applyAlignment="1">
      <alignment horizontal="right" indent="1"/>
    </xf>
    <xf numFmtId="0" fontId="10" fillId="0" borderId="1" xfId="1" applyBorder="1" applyAlignment="1">
      <alignment horizontal="left" indent="1"/>
    </xf>
    <xf numFmtId="0" fontId="0" fillId="0" borderId="0" xfId="0" applyAlignment="1">
      <alignment horizontal="left" indent="1"/>
    </xf>
    <xf numFmtId="49" fontId="4" fillId="0" borderId="1" xfId="0" applyNumberFormat="1" applyFont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4" fillId="0" borderId="1" xfId="0" applyFont="1" applyBorder="1" applyProtection="1">
      <protection locked="0"/>
    </xf>
    <xf numFmtId="0" fontId="8" fillId="0" borderId="0" xfId="0" applyFont="1"/>
    <xf numFmtId="0" fontId="0" fillId="0" borderId="1" xfId="0" applyBorder="1" applyAlignment="1" applyProtection="1">
      <alignment horizontal="left" indent="1"/>
      <protection locked="0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3">
    <cellStyle name="Comma 4" xfId="2" xr:uid="{00000000-0005-0000-0000-000000000000}"/>
    <cellStyle name="Normal" xfId="0" builtinId="0"/>
    <cellStyle name="Normal 11" xfId="1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08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08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44</xdr:row>
          <xdr:rowOff>0</xdr:rowOff>
        </xdr:from>
        <xdr:to>
          <xdr:col>10</xdr:col>
          <xdr:colOff>628650</xdr:colOff>
          <xdr:row>44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704850</xdr:colOff>
          <xdr:row>44</xdr:row>
          <xdr:rowOff>0</xdr:rowOff>
        </xdr:from>
        <xdr:to>
          <xdr:col>10</xdr:col>
          <xdr:colOff>1333500</xdr:colOff>
          <xdr:row>44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1809750</xdr:colOff>
      <xdr:row>43</xdr:row>
      <xdr:rowOff>19050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P54"/>
  <sheetViews>
    <sheetView showGridLines="0" showRowColHeaders="0" tabSelected="1" showOutlineSymbols="0" topLeftCell="A43" zoomScaleNormal="100" workbookViewId="0">
      <pane ySplit="11" topLeftCell="A54" activePane="bottomLeft" state="frozen"/>
      <selection activeCell="J43" sqref="J43"/>
      <selection pane="bottomLeft" activeCell="A54" sqref="A54"/>
    </sheetView>
  </sheetViews>
  <sheetFormatPr defaultRowHeight="15" outlineLevelRow="1" outlineLevelCol="1" x14ac:dyDescent="0.25"/>
  <cols>
    <col min="1" max="1" width="2.7109375" hidden="1" customWidth="1" outlineLevel="1"/>
    <col min="2" max="2" width="16.7109375" hidden="1" customWidth="1" outlineLevel="1"/>
    <col min="3" max="3" width="26.140625" hidden="1" customWidth="1" outlineLevel="1"/>
    <col min="4" max="9" width="16.7109375" hidden="1" customWidth="1" outlineLevel="1"/>
    <col min="10" max="10" width="0.85546875" customWidth="1" collapsed="1"/>
    <col min="11" max="11" width="52.42578125" customWidth="1"/>
    <col min="12" max="12" width="13.85546875" hidden="1" customWidth="1"/>
    <col min="13" max="13" width="25.7109375" customWidth="1"/>
    <col min="14" max="14" width="50.7109375" customWidth="1"/>
    <col min="15" max="15" width="25.7109375" customWidth="1"/>
    <col min="16" max="16" width="50.7109375" customWidth="1"/>
  </cols>
  <sheetData>
    <row r="1" spans="1:16" hidden="1" outlineLevel="1" x14ac:dyDescent="0.25">
      <c r="A1" t="s">
        <v>3</v>
      </c>
    </row>
    <row r="2" spans="1:16" hidden="1" outlineLevel="1" x14ac:dyDescent="0.25">
      <c r="A2">
        <f>0</f>
        <v>0</v>
      </c>
      <c r="K2" s="6"/>
      <c r="L2" s="9"/>
      <c r="M2" s="6"/>
      <c r="N2" s="6"/>
      <c r="O2" s="6"/>
      <c r="P2" s="12"/>
    </row>
    <row r="3" spans="1:16" hidden="1" outlineLevel="1" x14ac:dyDescent="0.25">
      <c r="A3">
        <f>1</f>
        <v>1</v>
      </c>
      <c r="K3" s="8"/>
      <c r="L3" s="10"/>
      <c r="M3" s="8"/>
      <c r="N3" s="8"/>
      <c r="O3" s="8"/>
      <c r="P3" s="13"/>
    </row>
    <row r="4" spans="1:16" hidden="1" outlineLevel="1" x14ac:dyDescent="0.25">
      <c r="A4">
        <f>2</f>
        <v>2</v>
      </c>
      <c r="K4" s="8"/>
      <c r="L4" s="10"/>
      <c r="M4" s="8"/>
      <c r="N4" s="8"/>
      <c r="O4" s="8"/>
      <c r="P4" s="13"/>
    </row>
    <row r="5" spans="1:16" hidden="1" outlineLevel="1" x14ac:dyDescent="0.25">
      <c r="A5">
        <f>3</f>
        <v>3</v>
      </c>
      <c r="K5" s="8"/>
      <c r="L5" s="10"/>
      <c r="M5" s="8"/>
      <c r="N5" s="8"/>
      <c r="O5" s="8"/>
      <c r="P5" s="13"/>
    </row>
    <row r="6" spans="1:16" hidden="1" outlineLevel="1" x14ac:dyDescent="0.25">
      <c r="A6" t="s">
        <v>1</v>
      </c>
      <c r="K6" s="8"/>
      <c r="L6" s="10"/>
      <c r="M6" s="8"/>
      <c r="N6" s="8"/>
      <c r="O6" s="8"/>
      <c r="P6" s="13"/>
    </row>
    <row r="7" spans="1:16" hidden="1" outlineLevel="1" x14ac:dyDescent="0.25">
      <c r="A7" t="s">
        <v>2</v>
      </c>
      <c r="K7" s="11"/>
      <c r="L7" s="7"/>
      <c r="M7" s="25"/>
      <c r="N7" s="23"/>
      <c r="O7" s="25"/>
      <c r="P7" s="24"/>
    </row>
    <row r="8" spans="1:16" hidden="1" outlineLevel="1" x14ac:dyDescent="0.25">
      <c r="A8" t="s">
        <v>4</v>
      </c>
    </row>
    <row r="9" spans="1:16" hidden="1" outlineLevel="1" x14ac:dyDescent="0.25"/>
    <row r="10" spans="1:16" hidden="1" outlineLevel="1" x14ac:dyDescent="0.25">
      <c r="B10" s="28" t="s">
        <v>5</v>
      </c>
      <c r="C10" s="28"/>
    </row>
    <row r="11" spans="1:16" hidden="1" outlineLevel="1" x14ac:dyDescent="0.25">
      <c r="B11" s="1" t="s">
        <v>6</v>
      </c>
      <c r="C11" s="1" t="s">
        <v>454</v>
      </c>
    </row>
    <row r="12" spans="1:16" hidden="1" outlineLevel="1" x14ac:dyDescent="0.25">
      <c r="B12" s="1" t="s">
        <v>7</v>
      </c>
      <c r="C12" s="1" t="str">
        <f ca="1">_xll.TM1USER(db_name)</f>
        <v/>
      </c>
    </row>
    <row r="13" spans="1:16" hidden="1" outlineLevel="1" x14ac:dyDescent="0.25"/>
    <row r="14" spans="1:16" hidden="1" outlineLevel="1" x14ac:dyDescent="0.25">
      <c r="B14" s="28" t="s">
        <v>21</v>
      </c>
      <c r="C14" s="28"/>
    </row>
    <row r="15" spans="1:16" hidden="1" outlineLevel="1" x14ac:dyDescent="0.25">
      <c r="B15" s="1" t="s">
        <v>9</v>
      </c>
      <c r="C15" s="1" t="str">
        <f ca="1">_xll.TM1RPTVIEW(db_name&amp;":ME mapping:1", 1, _xll.TM1RPTTITLE(db_name&amp;":project",$C$18), _xll.TM1RPTTITLE(db_name&amp;":gl code",$C$19),TM1RPTFMTRNG,TM1RPTFMTIDCOL)</f>
        <v>dcceew_geus:ME mapping:1</v>
      </c>
    </row>
    <row r="16" spans="1:16" hidden="1" outlineLevel="1" x14ac:dyDescent="0.25">
      <c r="B16" s="1" t="s">
        <v>22</v>
      </c>
      <c r="C16" s="1" t="str">
        <f ca="1">_xll.VIEW(db_name&amp;":ME Mapping","!",$C$18,$C$19,"!")</f>
        <v>dcceew_geus:ME Mapping</v>
      </c>
    </row>
    <row r="17" spans="2:8" hidden="1" outlineLevel="1" x14ac:dyDescent="0.25">
      <c r="B17" s="1" t="s">
        <v>23</v>
      </c>
      <c r="C17" s="1" t="str">
        <f ca="1">"{TM1SORT( {TM1FILTERBYLEVEL( {TM1DRILLDOWNMEMBER( {[cost centre].[" &amp; $M$50 &amp; "]}, ALL, RECURSIVE )}, 0)}, ASC)}"</f>
        <v>{TM1SORT( {TM1FILTERBYLEVEL( {TM1DRILLDOWNMEMBER( {[cost centre].[]}, ALL, RECURSIVE )}, 0)}, ASC)}</v>
      </c>
    </row>
    <row r="18" spans="2:8" hidden="1" outlineLevel="1" x14ac:dyDescent="0.25">
      <c r="B18" s="19" t="s">
        <v>39</v>
      </c>
      <c r="C18" s="20" t="str">
        <f ca="1">_xll.SUBNM(db_name&amp;":project","","default")</f>
        <v/>
      </c>
    </row>
    <row r="19" spans="2:8" hidden="1" outlineLevel="1" x14ac:dyDescent="0.25">
      <c r="B19" s="19" t="s">
        <v>40</v>
      </c>
      <c r="C19" s="20" t="str">
        <f ca="1">_xll.SUBNM(db_name&amp;":gl code","","default")</f>
        <v/>
      </c>
    </row>
    <row r="20" spans="2:8" hidden="1" outlineLevel="1" x14ac:dyDescent="0.25"/>
    <row r="21" spans="2:8" hidden="1" outlineLevel="1" x14ac:dyDescent="0.25">
      <c r="B21" s="28" t="s">
        <v>27</v>
      </c>
      <c r="C21" s="28"/>
    </row>
    <row r="22" spans="2:8" hidden="1" outlineLevel="1" x14ac:dyDescent="0.25">
      <c r="B22" s="1" t="s">
        <v>28</v>
      </c>
      <c r="C22" s="1" t="str">
        <f ca="1">_xll.VIEW(db_name&amp;":}ElementAttributes_account","!","!")</f>
        <v>dcceew_geus:}ElementAttributes_account</v>
      </c>
    </row>
    <row r="23" spans="2:8" hidden="1" outlineLevel="1" x14ac:dyDescent="0.25"/>
    <row r="24" spans="2:8" hidden="1" outlineLevel="1" x14ac:dyDescent="0.25">
      <c r="B24" s="28" t="s">
        <v>35</v>
      </c>
      <c r="C24" s="28"/>
    </row>
    <row r="25" spans="2:8" hidden="1" outlineLevel="1" x14ac:dyDescent="0.25">
      <c r="B25" s="1" t="s">
        <v>28</v>
      </c>
      <c r="C25" s="1" t="str">
        <f ca="1">_xll.VIEW(db_name&amp;":}ElementAttributes_program","!","!")</f>
        <v>dcceew_geus:}ElementAttributes_program</v>
      </c>
    </row>
    <row r="26" spans="2:8" hidden="1" outlineLevel="1" x14ac:dyDescent="0.25"/>
    <row r="27" spans="2:8" hidden="1" outlineLevel="1" x14ac:dyDescent="0.25"/>
    <row r="28" spans="2:8" hidden="1" outlineLevel="1" x14ac:dyDescent="0.25"/>
    <row r="29" spans="2:8" hidden="1" outlineLevel="1" x14ac:dyDescent="0.25">
      <c r="B29" s="28" t="s">
        <v>8</v>
      </c>
      <c r="C29" s="28"/>
    </row>
    <row r="30" spans="2:8" hidden="1" outlineLevel="1" x14ac:dyDescent="0.25">
      <c r="B30" s="2" t="s">
        <v>9</v>
      </c>
      <c r="C30" s="2" t="str">
        <f ca="1">_xll.VIEW(db_name&amp;":sys_application","!","!")</f>
        <v>dcceew_geus:sys_application</v>
      </c>
    </row>
    <row r="31" spans="2:8" hidden="1" outlineLevel="1" x14ac:dyDescent="0.25">
      <c r="B31" s="1"/>
      <c r="C31" s="3" t="s">
        <v>10</v>
      </c>
      <c r="D31" s="3" t="s">
        <v>11</v>
      </c>
      <c r="E31" s="3" t="s">
        <v>12</v>
      </c>
      <c r="F31" s="3" t="s">
        <v>13</v>
      </c>
      <c r="G31" s="3" t="s">
        <v>14</v>
      </c>
      <c r="H31" s="3" t="s">
        <v>15</v>
      </c>
    </row>
    <row r="32" spans="2:8" hidden="1" outlineLevel="1" x14ac:dyDescent="0.25">
      <c r="B32" s="1" t="s">
        <v>16</v>
      </c>
      <c r="C32" s="1" t="str">
        <f ca="1">_xll.DBR($C$30,$B32,C$31)</f>
        <v>*KEY_ERR</v>
      </c>
      <c r="D32" s="1" t="str">
        <f ca="1">_xll.DBR($C$30,$B32,D$31)</f>
        <v>*KEY_ERR</v>
      </c>
      <c r="E32" s="1" t="str">
        <f ca="1">_xll.DBR($C$30,$B32,E$31)</f>
        <v>*KEY_ERR</v>
      </c>
      <c r="F32" s="1" t="str">
        <f ca="1">_xll.DBR($C$30,$B32,F$31)</f>
        <v>*KEY_ERR</v>
      </c>
      <c r="G32" s="1" t="str">
        <f ca="1">_xll.DBR($C$30,$B32,G$31)</f>
        <v>*KEY_ERR</v>
      </c>
      <c r="H32" s="1" t="str">
        <f ca="1">_xll.DBR($C$30,$B32,H$31)</f>
        <v>*KEY_ERR</v>
      </c>
    </row>
    <row r="33" spans="2:16" hidden="1" outlineLevel="1" x14ac:dyDescent="0.25">
      <c r="B33" s="1" t="s">
        <v>17</v>
      </c>
      <c r="C33" s="1" t="str">
        <f ca="1">_xll.DBR($C$30,$B33,C$31)</f>
        <v>*KEY_ERR</v>
      </c>
      <c r="D33" s="1" t="str">
        <f ca="1">_xll.DBR($C$30,$B33,D$31)</f>
        <v>*KEY_ERR</v>
      </c>
      <c r="E33" s="1" t="str">
        <f ca="1">_xll.DBR($C$30,$B33,E$31)</f>
        <v>*KEY_ERR</v>
      </c>
      <c r="F33" s="1" t="str">
        <f ca="1">_xll.DBR($C$30,$B33,F$31)</f>
        <v>*KEY_ERR</v>
      </c>
      <c r="G33" s="1" t="str">
        <f ca="1">_xll.DBR($C$30,$B33,G$31)</f>
        <v>*KEY_ERR</v>
      </c>
      <c r="H33" s="1" t="str">
        <f ca="1">_xll.DBR($C$30,$B33,H$31)</f>
        <v>*KEY_ERR</v>
      </c>
    </row>
    <row r="34" spans="2:16" hidden="1" outlineLevel="1" x14ac:dyDescent="0.25">
      <c r="B34" s="1" t="s">
        <v>18</v>
      </c>
      <c r="C34" s="1" t="str">
        <f ca="1">_xll.DBR($C$30,$B34,C$31)</f>
        <v>*KEY_ERR</v>
      </c>
      <c r="D34" s="1" t="str">
        <f ca="1">_xll.DBR($C$30,$B34,D$31)</f>
        <v>*KEY_ERR</v>
      </c>
      <c r="E34" s="1" t="str">
        <f ca="1">_xll.DBR($C$30,$B34,E$31)</f>
        <v>*KEY_ERR</v>
      </c>
      <c r="F34" s="1" t="str">
        <f ca="1">_xll.DBR($C$30,$B34,F$31)</f>
        <v>*KEY_ERR</v>
      </c>
      <c r="G34" s="1" t="str">
        <f ca="1">_xll.DBR($C$30,$B34,G$31)</f>
        <v>*KEY_ERR</v>
      </c>
      <c r="H34" s="1" t="str">
        <f ca="1">_xll.DBR($C$30,$B34,H$31)</f>
        <v>*KEY_ERR</v>
      </c>
    </row>
    <row r="35" spans="2:16" hidden="1" outlineLevel="1" x14ac:dyDescent="0.25">
      <c r="B35" s="1" t="s">
        <v>19</v>
      </c>
      <c r="C35" s="1" t="str">
        <f ca="1">_xll.DBR($C$30,$B35,C$31)</f>
        <v>*KEY_ERR</v>
      </c>
      <c r="D35" s="1" t="str">
        <f ca="1">_xll.DBR($C$30,$B35,D$31)</f>
        <v>*KEY_ERR</v>
      </c>
      <c r="E35" s="1" t="str">
        <f ca="1">_xll.DBR($C$30,$B35,E$31)</f>
        <v>*KEY_ERR</v>
      </c>
      <c r="F35" s="1" t="str">
        <f ca="1">_xll.DBR($C$30,$B35,F$31)</f>
        <v>*KEY_ERR</v>
      </c>
      <c r="G35" s="1" t="str">
        <f ca="1">_xll.DBR($C$30,$B35,G$31)</f>
        <v>*KEY_ERR</v>
      </c>
      <c r="H35" s="1" t="str">
        <f ca="1">_xll.DBR($C$30,$B35,H$31)</f>
        <v>*KEY_ERR</v>
      </c>
    </row>
    <row r="36" spans="2:16" hidden="1" outlineLevel="1" x14ac:dyDescent="0.25">
      <c r="B36" s="1" t="s">
        <v>20</v>
      </c>
      <c r="C36" s="1" t="str">
        <f ca="1">_xll.DBR($C$30,$B36,C$31)</f>
        <v>*KEY_ERR</v>
      </c>
      <c r="D36" s="1" t="str">
        <f ca="1">_xll.DBR($C$30,$B36,D$31)</f>
        <v>*KEY_ERR</v>
      </c>
      <c r="E36" s="1" t="str">
        <f ca="1">_xll.DBR($C$30,$B36,E$31)</f>
        <v>*KEY_ERR</v>
      </c>
      <c r="F36" s="1" t="str">
        <f ca="1">_xll.DBR($C$30,$B36,F$31)</f>
        <v>*KEY_ERR</v>
      </c>
      <c r="G36" s="1" t="str">
        <f ca="1">_xll.DBR($C$30,$B36,G$31)</f>
        <v>*KEY_ERR</v>
      </c>
      <c r="H36" s="1" t="str">
        <f ca="1">_xll.DBR($C$30,$B36,H$31)</f>
        <v>*KEY_ERR</v>
      </c>
    </row>
    <row r="37" spans="2:16" hidden="1" outlineLevel="1" x14ac:dyDescent="0.25"/>
    <row r="38" spans="2:16" hidden="1" outlineLevel="1" x14ac:dyDescent="0.25">
      <c r="K38" t="s">
        <v>24</v>
      </c>
      <c r="L38" s="5" t="s">
        <v>0</v>
      </c>
      <c r="M38" s="5" t="s">
        <v>36</v>
      </c>
      <c r="N38" s="5" t="s">
        <v>29</v>
      </c>
      <c r="O38" s="5" t="s">
        <v>42</v>
      </c>
      <c r="P38" s="5" t="s">
        <v>29</v>
      </c>
    </row>
    <row r="39" spans="2:16" hidden="1" outlineLevel="1" x14ac:dyDescent="0.25"/>
    <row r="40" spans="2:16" hidden="1" outlineLevel="1" x14ac:dyDescent="0.25"/>
    <row r="41" spans="2:16" hidden="1" outlineLevel="1" x14ac:dyDescent="0.25"/>
    <row r="42" spans="2:16" hidden="1" outlineLevel="1" x14ac:dyDescent="0.25"/>
    <row r="43" spans="2:16" ht="34.5" customHeight="1" collapsed="1" x14ac:dyDescent="0.25">
      <c r="J43" s="4"/>
      <c r="K43" s="4"/>
      <c r="L43" s="4"/>
      <c r="M43" s="4"/>
      <c r="N43" s="4"/>
      <c r="O43" s="4"/>
      <c r="P43" s="18" t="s">
        <v>37</v>
      </c>
    </row>
    <row r="44" spans="2:16" ht="4.5" customHeight="1" x14ac:dyDescent="0.25"/>
    <row r="45" spans="2:16" ht="24" customHeight="1" x14ac:dyDescent="0.25"/>
    <row r="46" spans="2:16" ht="1.5" customHeight="1" x14ac:dyDescent="0.25">
      <c r="J46" s="16"/>
      <c r="K46" s="16"/>
      <c r="L46" s="16"/>
      <c r="M46" s="16"/>
      <c r="N46" s="16"/>
      <c r="O46" s="16"/>
      <c r="P46" s="16"/>
    </row>
    <row r="47" spans="2:16" x14ac:dyDescent="0.25">
      <c r="K47" s="26" t="s">
        <v>38</v>
      </c>
      <c r="L47" s="26"/>
      <c r="M47" s="26"/>
      <c r="N47" s="26"/>
      <c r="O47" s="26"/>
      <c r="P47" s="26"/>
    </row>
    <row r="48" spans="2:16" ht="5.0999999999999996" customHeight="1" x14ac:dyDescent="0.25"/>
    <row r="49" spans="1:16" x14ac:dyDescent="0.25">
      <c r="M49" s="15" t="s">
        <v>30</v>
      </c>
    </row>
    <row r="50" spans="1:16" x14ac:dyDescent="0.25">
      <c r="K50" s="14" t="s">
        <v>31</v>
      </c>
      <c r="M50" s="27" t="str">
        <f ca="1">_xll.SUBNM(db_name&amp;":cost centre","","Total Outcomes")</f>
        <v/>
      </c>
      <c r="N50" s="21"/>
      <c r="O50" s="21"/>
    </row>
    <row r="51" spans="1:16" ht="5.0999999999999996" customHeight="1" x14ac:dyDescent="0.25"/>
    <row r="52" spans="1:16" x14ac:dyDescent="0.25">
      <c r="M52" s="29" t="s">
        <v>26</v>
      </c>
      <c r="N52" s="29"/>
      <c r="O52" s="29"/>
      <c r="P52" s="29"/>
    </row>
    <row r="53" spans="1:16" ht="30" x14ac:dyDescent="0.25">
      <c r="K53" s="17" t="s">
        <v>32</v>
      </c>
      <c r="L53" s="17" t="s">
        <v>25</v>
      </c>
      <c r="M53" s="17" t="s">
        <v>33</v>
      </c>
      <c r="N53" s="17" t="s">
        <v>34</v>
      </c>
      <c r="O53" s="17" t="s">
        <v>41</v>
      </c>
      <c r="P53" s="17" t="s">
        <v>34</v>
      </c>
    </row>
    <row r="54" spans="1:16" x14ac:dyDescent="0.25">
      <c r="A54" t="str">
        <f ca="1">IF(_xll.TM1RPTELISCONSOLIDATED($K$54,$K54),IF(_xll.TM1RPTELLEV($K$54,$K54)&lt;=3,_xll.TM1RPTELLEV($K$54,$K54),"D"),"N")</f>
        <v>N</v>
      </c>
      <c r="B54">
        <f ca="1">_xll.DIMIX(db_name&amp;":programme",M54)</f>
        <v>0</v>
      </c>
      <c r="C54" t="str">
        <f ca="1">IF($M54&lt;&gt;0,_xll.DBRA(db_name&amp;":programme",$M54,"description"),"")</f>
        <v/>
      </c>
      <c r="D54">
        <f ca="1">_xll.DIMIX(db_name&amp;":programme",O54)</f>
        <v>0</v>
      </c>
      <c r="E54" t="str">
        <f ca="1">IF($O54&lt;&gt;0,_xll.DBRA(db_name&amp;":programme",$O54,"description"),"")</f>
        <v/>
      </c>
      <c r="G54" t="str">
        <f ca="1">_xll.DBRW($C$15,$K54,$C$18,$C$19,M$38)</f>
        <v/>
      </c>
      <c r="K54" s="22" t="str">
        <f ca="1">_xll.TM1RPTROW($C$15,db_name&amp;":cost centre","","","code and description",0,$C$17)</f>
        <v/>
      </c>
      <c r="L54" s="7" t="str">
        <f ca="1">_xll.DBRW($C$15,$K54,L$38)</f>
        <v/>
      </c>
      <c r="M54" s="25" t="str">
        <f ca="1">_xll.DBRW($C$16,$K54,$C$18,$C$19,M$38)</f>
        <v/>
      </c>
      <c r="N54" s="23" t="str">
        <f ca="1">$C54</f>
        <v/>
      </c>
      <c r="O54" s="25" t="str">
        <f ca="1">_xll.DBRW($C$16,$K54,$C$18,$C$19,O$38)</f>
        <v/>
      </c>
      <c r="P54" s="24" t="str">
        <f ca="1">$E54</f>
        <v/>
      </c>
    </row>
  </sheetData>
  <sheetProtection sheet="1" objects="1" scenarios="1"/>
  <mergeCells count="6">
    <mergeCell ref="B10:C10"/>
    <mergeCell ref="B29:C29"/>
    <mergeCell ref="B14:C14"/>
    <mergeCell ref="M52:P52"/>
    <mergeCell ref="B21:C21"/>
    <mergeCell ref="B24:C24"/>
  </mergeCells>
  <pageMargins left="0.70866141732283472" right="0.70866141732283472" top="0.74803149606299213" bottom="0.74803149606299213" header="0.31496062992125984" footer="0.31496062992125984"/>
  <pageSetup paperSize="9" scale="41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3">
          <controlPr defaultSize="0" print="0" autoLine="0" autoPict="0" r:id="rId5">
            <anchor moveWithCells="1" sizeWithCells="1">
              <from>
                <xdr:col>10</xdr:col>
                <xdr:colOff>704850</xdr:colOff>
                <xdr:row>44</xdr:row>
                <xdr:rowOff>0</xdr:rowOff>
              </from>
              <to>
                <xdr:col>10</xdr:col>
                <xdr:colOff>1333500</xdr:colOff>
                <xdr:row>44</xdr:row>
                <xdr:rowOff>247650</xdr:rowOff>
              </to>
            </anchor>
          </controlPr>
        </control>
      </mc:Choice>
      <mc:Fallback>
        <control shapeId="1027" r:id="rId4" name="TIButton3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autoPict="0" r:id="rId7">
            <anchor moveWithCells="1" sizeWithCells="1">
              <from>
                <xdr:col>10</xdr:col>
                <xdr:colOff>0</xdr:colOff>
                <xdr:row>44</xdr:row>
                <xdr:rowOff>0</xdr:rowOff>
              </from>
              <to>
                <xdr:col>10</xdr:col>
                <xdr:colOff>628650</xdr:colOff>
                <xdr:row>44</xdr:row>
                <xdr:rowOff>247650</xdr:rowOff>
              </to>
            </anchor>
          </controlPr>
        </control>
      </mc:Choice>
      <mc:Fallback>
        <control shapeId="1025" r:id="rId6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411"/>
  <sheetViews>
    <sheetView workbookViewId="0"/>
  </sheetViews>
  <sheetFormatPr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57</v>
      </c>
    </row>
    <row r="16" spans="1:1" x14ac:dyDescent="0.25">
      <c r="A16" t="s">
        <v>58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61</v>
      </c>
    </row>
    <row r="20" spans="1:1" x14ac:dyDescent="0.25">
      <c r="A20" t="s">
        <v>62</v>
      </c>
    </row>
    <row r="21" spans="1:1" x14ac:dyDescent="0.25">
      <c r="A21" t="s">
        <v>63</v>
      </c>
    </row>
    <row r="22" spans="1:1" x14ac:dyDescent="0.25">
      <c r="A22" t="s">
        <v>64</v>
      </c>
    </row>
    <row r="23" spans="1:1" x14ac:dyDescent="0.25">
      <c r="A23" t="s">
        <v>65</v>
      </c>
    </row>
    <row r="24" spans="1:1" x14ac:dyDescent="0.25">
      <c r="A24" t="s">
        <v>66</v>
      </c>
    </row>
    <row r="25" spans="1:1" x14ac:dyDescent="0.25">
      <c r="A25" t="s">
        <v>67</v>
      </c>
    </row>
    <row r="26" spans="1:1" x14ac:dyDescent="0.25">
      <c r="A26" t="s">
        <v>68</v>
      </c>
    </row>
    <row r="27" spans="1:1" x14ac:dyDescent="0.25">
      <c r="A27" t="s">
        <v>69</v>
      </c>
    </row>
    <row r="28" spans="1:1" x14ac:dyDescent="0.25">
      <c r="A28" t="s">
        <v>70</v>
      </c>
    </row>
    <row r="29" spans="1:1" x14ac:dyDescent="0.25">
      <c r="A29" t="s">
        <v>71</v>
      </c>
    </row>
    <row r="30" spans="1:1" x14ac:dyDescent="0.25">
      <c r="A30" t="s">
        <v>72</v>
      </c>
    </row>
    <row r="31" spans="1:1" x14ac:dyDescent="0.25">
      <c r="A31" t="s">
        <v>73</v>
      </c>
    </row>
    <row r="32" spans="1:1" x14ac:dyDescent="0.25">
      <c r="A32" t="s">
        <v>74</v>
      </c>
    </row>
    <row r="33" spans="1:1" x14ac:dyDescent="0.25">
      <c r="A33" t="s">
        <v>75</v>
      </c>
    </row>
    <row r="34" spans="1:1" x14ac:dyDescent="0.25">
      <c r="A34" t="s">
        <v>76</v>
      </c>
    </row>
    <row r="35" spans="1:1" x14ac:dyDescent="0.25">
      <c r="A35" t="s">
        <v>77</v>
      </c>
    </row>
    <row r="36" spans="1:1" x14ac:dyDescent="0.25">
      <c r="A36" t="s">
        <v>78</v>
      </c>
    </row>
    <row r="37" spans="1:1" x14ac:dyDescent="0.25">
      <c r="A37" t="s">
        <v>79</v>
      </c>
    </row>
    <row r="38" spans="1:1" x14ac:dyDescent="0.25">
      <c r="A38" t="s">
        <v>80</v>
      </c>
    </row>
    <row r="39" spans="1:1" x14ac:dyDescent="0.25">
      <c r="A39" t="s">
        <v>81</v>
      </c>
    </row>
    <row r="40" spans="1:1" x14ac:dyDescent="0.25">
      <c r="A40" t="s">
        <v>82</v>
      </c>
    </row>
    <row r="41" spans="1:1" x14ac:dyDescent="0.25">
      <c r="A41" t="s">
        <v>83</v>
      </c>
    </row>
    <row r="42" spans="1:1" x14ac:dyDescent="0.25">
      <c r="A42" t="s">
        <v>84</v>
      </c>
    </row>
    <row r="43" spans="1:1" x14ac:dyDescent="0.25">
      <c r="A43" t="s">
        <v>85</v>
      </c>
    </row>
    <row r="44" spans="1:1" x14ac:dyDescent="0.25">
      <c r="A44" t="s">
        <v>86</v>
      </c>
    </row>
    <row r="45" spans="1:1" x14ac:dyDescent="0.25">
      <c r="A45" t="s">
        <v>87</v>
      </c>
    </row>
    <row r="46" spans="1:1" x14ac:dyDescent="0.25">
      <c r="A46" t="s">
        <v>88</v>
      </c>
    </row>
    <row r="47" spans="1:1" x14ac:dyDescent="0.25">
      <c r="A47" t="s">
        <v>89</v>
      </c>
    </row>
    <row r="48" spans="1:1" x14ac:dyDescent="0.25">
      <c r="A48" t="s">
        <v>90</v>
      </c>
    </row>
    <row r="49" spans="1:1" x14ac:dyDescent="0.25">
      <c r="A49" t="s">
        <v>91</v>
      </c>
    </row>
    <row r="50" spans="1:1" x14ac:dyDescent="0.25">
      <c r="A50" t="s">
        <v>92</v>
      </c>
    </row>
    <row r="51" spans="1:1" x14ac:dyDescent="0.25">
      <c r="A51" t="s">
        <v>93</v>
      </c>
    </row>
    <row r="52" spans="1:1" x14ac:dyDescent="0.25">
      <c r="A52" t="s">
        <v>94</v>
      </c>
    </row>
    <row r="53" spans="1:1" x14ac:dyDescent="0.25">
      <c r="A53" t="s">
        <v>95</v>
      </c>
    </row>
    <row r="54" spans="1:1" x14ac:dyDescent="0.25">
      <c r="A54" t="s">
        <v>96</v>
      </c>
    </row>
    <row r="55" spans="1:1" x14ac:dyDescent="0.25">
      <c r="A55" t="s">
        <v>97</v>
      </c>
    </row>
    <row r="56" spans="1:1" x14ac:dyDescent="0.25">
      <c r="A56" t="s">
        <v>98</v>
      </c>
    </row>
    <row r="57" spans="1:1" x14ac:dyDescent="0.25">
      <c r="A57" t="s">
        <v>99</v>
      </c>
    </row>
    <row r="58" spans="1:1" x14ac:dyDescent="0.25">
      <c r="A58" t="s">
        <v>100</v>
      </c>
    </row>
    <row r="59" spans="1:1" x14ac:dyDescent="0.25">
      <c r="A59" t="s">
        <v>101</v>
      </c>
    </row>
    <row r="60" spans="1:1" x14ac:dyDescent="0.25">
      <c r="A60" t="s">
        <v>102</v>
      </c>
    </row>
    <row r="61" spans="1:1" x14ac:dyDescent="0.25">
      <c r="A61" t="s">
        <v>103</v>
      </c>
    </row>
    <row r="62" spans="1:1" x14ac:dyDescent="0.25">
      <c r="A62" t="s">
        <v>104</v>
      </c>
    </row>
    <row r="63" spans="1:1" x14ac:dyDescent="0.25">
      <c r="A63" t="s">
        <v>105</v>
      </c>
    </row>
    <row r="64" spans="1:1" x14ac:dyDescent="0.25">
      <c r="A64" t="s">
        <v>106</v>
      </c>
    </row>
    <row r="65" spans="1:1" x14ac:dyDescent="0.25">
      <c r="A65" t="s">
        <v>107</v>
      </c>
    </row>
    <row r="66" spans="1:1" x14ac:dyDescent="0.25">
      <c r="A66" t="s">
        <v>108</v>
      </c>
    </row>
    <row r="67" spans="1:1" x14ac:dyDescent="0.25">
      <c r="A67" t="s">
        <v>109</v>
      </c>
    </row>
    <row r="68" spans="1:1" x14ac:dyDescent="0.25">
      <c r="A68" t="s">
        <v>110</v>
      </c>
    </row>
    <row r="69" spans="1:1" x14ac:dyDescent="0.25">
      <c r="A69" t="s">
        <v>111</v>
      </c>
    </row>
    <row r="70" spans="1:1" x14ac:dyDescent="0.25">
      <c r="A70" t="s">
        <v>112</v>
      </c>
    </row>
    <row r="71" spans="1:1" x14ac:dyDescent="0.25">
      <c r="A71" t="s">
        <v>113</v>
      </c>
    </row>
    <row r="72" spans="1:1" x14ac:dyDescent="0.25">
      <c r="A72" t="s">
        <v>114</v>
      </c>
    </row>
    <row r="73" spans="1:1" x14ac:dyDescent="0.25">
      <c r="A73" t="s">
        <v>115</v>
      </c>
    </row>
    <row r="74" spans="1:1" x14ac:dyDescent="0.25">
      <c r="A74" t="s">
        <v>116</v>
      </c>
    </row>
    <row r="75" spans="1:1" x14ac:dyDescent="0.25">
      <c r="A75" t="s">
        <v>117</v>
      </c>
    </row>
    <row r="76" spans="1:1" x14ac:dyDescent="0.25">
      <c r="A76" t="s">
        <v>118</v>
      </c>
    </row>
    <row r="77" spans="1:1" x14ac:dyDescent="0.25">
      <c r="A77" t="s">
        <v>119</v>
      </c>
    </row>
    <row r="78" spans="1:1" x14ac:dyDescent="0.25">
      <c r="A78" t="s">
        <v>120</v>
      </c>
    </row>
    <row r="79" spans="1:1" x14ac:dyDescent="0.25">
      <c r="A79" t="s">
        <v>121</v>
      </c>
    </row>
    <row r="80" spans="1:1" x14ac:dyDescent="0.25">
      <c r="A80" t="s">
        <v>122</v>
      </c>
    </row>
    <row r="81" spans="1:1" x14ac:dyDescent="0.25">
      <c r="A81" t="s">
        <v>123</v>
      </c>
    </row>
    <row r="82" spans="1:1" x14ac:dyDescent="0.25">
      <c r="A82" t="s">
        <v>124</v>
      </c>
    </row>
    <row r="83" spans="1:1" x14ac:dyDescent="0.25">
      <c r="A83" t="s">
        <v>125</v>
      </c>
    </row>
    <row r="84" spans="1:1" x14ac:dyDescent="0.25">
      <c r="A84" t="s">
        <v>126</v>
      </c>
    </row>
    <row r="85" spans="1:1" x14ac:dyDescent="0.25">
      <c r="A85" t="s">
        <v>127</v>
      </c>
    </row>
    <row r="86" spans="1:1" x14ac:dyDescent="0.25">
      <c r="A86" t="s">
        <v>128</v>
      </c>
    </row>
    <row r="87" spans="1:1" x14ac:dyDescent="0.25">
      <c r="A87" t="s">
        <v>129</v>
      </c>
    </row>
    <row r="88" spans="1:1" x14ac:dyDescent="0.25">
      <c r="A88" t="s">
        <v>130</v>
      </c>
    </row>
    <row r="89" spans="1:1" x14ac:dyDescent="0.25">
      <c r="A89" t="s">
        <v>131</v>
      </c>
    </row>
    <row r="90" spans="1:1" x14ac:dyDescent="0.25">
      <c r="A90" t="s">
        <v>132</v>
      </c>
    </row>
    <row r="91" spans="1:1" x14ac:dyDescent="0.25">
      <c r="A91" t="s">
        <v>133</v>
      </c>
    </row>
    <row r="92" spans="1:1" x14ac:dyDescent="0.25">
      <c r="A92" t="s">
        <v>134</v>
      </c>
    </row>
    <row r="93" spans="1:1" x14ac:dyDescent="0.25">
      <c r="A93" t="s">
        <v>135</v>
      </c>
    </row>
    <row r="94" spans="1:1" x14ac:dyDescent="0.25">
      <c r="A94" t="s">
        <v>136</v>
      </c>
    </row>
    <row r="95" spans="1:1" x14ac:dyDescent="0.25">
      <c r="A95" t="s">
        <v>137</v>
      </c>
    </row>
    <row r="96" spans="1:1" x14ac:dyDescent="0.25">
      <c r="A96" t="s">
        <v>138</v>
      </c>
    </row>
    <row r="97" spans="1:1" x14ac:dyDescent="0.25">
      <c r="A97" t="s">
        <v>139</v>
      </c>
    </row>
    <row r="98" spans="1:1" x14ac:dyDescent="0.25">
      <c r="A98" t="s">
        <v>140</v>
      </c>
    </row>
    <row r="99" spans="1:1" x14ac:dyDescent="0.25">
      <c r="A99" t="s">
        <v>141</v>
      </c>
    </row>
    <row r="100" spans="1:1" x14ac:dyDescent="0.25">
      <c r="A100" t="s">
        <v>142</v>
      </c>
    </row>
    <row r="101" spans="1:1" x14ac:dyDescent="0.25">
      <c r="A101" t="s">
        <v>143</v>
      </c>
    </row>
    <row r="102" spans="1:1" x14ac:dyDescent="0.25">
      <c r="A102" t="s">
        <v>144</v>
      </c>
    </row>
    <row r="103" spans="1:1" x14ac:dyDescent="0.25">
      <c r="A103" t="s">
        <v>145</v>
      </c>
    </row>
    <row r="104" spans="1:1" x14ac:dyDescent="0.25">
      <c r="A104" t="s">
        <v>146</v>
      </c>
    </row>
    <row r="105" spans="1:1" x14ac:dyDescent="0.25">
      <c r="A105" t="s">
        <v>147</v>
      </c>
    </row>
    <row r="106" spans="1:1" x14ac:dyDescent="0.25">
      <c r="A106" t="s">
        <v>148</v>
      </c>
    </row>
    <row r="107" spans="1:1" x14ac:dyDescent="0.25">
      <c r="A107" t="s">
        <v>149</v>
      </c>
    </row>
    <row r="108" spans="1:1" x14ac:dyDescent="0.25">
      <c r="A108" t="s">
        <v>150</v>
      </c>
    </row>
    <row r="109" spans="1:1" x14ac:dyDescent="0.25">
      <c r="A109" t="s">
        <v>151</v>
      </c>
    </row>
    <row r="110" spans="1:1" x14ac:dyDescent="0.25">
      <c r="A110" t="s">
        <v>152</v>
      </c>
    </row>
    <row r="111" spans="1:1" x14ac:dyDescent="0.25">
      <c r="A111" t="s">
        <v>153</v>
      </c>
    </row>
    <row r="112" spans="1:1" x14ac:dyDescent="0.25">
      <c r="A112" t="s">
        <v>154</v>
      </c>
    </row>
    <row r="113" spans="1:1" x14ac:dyDescent="0.25">
      <c r="A113" t="s">
        <v>155</v>
      </c>
    </row>
    <row r="114" spans="1:1" x14ac:dyDescent="0.25">
      <c r="A114" t="s">
        <v>156</v>
      </c>
    </row>
    <row r="115" spans="1:1" x14ac:dyDescent="0.25">
      <c r="A115" t="s">
        <v>157</v>
      </c>
    </row>
    <row r="116" spans="1:1" x14ac:dyDescent="0.25">
      <c r="A116" t="s">
        <v>158</v>
      </c>
    </row>
    <row r="117" spans="1:1" x14ac:dyDescent="0.25">
      <c r="A117" t="s">
        <v>159</v>
      </c>
    </row>
    <row r="118" spans="1:1" x14ac:dyDescent="0.25">
      <c r="A118" t="s">
        <v>160</v>
      </c>
    </row>
    <row r="119" spans="1:1" x14ac:dyDescent="0.25">
      <c r="A119" t="s">
        <v>161</v>
      </c>
    </row>
    <row r="120" spans="1:1" x14ac:dyDescent="0.25">
      <c r="A120" t="s">
        <v>162</v>
      </c>
    </row>
    <row r="121" spans="1:1" x14ac:dyDescent="0.25">
      <c r="A121" t="s">
        <v>163</v>
      </c>
    </row>
    <row r="122" spans="1:1" x14ac:dyDescent="0.25">
      <c r="A122" t="s">
        <v>164</v>
      </c>
    </row>
    <row r="123" spans="1:1" x14ac:dyDescent="0.25">
      <c r="A123" t="s">
        <v>165</v>
      </c>
    </row>
    <row r="124" spans="1:1" x14ac:dyDescent="0.25">
      <c r="A124" t="s">
        <v>166</v>
      </c>
    </row>
    <row r="125" spans="1:1" x14ac:dyDescent="0.25">
      <c r="A125" t="s">
        <v>167</v>
      </c>
    </row>
    <row r="126" spans="1:1" x14ac:dyDescent="0.25">
      <c r="A126" t="s">
        <v>168</v>
      </c>
    </row>
    <row r="127" spans="1:1" x14ac:dyDescent="0.25">
      <c r="A127" t="s">
        <v>169</v>
      </c>
    </row>
    <row r="128" spans="1:1" x14ac:dyDescent="0.25">
      <c r="A128" t="s">
        <v>170</v>
      </c>
    </row>
    <row r="129" spans="1:1" x14ac:dyDescent="0.25">
      <c r="A129" t="s">
        <v>171</v>
      </c>
    </row>
    <row r="130" spans="1:1" x14ac:dyDescent="0.25">
      <c r="A130" t="s">
        <v>172</v>
      </c>
    </row>
    <row r="131" spans="1:1" x14ac:dyDescent="0.25">
      <c r="A131" t="s">
        <v>173</v>
      </c>
    </row>
    <row r="132" spans="1:1" x14ac:dyDescent="0.25">
      <c r="A132" t="s">
        <v>174</v>
      </c>
    </row>
    <row r="133" spans="1:1" x14ac:dyDescent="0.25">
      <c r="A133" t="s">
        <v>175</v>
      </c>
    </row>
    <row r="134" spans="1:1" x14ac:dyDescent="0.25">
      <c r="A134" t="s">
        <v>176</v>
      </c>
    </row>
    <row r="135" spans="1:1" x14ac:dyDescent="0.25">
      <c r="A135" t="s">
        <v>177</v>
      </c>
    </row>
    <row r="136" spans="1:1" x14ac:dyDescent="0.25">
      <c r="A136" t="s">
        <v>178</v>
      </c>
    </row>
    <row r="137" spans="1:1" x14ac:dyDescent="0.25">
      <c r="A137" t="s">
        <v>179</v>
      </c>
    </row>
    <row r="138" spans="1:1" x14ac:dyDescent="0.25">
      <c r="A138" t="s">
        <v>180</v>
      </c>
    </row>
    <row r="139" spans="1:1" x14ac:dyDescent="0.25">
      <c r="A139" t="s">
        <v>181</v>
      </c>
    </row>
    <row r="140" spans="1:1" x14ac:dyDescent="0.25">
      <c r="A140" t="s">
        <v>182</v>
      </c>
    </row>
    <row r="141" spans="1:1" x14ac:dyDescent="0.25">
      <c r="A141" t="s">
        <v>183</v>
      </c>
    </row>
    <row r="142" spans="1:1" x14ac:dyDescent="0.25">
      <c r="A142" t="s">
        <v>184</v>
      </c>
    </row>
    <row r="143" spans="1:1" x14ac:dyDescent="0.25">
      <c r="A143" t="s">
        <v>185</v>
      </c>
    </row>
    <row r="144" spans="1:1" x14ac:dyDescent="0.25">
      <c r="A144" t="s">
        <v>186</v>
      </c>
    </row>
    <row r="145" spans="1:1" x14ac:dyDescent="0.25">
      <c r="A145" t="s">
        <v>187</v>
      </c>
    </row>
    <row r="146" spans="1:1" x14ac:dyDescent="0.25">
      <c r="A146" t="s">
        <v>188</v>
      </c>
    </row>
    <row r="147" spans="1:1" x14ac:dyDescent="0.25">
      <c r="A147" t="s">
        <v>189</v>
      </c>
    </row>
    <row r="148" spans="1:1" x14ac:dyDescent="0.25">
      <c r="A148" t="s">
        <v>190</v>
      </c>
    </row>
    <row r="149" spans="1:1" x14ac:dyDescent="0.25">
      <c r="A149" t="s">
        <v>191</v>
      </c>
    </row>
    <row r="150" spans="1:1" x14ac:dyDescent="0.25">
      <c r="A150" t="s">
        <v>192</v>
      </c>
    </row>
    <row r="151" spans="1:1" x14ac:dyDescent="0.25">
      <c r="A151" t="s">
        <v>193</v>
      </c>
    </row>
    <row r="152" spans="1:1" x14ac:dyDescent="0.25">
      <c r="A152" t="s">
        <v>194</v>
      </c>
    </row>
    <row r="153" spans="1:1" x14ac:dyDescent="0.25">
      <c r="A153" t="s">
        <v>195</v>
      </c>
    </row>
    <row r="154" spans="1:1" x14ac:dyDescent="0.25">
      <c r="A154" t="s">
        <v>196</v>
      </c>
    </row>
    <row r="155" spans="1:1" x14ac:dyDescent="0.25">
      <c r="A155" t="s">
        <v>197</v>
      </c>
    </row>
    <row r="156" spans="1:1" x14ac:dyDescent="0.25">
      <c r="A156" t="s">
        <v>198</v>
      </c>
    </row>
    <row r="157" spans="1:1" x14ac:dyDescent="0.25">
      <c r="A157" t="s">
        <v>199</v>
      </c>
    </row>
    <row r="158" spans="1:1" x14ac:dyDescent="0.25">
      <c r="A158" t="s">
        <v>200</v>
      </c>
    </row>
    <row r="159" spans="1:1" x14ac:dyDescent="0.25">
      <c r="A159" t="s">
        <v>201</v>
      </c>
    </row>
    <row r="160" spans="1:1" x14ac:dyDescent="0.25">
      <c r="A160" t="s">
        <v>202</v>
      </c>
    </row>
    <row r="161" spans="1:1" x14ac:dyDescent="0.25">
      <c r="A161" t="s">
        <v>203</v>
      </c>
    </row>
    <row r="162" spans="1:1" x14ac:dyDescent="0.25">
      <c r="A162" t="s">
        <v>204</v>
      </c>
    </row>
    <row r="163" spans="1:1" x14ac:dyDescent="0.25">
      <c r="A163" t="s">
        <v>205</v>
      </c>
    </row>
    <row r="164" spans="1:1" x14ac:dyDescent="0.25">
      <c r="A164" t="s">
        <v>206</v>
      </c>
    </row>
    <row r="165" spans="1:1" x14ac:dyDescent="0.25">
      <c r="A165" t="s">
        <v>207</v>
      </c>
    </row>
    <row r="166" spans="1:1" x14ac:dyDescent="0.25">
      <c r="A166" t="s">
        <v>208</v>
      </c>
    </row>
    <row r="167" spans="1:1" x14ac:dyDescent="0.25">
      <c r="A167" t="s">
        <v>209</v>
      </c>
    </row>
    <row r="168" spans="1:1" x14ac:dyDescent="0.25">
      <c r="A168" t="s">
        <v>210</v>
      </c>
    </row>
    <row r="169" spans="1:1" x14ac:dyDescent="0.25">
      <c r="A169" t="s">
        <v>211</v>
      </c>
    </row>
    <row r="170" spans="1:1" x14ac:dyDescent="0.25">
      <c r="A170" t="s">
        <v>212</v>
      </c>
    </row>
    <row r="171" spans="1:1" x14ac:dyDescent="0.25">
      <c r="A171" t="s">
        <v>213</v>
      </c>
    </row>
    <row r="172" spans="1:1" x14ac:dyDescent="0.25">
      <c r="A172" t="s">
        <v>214</v>
      </c>
    </row>
    <row r="173" spans="1:1" x14ac:dyDescent="0.25">
      <c r="A173" t="s">
        <v>215</v>
      </c>
    </row>
    <row r="174" spans="1:1" x14ac:dyDescent="0.25">
      <c r="A174" t="s">
        <v>216</v>
      </c>
    </row>
    <row r="175" spans="1:1" x14ac:dyDescent="0.25">
      <c r="A175" t="s">
        <v>217</v>
      </c>
    </row>
    <row r="176" spans="1:1" x14ac:dyDescent="0.25">
      <c r="A176" t="s">
        <v>218</v>
      </c>
    </row>
    <row r="177" spans="1:1" x14ac:dyDescent="0.25">
      <c r="A177" t="s">
        <v>219</v>
      </c>
    </row>
    <row r="178" spans="1:1" x14ac:dyDescent="0.25">
      <c r="A178" t="s">
        <v>220</v>
      </c>
    </row>
    <row r="179" spans="1:1" x14ac:dyDescent="0.25">
      <c r="A179" t="s">
        <v>221</v>
      </c>
    </row>
    <row r="180" spans="1:1" x14ac:dyDescent="0.25">
      <c r="A180" t="s">
        <v>222</v>
      </c>
    </row>
    <row r="181" spans="1:1" x14ac:dyDescent="0.25">
      <c r="A181" t="s">
        <v>223</v>
      </c>
    </row>
    <row r="182" spans="1:1" x14ac:dyDescent="0.25">
      <c r="A182" t="s">
        <v>224</v>
      </c>
    </row>
    <row r="183" spans="1:1" x14ac:dyDescent="0.25">
      <c r="A183" t="s">
        <v>225</v>
      </c>
    </row>
    <row r="184" spans="1:1" x14ac:dyDescent="0.25">
      <c r="A184" t="s">
        <v>226</v>
      </c>
    </row>
    <row r="185" spans="1:1" x14ac:dyDescent="0.25">
      <c r="A185" t="s">
        <v>227</v>
      </c>
    </row>
    <row r="186" spans="1:1" x14ac:dyDescent="0.25">
      <c r="A186" t="s">
        <v>228</v>
      </c>
    </row>
    <row r="187" spans="1:1" x14ac:dyDescent="0.25">
      <c r="A187" t="s">
        <v>229</v>
      </c>
    </row>
    <row r="188" spans="1:1" x14ac:dyDescent="0.25">
      <c r="A188" t="s">
        <v>230</v>
      </c>
    </row>
    <row r="189" spans="1:1" x14ac:dyDescent="0.25">
      <c r="A189" t="s">
        <v>231</v>
      </c>
    </row>
    <row r="190" spans="1:1" x14ac:dyDescent="0.25">
      <c r="A190" t="s">
        <v>232</v>
      </c>
    </row>
    <row r="191" spans="1:1" x14ac:dyDescent="0.25">
      <c r="A191" t="s">
        <v>451</v>
      </c>
    </row>
    <row r="192" spans="1:1" x14ac:dyDescent="0.25">
      <c r="A192" t="s">
        <v>452</v>
      </c>
    </row>
    <row r="193" spans="1:1" x14ac:dyDescent="0.25">
      <c r="A193" t="s">
        <v>453</v>
      </c>
    </row>
    <row r="194" spans="1:1" x14ac:dyDescent="0.25">
      <c r="A194" t="s">
        <v>233</v>
      </c>
    </row>
    <row r="195" spans="1:1" x14ac:dyDescent="0.25">
      <c r="A195" t="s">
        <v>234</v>
      </c>
    </row>
    <row r="196" spans="1:1" x14ac:dyDescent="0.25">
      <c r="A196" t="s">
        <v>235</v>
      </c>
    </row>
    <row r="197" spans="1:1" x14ac:dyDescent="0.25">
      <c r="A197" t="s">
        <v>236</v>
      </c>
    </row>
    <row r="198" spans="1:1" x14ac:dyDescent="0.25">
      <c r="A198" t="s">
        <v>237</v>
      </c>
    </row>
    <row r="199" spans="1:1" x14ac:dyDescent="0.25">
      <c r="A199" t="s">
        <v>238</v>
      </c>
    </row>
    <row r="200" spans="1:1" x14ac:dyDescent="0.25">
      <c r="A200" t="s">
        <v>239</v>
      </c>
    </row>
    <row r="201" spans="1:1" x14ac:dyDescent="0.25">
      <c r="A201" t="s">
        <v>240</v>
      </c>
    </row>
    <row r="202" spans="1:1" x14ac:dyDescent="0.25">
      <c r="A202" t="s">
        <v>241</v>
      </c>
    </row>
    <row r="203" spans="1:1" x14ac:dyDescent="0.25">
      <c r="A203" t="s">
        <v>242</v>
      </c>
    </row>
    <row r="204" spans="1:1" x14ac:dyDescent="0.25">
      <c r="A204" t="s">
        <v>243</v>
      </c>
    </row>
    <row r="205" spans="1:1" x14ac:dyDescent="0.25">
      <c r="A205" t="s">
        <v>244</v>
      </c>
    </row>
    <row r="206" spans="1:1" x14ac:dyDescent="0.25">
      <c r="A206" t="s">
        <v>245</v>
      </c>
    </row>
    <row r="207" spans="1:1" x14ac:dyDescent="0.25">
      <c r="A207" t="s">
        <v>246</v>
      </c>
    </row>
    <row r="208" spans="1:1" x14ac:dyDescent="0.25">
      <c r="A208" t="s">
        <v>247</v>
      </c>
    </row>
    <row r="209" spans="1:1" x14ac:dyDescent="0.25">
      <c r="A209" t="s">
        <v>248</v>
      </c>
    </row>
    <row r="210" spans="1:1" x14ac:dyDescent="0.25">
      <c r="A210" t="s">
        <v>249</v>
      </c>
    </row>
    <row r="211" spans="1:1" x14ac:dyDescent="0.25">
      <c r="A211" t="s">
        <v>250</v>
      </c>
    </row>
    <row r="212" spans="1:1" x14ac:dyDescent="0.25">
      <c r="A212" t="s">
        <v>251</v>
      </c>
    </row>
    <row r="213" spans="1:1" x14ac:dyDescent="0.25">
      <c r="A213" t="s">
        <v>252</v>
      </c>
    </row>
    <row r="214" spans="1:1" x14ac:dyDescent="0.25">
      <c r="A214" t="s">
        <v>253</v>
      </c>
    </row>
    <row r="215" spans="1:1" x14ac:dyDescent="0.25">
      <c r="A215" t="s">
        <v>254</v>
      </c>
    </row>
    <row r="216" spans="1:1" x14ac:dyDescent="0.25">
      <c r="A216" t="s">
        <v>255</v>
      </c>
    </row>
    <row r="217" spans="1:1" x14ac:dyDescent="0.25">
      <c r="A217" t="s">
        <v>256</v>
      </c>
    </row>
    <row r="218" spans="1:1" x14ac:dyDescent="0.25">
      <c r="A218" t="s">
        <v>257</v>
      </c>
    </row>
    <row r="219" spans="1:1" x14ac:dyDescent="0.25">
      <c r="A219" t="s">
        <v>258</v>
      </c>
    </row>
    <row r="220" spans="1:1" x14ac:dyDescent="0.25">
      <c r="A220" t="s">
        <v>259</v>
      </c>
    </row>
    <row r="221" spans="1:1" x14ac:dyDescent="0.25">
      <c r="A221" t="s">
        <v>260</v>
      </c>
    </row>
    <row r="222" spans="1:1" x14ac:dyDescent="0.25">
      <c r="A222" t="s">
        <v>261</v>
      </c>
    </row>
    <row r="223" spans="1:1" x14ac:dyDescent="0.25">
      <c r="A223" t="s">
        <v>262</v>
      </c>
    </row>
    <row r="224" spans="1:1" x14ac:dyDescent="0.25">
      <c r="A224" t="s">
        <v>263</v>
      </c>
    </row>
    <row r="225" spans="1:1" x14ac:dyDescent="0.25">
      <c r="A225" t="s">
        <v>264</v>
      </c>
    </row>
    <row r="226" spans="1:1" x14ac:dyDescent="0.25">
      <c r="A226" t="s">
        <v>265</v>
      </c>
    </row>
    <row r="227" spans="1:1" x14ac:dyDescent="0.25">
      <c r="A227" t="s">
        <v>266</v>
      </c>
    </row>
    <row r="228" spans="1:1" x14ac:dyDescent="0.25">
      <c r="A228" t="s">
        <v>267</v>
      </c>
    </row>
    <row r="229" spans="1:1" x14ac:dyDescent="0.25">
      <c r="A229" t="s">
        <v>268</v>
      </c>
    </row>
    <row r="230" spans="1:1" x14ac:dyDescent="0.25">
      <c r="A230" t="s">
        <v>269</v>
      </c>
    </row>
    <row r="231" spans="1:1" x14ac:dyDescent="0.25">
      <c r="A231" t="s">
        <v>270</v>
      </c>
    </row>
    <row r="232" spans="1:1" x14ac:dyDescent="0.25">
      <c r="A232" t="s">
        <v>271</v>
      </c>
    </row>
    <row r="233" spans="1:1" x14ac:dyDescent="0.25">
      <c r="A233" t="s">
        <v>272</v>
      </c>
    </row>
    <row r="234" spans="1:1" x14ac:dyDescent="0.25">
      <c r="A234" t="s">
        <v>273</v>
      </c>
    </row>
    <row r="235" spans="1:1" x14ac:dyDescent="0.25">
      <c r="A235" t="s">
        <v>274</v>
      </c>
    </row>
    <row r="236" spans="1:1" x14ac:dyDescent="0.25">
      <c r="A236" t="s">
        <v>275</v>
      </c>
    </row>
    <row r="237" spans="1:1" x14ac:dyDescent="0.25">
      <c r="A237" t="s">
        <v>276</v>
      </c>
    </row>
    <row r="238" spans="1:1" x14ac:dyDescent="0.25">
      <c r="A238" t="s">
        <v>277</v>
      </c>
    </row>
    <row r="239" spans="1:1" x14ac:dyDescent="0.25">
      <c r="A239" t="s">
        <v>278</v>
      </c>
    </row>
    <row r="240" spans="1:1" x14ac:dyDescent="0.25">
      <c r="A240" t="s">
        <v>279</v>
      </c>
    </row>
    <row r="241" spans="1:1" x14ac:dyDescent="0.25">
      <c r="A241" t="s">
        <v>280</v>
      </c>
    </row>
    <row r="242" spans="1:1" x14ac:dyDescent="0.25">
      <c r="A242" t="s">
        <v>281</v>
      </c>
    </row>
    <row r="243" spans="1:1" x14ac:dyDescent="0.25">
      <c r="A243" t="s">
        <v>282</v>
      </c>
    </row>
    <row r="244" spans="1:1" x14ac:dyDescent="0.25">
      <c r="A244" t="s">
        <v>283</v>
      </c>
    </row>
    <row r="245" spans="1:1" x14ac:dyDescent="0.25">
      <c r="A245" t="s">
        <v>284</v>
      </c>
    </row>
    <row r="246" spans="1:1" x14ac:dyDescent="0.25">
      <c r="A246" t="s">
        <v>285</v>
      </c>
    </row>
    <row r="247" spans="1:1" x14ac:dyDescent="0.25">
      <c r="A247" t="s">
        <v>286</v>
      </c>
    </row>
    <row r="248" spans="1:1" x14ac:dyDescent="0.25">
      <c r="A248" t="s">
        <v>287</v>
      </c>
    </row>
    <row r="249" spans="1:1" x14ac:dyDescent="0.25">
      <c r="A249" t="s">
        <v>288</v>
      </c>
    </row>
    <row r="250" spans="1:1" x14ac:dyDescent="0.25">
      <c r="A250" t="s">
        <v>289</v>
      </c>
    </row>
    <row r="251" spans="1:1" x14ac:dyDescent="0.25">
      <c r="A251" t="s">
        <v>290</v>
      </c>
    </row>
    <row r="252" spans="1:1" x14ac:dyDescent="0.25">
      <c r="A252" t="s">
        <v>291</v>
      </c>
    </row>
    <row r="253" spans="1:1" x14ac:dyDescent="0.25">
      <c r="A253" t="s">
        <v>292</v>
      </c>
    </row>
    <row r="254" spans="1:1" x14ac:dyDescent="0.25">
      <c r="A254" t="s">
        <v>293</v>
      </c>
    </row>
    <row r="255" spans="1:1" x14ac:dyDescent="0.25">
      <c r="A255" t="s">
        <v>294</v>
      </c>
    </row>
    <row r="256" spans="1:1" x14ac:dyDescent="0.25">
      <c r="A256" t="s">
        <v>295</v>
      </c>
    </row>
    <row r="257" spans="1:1" x14ac:dyDescent="0.25">
      <c r="A257" t="s">
        <v>296</v>
      </c>
    </row>
    <row r="258" spans="1:1" x14ac:dyDescent="0.25">
      <c r="A258" t="s">
        <v>297</v>
      </c>
    </row>
    <row r="259" spans="1:1" x14ac:dyDescent="0.25">
      <c r="A259" t="s">
        <v>298</v>
      </c>
    </row>
    <row r="260" spans="1:1" x14ac:dyDescent="0.25">
      <c r="A260" t="s">
        <v>299</v>
      </c>
    </row>
    <row r="261" spans="1:1" x14ac:dyDescent="0.25">
      <c r="A261" t="s">
        <v>300</v>
      </c>
    </row>
    <row r="262" spans="1:1" x14ac:dyDescent="0.25">
      <c r="A262" t="s">
        <v>301</v>
      </c>
    </row>
    <row r="263" spans="1:1" x14ac:dyDescent="0.25">
      <c r="A263" t="s">
        <v>302</v>
      </c>
    </row>
    <row r="264" spans="1:1" x14ac:dyDescent="0.25">
      <c r="A264" t="s">
        <v>303</v>
      </c>
    </row>
    <row r="265" spans="1:1" x14ac:dyDescent="0.25">
      <c r="A265" t="s">
        <v>304</v>
      </c>
    </row>
    <row r="266" spans="1:1" x14ac:dyDescent="0.25">
      <c r="A266" t="s">
        <v>305</v>
      </c>
    </row>
    <row r="267" spans="1:1" x14ac:dyDescent="0.25">
      <c r="A267" t="s">
        <v>306</v>
      </c>
    </row>
    <row r="268" spans="1:1" x14ac:dyDescent="0.25">
      <c r="A268" t="s">
        <v>307</v>
      </c>
    </row>
    <row r="269" spans="1:1" x14ac:dyDescent="0.25">
      <c r="A269" t="s">
        <v>308</v>
      </c>
    </row>
    <row r="270" spans="1:1" x14ac:dyDescent="0.25">
      <c r="A270" t="s">
        <v>309</v>
      </c>
    </row>
    <row r="271" spans="1:1" x14ac:dyDescent="0.25">
      <c r="A271" t="s">
        <v>310</v>
      </c>
    </row>
    <row r="272" spans="1:1" x14ac:dyDescent="0.25">
      <c r="A272" t="s">
        <v>311</v>
      </c>
    </row>
    <row r="273" spans="1:1" x14ac:dyDescent="0.25">
      <c r="A273" t="s">
        <v>312</v>
      </c>
    </row>
    <row r="274" spans="1:1" x14ac:dyDescent="0.25">
      <c r="A274" t="s">
        <v>313</v>
      </c>
    </row>
    <row r="275" spans="1:1" x14ac:dyDescent="0.25">
      <c r="A275" t="s">
        <v>314</v>
      </c>
    </row>
    <row r="276" spans="1:1" x14ac:dyDescent="0.25">
      <c r="A276" t="s">
        <v>315</v>
      </c>
    </row>
    <row r="277" spans="1:1" x14ac:dyDescent="0.25">
      <c r="A277" t="s">
        <v>316</v>
      </c>
    </row>
    <row r="278" spans="1:1" x14ac:dyDescent="0.25">
      <c r="A278" t="s">
        <v>317</v>
      </c>
    </row>
    <row r="279" spans="1:1" x14ac:dyDescent="0.25">
      <c r="A279" t="s">
        <v>318</v>
      </c>
    </row>
    <row r="280" spans="1:1" x14ac:dyDescent="0.25">
      <c r="A280" t="s">
        <v>319</v>
      </c>
    </row>
    <row r="281" spans="1:1" x14ac:dyDescent="0.25">
      <c r="A281" t="s">
        <v>320</v>
      </c>
    </row>
    <row r="282" spans="1:1" x14ac:dyDescent="0.25">
      <c r="A282" t="s">
        <v>321</v>
      </c>
    </row>
    <row r="283" spans="1:1" x14ac:dyDescent="0.25">
      <c r="A283" t="s">
        <v>322</v>
      </c>
    </row>
    <row r="284" spans="1:1" x14ac:dyDescent="0.25">
      <c r="A284" t="s">
        <v>323</v>
      </c>
    </row>
    <row r="285" spans="1:1" x14ac:dyDescent="0.25">
      <c r="A285" t="s">
        <v>324</v>
      </c>
    </row>
    <row r="286" spans="1:1" x14ac:dyDescent="0.25">
      <c r="A286" t="s">
        <v>325</v>
      </c>
    </row>
    <row r="287" spans="1:1" x14ac:dyDescent="0.25">
      <c r="A287" t="s">
        <v>326</v>
      </c>
    </row>
    <row r="288" spans="1:1" x14ac:dyDescent="0.25">
      <c r="A288" t="s">
        <v>327</v>
      </c>
    </row>
    <row r="289" spans="1:1" x14ac:dyDescent="0.25">
      <c r="A289" t="s">
        <v>328</v>
      </c>
    </row>
    <row r="290" spans="1:1" x14ac:dyDescent="0.25">
      <c r="A290" t="s">
        <v>329</v>
      </c>
    </row>
    <row r="291" spans="1:1" x14ac:dyDescent="0.25">
      <c r="A291" t="s">
        <v>330</v>
      </c>
    </row>
    <row r="292" spans="1:1" x14ac:dyDescent="0.25">
      <c r="A292" t="s">
        <v>331</v>
      </c>
    </row>
    <row r="293" spans="1:1" x14ac:dyDescent="0.25">
      <c r="A293" t="s">
        <v>332</v>
      </c>
    </row>
    <row r="294" spans="1:1" x14ac:dyDescent="0.25">
      <c r="A294" t="s">
        <v>333</v>
      </c>
    </row>
    <row r="295" spans="1:1" x14ac:dyDescent="0.25">
      <c r="A295" t="s">
        <v>334</v>
      </c>
    </row>
    <row r="296" spans="1:1" x14ac:dyDescent="0.25">
      <c r="A296" t="s">
        <v>335</v>
      </c>
    </row>
    <row r="297" spans="1:1" x14ac:dyDescent="0.25">
      <c r="A297" t="s">
        <v>336</v>
      </c>
    </row>
    <row r="298" spans="1:1" x14ac:dyDescent="0.25">
      <c r="A298" t="s">
        <v>337</v>
      </c>
    </row>
    <row r="299" spans="1:1" x14ac:dyDescent="0.25">
      <c r="A299" t="s">
        <v>338</v>
      </c>
    </row>
    <row r="300" spans="1:1" x14ac:dyDescent="0.25">
      <c r="A300" t="s">
        <v>339</v>
      </c>
    </row>
    <row r="301" spans="1:1" x14ac:dyDescent="0.25">
      <c r="A301" t="s">
        <v>340</v>
      </c>
    </row>
    <row r="302" spans="1:1" x14ac:dyDescent="0.25">
      <c r="A302" t="s">
        <v>341</v>
      </c>
    </row>
    <row r="303" spans="1:1" x14ac:dyDescent="0.25">
      <c r="A303" t="s">
        <v>342</v>
      </c>
    </row>
    <row r="304" spans="1:1" x14ac:dyDescent="0.25">
      <c r="A304" t="s">
        <v>343</v>
      </c>
    </row>
    <row r="305" spans="1:1" x14ac:dyDescent="0.25">
      <c r="A305" t="s">
        <v>344</v>
      </c>
    </row>
    <row r="306" spans="1:1" x14ac:dyDescent="0.25">
      <c r="A306" t="s">
        <v>345</v>
      </c>
    </row>
    <row r="307" spans="1:1" x14ac:dyDescent="0.25">
      <c r="A307" t="s">
        <v>346</v>
      </c>
    </row>
    <row r="308" spans="1:1" x14ac:dyDescent="0.25">
      <c r="A308" t="s">
        <v>347</v>
      </c>
    </row>
    <row r="309" spans="1:1" x14ac:dyDescent="0.25">
      <c r="A309" t="s">
        <v>348</v>
      </c>
    </row>
    <row r="310" spans="1:1" x14ac:dyDescent="0.25">
      <c r="A310" t="s">
        <v>349</v>
      </c>
    </row>
    <row r="311" spans="1:1" x14ac:dyDescent="0.25">
      <c r="A311" t="s">
        <v>350</v>
      </c>
    </row>
    <row r="312" spans="1:1" x14ac:dyDescent="0.25">
      <c r="A312" t="s">
        <v>351</v>
      </c>
    </row>
    <row r="313" spans="1:1" x14ac:dyDescent="0.25">
      <c r="A313" t="s">
        <v>352</v>
      </c>
    </row>
    <row r="314" spans="1:1" x14ac:dyDescent="0.25">
      <c r="A314" t="s">
        <v>353</v>
      </c>
    </row>
    <row r="315" spans="1:1" x14ac:dyDescent="0.25">
      <c r="A315" t="s">
        <v>354</v>
      </c>
    </row>
    <row r="316" spans="1:1" x14ac:dyDescent="0.25">
      <c r="A316" t="s">
        <v>355</v>
      </c>
    </row>
    <row r="317" spans="1:1" x14ac:dyDescent="0.25">
      <c r="A317" t="s">
        <v>356</v>
      </c>
    </row>
    <row r="318" spans="1:1" x14ac:dyDescent="0.25">
      <c r="A318" t="s">
        <v>357</v>
      </c>
    </row>
    <row r="319" spans="1:1" x14ac:dyDescent="0.25">
      <c r="A319" t="s">
        <v>358</v>
      </c>
    </row>
    <row r="320" spans="1:1" x14ac:dyDescent="0.25">
      <c r="A320" t="s">
        <v>359</v>
      </c>
    </row>
    <row r="321" spans="1:1" x14ac:dyDescent="0.25">
      <c r="A321" t="s">
        <v>360</v>
      </c>
    </row>
    <row r="322" spans="1:1" x14ac:dyDescent="0.25">
      <c r="A322" t="s">
        <v>361</v>
      </c>
    </row>
    <row r="323" spans="1:1" x14ac:dyDescent="0.25">
      <c r="A323" t="s">
        <v>362</v>
      </c>
    </row>
    <row r="324" spans="1:1" x14ac:dyDescent="0.25">
      <c r="A324" t="s">
        <v>363</v>
      </c>
    </row>
    <row r="325" spans="1:1" x14ac:dyDescent="0.25">
      <c r="A325" t="s">
        <v>364</v>
      </c>
    </row>
    <row r="326" spans="1:1" x14ac:dyDescent="0.25">
      <c r="A326" t="s">
        <v>365</v>
      </c>
    </row>
    <row r="327" spans="1:1" x14ac:dyDescent="0.25">
      <c r="A327" t="s">
        <v>366</v>
      </c>
    </row>
    <row r="328" spans="1:1" x14ac:dyDescent="0.25">
      <c r="A328" t="s">
        <v>367</v>
      </c>
    </row>
    <row r="329" spans="1:1" x14ac:dyDescent="0.25">
      <c r="A329" t="s">
        <v>368</v>
      </c>
    </row>
    <row r="330" spans="1:1" x14ac:dyDescent="0.25">
      <c r="A330" t="s">
        <v>369</v>
      </c>
    </row>
    <row r="331" spans="1:1" x14ac:dyDescent="0.25">
      <c r="A331" t="s">
        <v>370</v>
      </c>
    </row>
    <row r="332" spans="1:1" x14ac:dyDescent="0.25">
      <c r="A332" t="s">
        <v>371</v>
      </c>
    </row>
    <row r="333" spans="1:1" x14ac:dyDescent="0.25">
      <c r="A333" t="s">
        <v>372</v>
      </c>
    </row>
    <row r="334" spans="1:1" x14ac:dyDescent="0.25">
      <c r="A334" t="s">
        <v>373</v>
      </c>
    </row>
    <row r="335" spans="1:1" x14ac:dyDescent="0.25">
      <c r="A335" t="s">
        <v>374</v>
      </c>
    </row>
    <row r="336" spans="1:1" x14ac:dyDescent="0.25">
      <c r="A336" t="s">
        <v>375</v>
      </c>
    </row>
    <row r="337" spans="1:1" x14ac:dyDescent="0.25">
      <c r="A337" t="s">
        <v>376</v>
      </c>
    </row>
    <row r="338" spans="1:1" x14ac:dyDescent="0.25">
      <c r="A338" t="s">
        <v>377</v>
      </c>
    </row>
    <row r="339" spans="1:1" x14ac:dyDescent="0.25">
      <c r="A339" t="s">
        <v>378</v>
      </c>
    </row>
    <row r="340" spans="1:1" x14ac:dyDescent="0.25">
      <c r="A340" t="s">
        <v>379</v>
      </c>
    </row>
    <row r="341" spans="1:1" x14ac:dyDescent="0.25">
      <c r="A341" t="s">
        <v>380</v>
      </c>
    </row>
    <row r="342" spans="1:1" x14ac:dyDescent="0.25">
      <c r="A342" t="s">
        <v>381</v>
      </c>
    </row>
    <row r="343" spans="1:1" x14ac:dyDescent="0.25">
      <c r="A343" t="s">
        <v>382</v>
      </c>
    </row>
    <row r="344" spans="1:1" x14ac:dyDescent="0.25">
      <c r="A344" t="s">
        <v>383</v>
      </c>
    </row>
    <row r="345" spans="1:1" x14ac:dyDescent="0.25">
      <c r="A345" t="s">
        <v>384</v>
      </c>
    </row>
    <row r="346" spans="1:1" x14ac:dyDescent="0.25">
      <c r="A346" t="s">
        <v>385</v>
      </c>
    </row>
    <row r="347" spans="1:1" x14ac:dyDescent="0.25">
      <c r="A347" t="s">
        <v>386</v>
      </c>
    </row>
    <row r="348" spans="1:1" x14ac:dyDescent="0.25">
      <c r="A348" t="s">
        <v>387</v>
      </c>
    </row>
    <row r="349" spans="1:1" x14ac:dyDescent="0.25">
      <c r="A349" t="s">
        <v>388</v>
      </c>
    </row>
    <row r="350" spans="1:1" x14ac:dyDescent="0.25">
      <c r="A350" t="s">
        <v>389</v>
      </c>
    </row>
    <row r="351" spans="1:1" x14ac:dyDescent="0.25">
      <c r="A351" t="s">
        <v>390</v>
      </c>
    </row>
    <row r="352" spans="1:1" x14ac:dyDescent="0.25">
      <c r="A352" t="s">
        <v>391</v>
      </c>
    </row>
    <row r="353" spans="1:1" x14ac:dyDescent="0.25">
      <c r="A353" t="s">
        <v>392</v>
      </c>
    </row>
    <row r="354" spans="1:1" x14ac:dyDescent="0.25">
      <c r="A354" t="s">
        <v>393</v>
      </c>
    </row>
    <row r="355" spans="1:1" x14ac:dyDescent="0.25">
      <c r="A355" t="s">
        <v>394</v>
      </c>
    </row>
    <row r="356" spans="1:1" x14ac:dyDescent="0.25">
      <c r="A356" t="s">
        <v>395</v>
      </c>
    </row>
    <row r="357" spans="1:1" x14ac:dyDescent="0.25">
      <c r="A357" t="s">
        <v>396</v>
      </c>
    </row>
    <row r="358" spans="1:1" x14ac:dyDescent="0.25">
      <c r="A358" t="s">
        <v>397</v>
      </c>
    </row>
    <row r="359" spans="1:1" x14ac:dyDescent="0.25">
      <c r="A359" t="s">
        <v>398</v>
      </c>
    </row>
    <row r="360" spans="1:1" x14ac:dyDescent="0.25">
      <c r="A360" t="s">
        <v>399</v>
      </c>
    </row>
    <row r="361" spans="1:1" x14ac:dyDescent="0.25">
      <c r="A361" t="s">
        <v>400</v>
      </c>
    </row>
    <row r="362" spans="1:1" x14ac:dyDescent="0.25">
      <c r="A362" t="s">
        <v>401</v>
      </c>
    </row>
    <row r="363" spans="1:1" x14ac:dyDescent="0.25">
      <c r="A363" t="s">
        <v>402</v>
      </c>
    </row>
    <row r="364" spans="1:1" x14ac:dyDescent="0.25">
      <c r="A364" t="s">
        <v>403</v>
      </c>
    </row>
    <row r="365" spans="1:1" x14ac:dyDescent="0.25">
      <c r="A365" t="s">
        <v>404</v>
      </c>
    </row>
    <row r="366" spans="1:1" x14ac:dyDescent="0.25">
      <c r="A366" t="s">
        <v>405</v>
      </c>
    </row>
    <row r="367" spans="1:1" x14ac:dyDescent="0.25">
      <c r="A367" t="s">
        <v>406</v>
      </c>
    </row>
    <row r="368" spans="1:1" x14ac:dyDescent="0.25">
      <c r="A368" t="s">
        <v>407</v>
      </c>
    </row>
    <row r="369" spans="1:1" x14ac:dyDescent="0.25">
      <c r="A369" t="s">
        <v>408</v>
      </c>
    </row>
    <row r="370" spans="1:1" x14ac:dyDescent="0.25">
      <c r="A370" t="s">
        <v>409</v>
      </c>
    </row>
    <row r="371" spans="1:1" x14ac:dyDescent="0.25">
      <c r="A371" t="s">
        <v>410</v>
      </c>
    </row>
    <row r="372" spans="1:1" x14ac:dyDescent="0.25">
      <c r="A372" t="s">
        <v>411</v>
      </c>
    </row>
    <row r="373" spans="1:1" x14ac:dyDescent="0.25">
      <c r="A373" t="s">
        <v>412</v>
      </c>
    </row>
    <row r="374" spans="1:1" x14ac:dyDescent="0.25">
      <c r="A374" t="s">
        <v>413</v>
      </c>
    </row>
    <row r="375" spans="1:1" x14ac:dyDescent="0.25">
      <c r="A375" t="s">
        <v>414</v>
      </c>
    </row>
    <row r="376" spans="1:1" x14ac:dyDescent="0.25">
      <c r="A376" t="s">
        <v>415</v>
      </c>
    </row>
    <row r="377" spans="1:1" x14ac:dyDescent="0.25">
      <c r="A377" t="s">
        <v>416</v>
      </c>
    </row>
    <row r="378" spans="1:1" x14ac:dyDescent="0.25">
      <c r="A378" t="s">
        <v>417</v>
      </c>
    </row>
    <row r="379" spans="1:1" x14ac:dyDescent="0.25">
      <c r="A379" t="s">
        <v>418</v>
      </c>
    </row>
    <row r="380" spans="1:1" x14ac:dyDescent="0.25">
      <c r="A380" t="s">
        <v>419</v>
      </c>
    </row>
    <row r="381" spans="1:1" x14ac:dyDescent="0.25">
      <c r="A381" t="s">
        <v>420</v>
      </c>
    </row>
    <row r="382" spans="1:1" x14ac:dyDescent="0.25">
      <c r="A382" t="s">
        <v>421</v>
      </c>
    </row>
    <row r="383" spans="1:1" x14ac:dyDescent="0.25">
      <c r="A383" t="s">
        <v>422</v>
      </c>
    </row>
    <row r="384" spans="1:1" x14ac:dyDescent="0.25">
      <c r="A384" t="s">
        <v>423</v>
      </c>
    </row>
    <row r="385" spans="1:1" x14ac:dyDescent="0.25">
      <c r="A385" t="s">
        <v>424</v>
      </c>
    </row>
    <row r="386" spans="1:1" x14ac:dyDescent="0.25">
      <c r="A386" t="s">
        <v>425</v>
      </c>
    </row>
    <row r="387" spans="1:1" x14ac:dyDescent="0.25">
      <c r="A387" t="s">
        <v>426</v>
      </c>
    </row>
    <row r="388" spans="1:1" x14ac:dyDescent="0.25">
      <c r="A388" t="s">
        <v>427</v>
      </c>
    </row>
    <row r="389" spans="1:1" x14ac:dyDescent="0.25">
      <c r="A389" t="s">
        <v>428</v>
      </c>
    </row>
    <row r="390" spans="1:1" x14ac:dyDescent="0.25">
      <c r="A390" t="s">
        <v>429</v>
      </c>
    </row>
    <row r="391" spans="1:1" x14ac:dyDescent="0.25">
      <c r="A391" t="s">
        <v>430</v>
      </c>
    </row>
    <row r="392" spans="1:1" x14ac:dyDescent="0.25">
      <c r="A392" t="s">
        <v>431</v>
      </c>
    </row>
    <row r="393" spans="1:1" x14ac:dyDescent="0.25">
      <c r="A393" t="s">
        <v>432</v>
      </c>
    </row>
    <row r="394" spans="1:1" x14ac:dyDescent="0.25">
      <c r="A394" t="s">
        <v>433</v>
      </c>
    </row>
    <row r="395" spans="1:1" x14ac:dyDescent="0.25">
      <c r="A395" t="s">
        <v>434</v>
      </c>
    </row>
    <row r="396" spans="1:1" x14ac:dyDescent="0.25">
      <c r="A396" t="s">
        <v>435</v>
      </c>
    </row>
    <row r="397" spans="1:1" x14ac:dyDescent="0.25">
      <c r="A397" t="s">
        <v>436</v>
      </c>
    </row>
    <row r="398" spans="1:1" x14ac:dyDescent="0.25">
      <c r="A398" t="s">
        <v>437</v>
      </c>
    </row>
    <row r="399" spans="1:1" x14ac:dyDescent="0.25">
      <c r="A399" t="s">
        <v>438</v>
      </c>
    </row>
    <row r="400" spans="1:1" x14ac:dyDescent="0.25">
      <c r="A400" t="s">
        <v>439</v>
      </c>
    </row>
    <row r="401" spans="1:1" x14ac:dyDescent="0.25">
      <c r="A401" t="s">
        <v>440</v>
      </c>
    </row>
    <row r="402" spans="1:1" x14ac:dyDescent="0.25">
      <c r="A402" t="s">
        <v>441</v>
      </c>
    </row>
    <row r="403" spans="1:1" x14ac:dyDescent="0.25">
      <c r="A403" t="s">
        <v>442</v>
      </c>
    </row>
    <row r="404" spans="1:1" x14ac:dyDescent="0.25">
      <c r="A404" t="s">
        <v>443</v>
      </c>
    </row>
    <row r="405" spans="1:1" x14ac:dyDescent="0.25">
      <c r="A405" t="s">
        <v>444</v>
      </c>
    </row>
    <row r="406" spans="1:1" x14ac:dyDescent="0.25">
      <c r="A406" t="s">
        <v>445</v>
      </c>
    </row>
    <row r="407" spans="1:1" x14ac:dyDescent="0.25">
      <c r="A407" t="s">
        <v>446</v>
      </c>
    </row>
    <row r="408" spans="1:1" x14ac:dyDescent="0.25">
      <c r="A408" t="s">
        <v>447</v>
      </c>
    </row>
    <row r="409" spans="1:1" x14ac:dyDescent="0.25">
      <c r="A409" t="s">
        <v>448</v>
      </c>
    </row>
    <row r="410" spans="1:1" x14ac:dyDescent="0.25">
      <c r="A410" t="s">
        <v>449</v>
      </c>
    </row>
    <row r="411" spans="1:1" x14ac:dyDescent="0.25">
      <c r="A411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mapping</vt:lpstr>
      <vt:lpstr>{PL}PickLst</vt:lpstr>
      <vt:lpstr>db_name</vt:lpstr>
      <vt:lpstr>Freeze_here</vt:lpstr>
      <vt:lpstr>TM1MECCMapCAP</vt:lpstr>
      <vt:lpstr>TM1MECCMapWB</vt:lpstr>
      <vt:lpstr>TM1MECCMapWS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TM1MESummaryCAP</vt:lpstr>
      <vt:lpstr>TM1MESummaryWB</vt:lpstr>
      <vt:lpstr>TM1MESummaryWS</vt:lpstr>
      <vt:lpstr>mapping!TM1RPTDATARNG1</vt:lpstr>
      <vt:lpstr>mapping!TM1RPTFMTIDCOL</vt:lpstr>
      <vt:lpstr>mapping!TM1RPTFMTRNG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2019-04-17T22:14:35Z</dcterms:created>
  <dcterms:modified xsi:type="dcterms:W3CDTF">2025-08-05T04:35:05Z</dcterms:modified>
</cp:coreProperties>
</file>