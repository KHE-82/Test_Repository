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A3A554E3-D324-46A4-8261-1172D31D7926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p_AccByProgProfiles (CF)" sheetId="1" r:id="rId1"/>
  </sheets>
  <externalReferences>
    <externalReference r:id="rId2"/>
  </externalReferences>
  <definedNames>
    <definedName name="acctemp_Factor">'[1]Account Template'!$S$72</definedName>
    <definedName name="aProgramme">'[1]Profile template'!$AC$20</definedName>
    <definedName name="db_name">'rep_AccByProgProfiles (CF)'!$C$12</definedName>
    <definedName name="ff_extract_prog">'[1]flatfile extract'!#REF!</definedName>
    <definedName name="psFF_Prog">'[1]flatfile extract'!$J$42</definedName>
    <definedName name="TM1MEHomeCAP">'rep_AccByProgProfiles (CF)'!$D$50</definedName>
    <definedName name="TM1MEHomeWB">'rep_AccByProgProfiles (CF)'!$F$50</definedName>
    <definedName name="TM1MEHomeWS">'rep_AccByProgProfiles (CF)'!$H$50</definedName>
    <definedName name="TM1MERepBSCAP">'rep_AccByProgProfiles (CF)'!$D$52</definedName>
    <definedName name="TM1MERepBSWB">'rep_AccByProgProfiles (CF)'!$F$52</definedName>
    <definedName name="TM1MERepBSWS">'rep_AccByProgProfiles (CF)'!$H$52</definedName>
    <definedName name="TM1MERepCFCAP">'rep_AccByProgProfiles (CF)'!$D$53</definedName>
    <definedName name="TM1MERepCFWB">'rep_AccByProgProfiles (CF)'!$F$53</definedName>
    <definedName name="TM1MERepCFWS">'rep_AccByProgProfiles (CF)'!$H$53</definedName>
    <definedName name="TM1MERepOSCAP">'rep_AccByProgProfiles (CF)'!$D$51</definedName>
    <definedName name="TM1MERepOSWB">'rep_AccByProgProfiles (CF)'!$F$51</definedName>
    <definedName name="TM1MERepOSWS">'rep_AccByProgProfiles (CF)'!$H$51</definedName>
    <definedName name="TM1MESummaryCAP">'rep_AccByProgProfiles (CF)'!$D$54</definedName>
    <definedName name="TM1MESummaryWB">'rep_AccByProgProfiles (CF)'!$F$54</definedName>
    <definedName name="TM1MESummaryWS">'rep_AccByProgProfiles (CF)'!$H$54</definedName>
    <definedName name="TM1REBUILDOPTION" localSheetId="0">0</definedName>
    <definedName name="TM1REBUILDOPTION">0</definedName>
    <definedName name="TM1RPTDATARNG2" localSheetId="0">'rep_AccByProgProfiles (CF)'!$72:$72</definedName>
    <definedName name="TM1RPTDATARNGARPT1" localSheetId="0">'rep_AccByProgProfiles (CF)'!$77:$77</definedName>
    <definedName name="TM1RPTDATARNGARPT2" localSheetId="0">'rep_AccByProgProfiles (CF)'!$82:$82</definedName>
    <definedName name="TM1RPTDATARNGARPT3" localSheetId="0">'rep_AccByProgProfiles (CF)'!$87:$87</definedName>
    <definedName name="TM1RPTDATARNGARPT4" localSheetId="0">'rep_AccByProgProfiles (CF)'!$92:$92</definedName>
    <definedName name="TM1RPTDATARNGARPT5" localSheetId="0">'rep_AccByProgProfiles (CF)'!$97:$97</definedName>
    <definedName name="TM1RPTFMTIDCOL" localSheetId="0">'rep_AccByProgProfiles (CF)'!$A$1:$A$8</definedName>
    <definedName name="TM1RPTFMTRNG" localSheetId="0">'rep_AccByProgProfiles (CF)'!$B$1:$AC$8</definedName>
    <definedName name="trf_target_prog">'[1]Transfer Targets'!$F$35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6" i="1" l="1"/>
  <c r="D35" i="1"/>
  <c r="C35" i="1"/>
  <c r="C97" i="1"/>
  <c r="C33" i="1"/>
  <c r="B97" i="1"/>
  <c r="E97" i="1"/>
  <c r="F97" i="1"/>
  <c r="D97" i="1"/>
  <c r="D32" i="1"/>
  <c r="C92" i="1"/>
  <c r="C32" i="1"/>
  <c r="B92" i="1"/>
  <c r="E92" i="1"/>
  <c r="F92" i="1"/>
  <c r="D92" i="1"/>
  <c r="D31" i="1"/>
  <c r="C87" i="1"/>
  <c r="C31" i="1"/>
  <c r="B87" i="1"/>
  <c r="E87" i="1"/>
  <c r="F87" i="1"/>
  <c r="D87" i="1"/>
  <c r="D30" i="1"/>
  <c r="C82" i="1"/>
  <c r="C30" i="1"/>
  <c r="B82" i="1"/>
  <c r="E82" i="1"/>
  <c r="F82" i="1"/>
  <c r="D82" i="1"/>
  <c r="D29" i="1"/>
  <c r="C77" i="1"/>
  <c r="C29" i="1"/>
  <c r="B77" i="1"/>
  <c r="E77" i="1"/>
  <c r="F77" i="1"/>
  <c r="D77" i="1"/>
  <c r="D28" i="1"/>
  <c r="C72" i="1"/>
  <c r="C28" i="1"/>
  <c r="B72" i="1"/>
  <c r="E72" i="1"/>
  <c r="F72" i="1"/>
  <c r="D72" i="1"/>
  <c r="L65" i="1"/>
  <c r="L64" i="1"/>
  <c r="C21" i="1" a="1"/>
  <c r="C21" i="1"/>
  <c r="C22" i="1" a="1"/>
  <c r="C22" i="1"/>
  <c r="L63" i="1"/>
  <c r="C44" i="1"/>
  <c r="C43" i="1"/>
  <c r="C42" i="1"/>
  <c r="C41" i="1"/>
  <c r="C40" i="1"/>
  <c r="C39" i="1"/>
  <c r="C45" i="1" a="1"/>
  <c r="C45" i="1"/>
  <c r="AC36" i="1"/>
  <c r="AC35" i="1"/>
  <c r="AB36" i="1"/>
  <c r="AB35" i="1"/>
  <c r="AA36" i="1"/>
  <c r="AA35" i="1"/>
  <c r="Z36" i="1"/>
  <c r="Z35" i="1"/>
  <c r="Y36" i="1"/>
  <c r="Y35" i="1"/>
  <c r="X36" i="1"/>
  <c r="X35" i="1"/>
  <c r="W36" i="1"/>
  <c r="W35" i="1"/>
  <c r="V36" i="1"/>
  <c r="V35" i="1"/>
  <c r="U36" i="1"/>
  <c r="U35" i="1"/>
  <c r="T36" i="1"/>
  <c r="T35" i="1"/>
  <c r="S36" i="1"/>
  <c r="S35" i="1"/>
  <c r="R36" i="1"/>
  <c r="R35" i="1"/>
  <c r="N72" i="1"/>
  <c r="C48" i="1" a="1"/>
  <c r="C48" i="1"/>
  <c r="H54" i="1"/>
  <c r="G54" i="1"/>
  <c r="F54" i="1"/>
  <c r="E54" i="1"/>
  <c r="D54" i="1"/>
  <c r="C54" i="1"/>
  <c r="H53" i="1"/>
  <c r="G53" i="1"/>
  <c r="F53" i="1"/>
  <c r="E53" i="1"/>
  <c r="D53" i="1"/>
  <c r="C53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AC97" i="1"/>
  <c r="AB97" i="1"/>
  <c r="AA97" i="1"/>
  <c r="Z97" i="1"/>
  <c r="Y97" i="1"/>
  <c r="X97" i="1"/>
  <c r="W97" i="1"/>
  <c r="V97" i="1"/>
  <c r="U97" i="1"/>
  <c r="T97" i="1"/>
  <c r="S97" i="1"/>
  <c r="R97" i="1"/>
  <c r="O97" i="1"/>
  <c r="N97" i="1"/>
  <c r="AC92" i="1"/>
  <c r="AB92" i="1"/>
  <c r="AA92" i="1"/>
  <c r="Z92" i="1"/>
  <c r="Y92" i="1"/>
  <c r="X92" i="1"/>
  <c r="W92" i="1"/>
  <c r="V92" i="1"/>
  <c r="U92" i="1"/>
  <c r="T92" i="1"/>
  <c r="S92" i="1"/>
  <c r="R92" i="1"/>
  <c r="O92" i="1"/>
  <c r="N92" i="1"/>
  <c r="AC87" i="1"/>
  <c r="AB87" i="1"/>
  <c r="AA87" i="1"/>
  <c r="Z87" i="1"/>
  <c r="Y87" i="1"/>
  <c r="X87" i="1"/>
  <c r="W87" i="1"/>
  <c r="V87" i="1"/>
  <c r="U87" i="1"/>
  <c r="T87" i="1"/>
  <c r="S87" i="1"/>
  <c r="R87" i="1"/>
  <c r="O87" i="1"/>
  <c r="N87" i="1"/>
  <c r="AC82" i="1"/>
  <c r="AB82" i="1"/>
  <c r="AA82" i="1"/>
  <c r="Z82" i="1"/>
  <c r="Y82" i="1"/>
  <c r="X82" i="1"/>
  <c r="W82" i="1"/>
  <c r="V82" i="1"/>
  <c r="U82" i="1"/>
  <c r="T82" i="1"/>
  <c r="S82" i="1"/>
  <c r="R82" i="1"/>
  <c r="O82" i="1"/>
  <c r="N82" i="1"/>
  <c r="AC77" i="1"/>
  <c r="AB77" i="1"/>
  <c r="AA77" i="1"/>
  <c r="Z77" i="1"/>
  <c r="Y77" i="1"/>
  <c r="X77" i="1"/>
  <c r="W77" i="1"/>
  <c r="V77" i="1"/>
  <c r="U77" i="1"/>
  <c r="T77" i="1"/>
  <c r="S77" i="1"/>
  <c r="R77" i="1"/>
  <c r="O77" i="1"/>
  <c r="N77" i="1"/>
  <c r="AC72" i="1"/>
  <c r="AB72" i="1"/>
  <c r="AA72" i="1"/>
  <c r="Z72" i="1"/>
  <c r="Y72" i="1"/>
  <c r="X72" i="1"/>
  <c r="W72" i="1"/>
  <c r="V72" i="1"/>
  <c r="U72" i="1"/>
  <c r="T72" i="1"/>
  <c r="S72" i="1"/>
  <c r="R72" i="1"/>
  <c r="O72" i="1"/>
  <c r="D27" i="1"/>
  <c r="AC94" i="1"/>
  <c r="AB94" i="1"/>
  <c r="AA94" i="1"/>
  <c r="Z94" i="1"/>
  <c r="Y94" i="1"/>
  <c r="X94" i="1"/>
  <c r="W94" i="1"/>
  <c r="V94" i="1"/>
  <c r="U94" i="1"/>
  <c r="T94" i="1"/>
  <c r="S94" i="1"/>
  <c r="R94" i="1"/>
  <c r="O94" i="1"/>
  <c r="N94" i="1"/>
  <c r="AC89" i="1"/>
  <c r="AB89" i="1"/>
  <c r="AA89" i="1"/>
  <c r="Z89" i="1"/>
  <c r="Y89" i="1"/>
  <c r="X89" i="1"/>
  <c r="W89" i="1"/>
  <c r="V89" i="1"/>
  <c r="U89" i="1"/>
  <c r="T89" i="1"/>
  <c r="S89" i="1"/>
  <c r="R89" i="1"/>
  <c r="O89" i="1"/>
  <c r="N89" i="1"/>
  <c r="AC84" i="1"/>
  <c r="AB84" i="1"/>
  <c r="AA84" i="1"/>
  <c r="Z84" i="1"/>
  <c r="Y84" i="1"/>
  <c r="X84" i="1"/>
  <c r="W84" i="1"/>
  <c r="V84" i="1"/>
  <c r="U84" i="1"/>
  <c r="T84" i="1"/>
  <c r="S84" i="1"/>
  <c r="R84" i="1"/>
  <c r="O84" i="1"/>
  <c r="N84" i="1"/>
  <c r="AC79" i="1"/>
  <c r="AB79" i="1"/>
  <c r="AA79" i="1"/>
  <c r="Z79" i="1"/>
  <c r="Y79" i="1"/>
  <c r="X79" i="1"/>
  <c r="W79" i="1"/>
  <c r="V79" i="1"/>
  <c r="U79" i="1"/>
  <c r="T79" i="1"/>
  <c r="S79" i="1"/>
  <c r="R79" i="1"/>
  <c r="O79" i="1"/>
  <c r="N79" i="1"/>
  <c r="AC74" i="1"/>
  <c r="AB74" i="1"/>
  <c r="AA74" i="1"/>
  <c r="Z74" i="1"/>
  <c r="Y74" i="1"/>
  <c r="X74" i="1"/>
  <c r="W74" i="1"/>
  <c r="V74" i="1"/>
  <c r="U74" i="1"/>
  <c r="T74" i="1"/>
  <c r="S74" i="1"/>
  <c r="R74" i="1"/>
  <c r="O74" i="1"/>
  <c r="N74" i="1"/>
  <c r="C24" i="1" a="1"/>
  <c r="C24" i="1"/>
  <c r="C23" i="1" a="1"/>
  <c r="C23" i="1"/>
  <c r="C16" i="1" a="1"/>
  <c r="C16" i="1"/>
  <c r="C18" i="1" a="1"/>
  <c r="C18" i="1"/>
  <c r="C17" i="1" a="1"/>
  <c r="C17" i="1"/>
  <c r="C13" i="1" a="1"/>
  <c r="C13" i="1"/>
  <c r="R71" i="1"/>
  <c r="S71" i="1"/>
  <c r="T71" i="1"/>
  <c r="U71" i="1"/>
  <c r="V71" i="1"/>
  <c r="W71" i="1"/>
  <c r="X71" i="1"/>
  <c r="Y71" i="1"/>
  <c r="Z71" i="1"/>
  <c r="AA71" i="1"/>
  <c r="AB71" i="1"/>
  <c r="AC71" i="1"/>
  <c r="A72" i="1"/>
  <c r="J72" i="1"/>
  <c r="K72" i="1"/>
  <c r="L72" i="1"/>
  <c r="P72" i="1"/>
  <c r="P74" i="1"/>
  <c r="P97" i="1"/>
  <c r="L97" i="1"/>
  <c r="K97" i="1"/>
  <c r="J97" i="1"/>
  <c r="A97" i="1"/>
  <c r="AC96" i="1"/>
  <c r="AB96" i="1"/>
  <c r="AA96" i="1"/>
  <c r="Z96" i="1"/>
  <c r="Y96" i="1"/>
  <c r="X96" i="1"/>
  <c r="W96" i="1"/>
  <c r="V96" i="1"/>
  <c r="U96" i="1"/>
  <c r="T96" i="1"/>
  <c r="S96" i="1"/>
  <c r="R96" i="1"/>
  <c r="P94" i="1"/>
  <c r="P92" i="1"/>
  <c r="L92" i="1"/>
  <c r="K92" i="1"/>
  <c r="J92" i="1"/>
  <c r="A92" i="1"/>
  <c r="AC91" i="1"/>
  <c r="AB91" i="1"/>
  <c r="AA91" i="1"/>
  <c r="Z91" i="1"/>
  <c r="Y91" i="1"/>
  <c r="X91" i="1"/>
  <c r="W91" i="1"/>
  <c r="V91" i="1"/>
  <c r="U91" i="1"/>
  <c r="T91" i="1"/>
  <c r="S91" i="1"/>
  <c r="R91" i="1"/>
  <c r="P89" i="1"/>
  <c r="P87" i="1"/>
  <c r="L87" i="1"/>
  <c r="K87" i="1"/>
  <c r="J87" i="1"/>
  <c r="A87" i="1"/>
  <c r="AC86" i="1"/>
  <c r="AB86" i="1"/>
  <c r="AA86" i="1"/>
  <c r="Z86" i="1"/>
  <c r="Y86" i="1"/>
  <c r="X86" i="1"/>
  <c r="W86" i="1"/>
  <c r="V86" i="1"/>
  <c r="U86" i="1"/>
  <c r="T86" i="1"/>
  <c r="S86" i="1"/>
  <c r="R86" i="1"/>
  <c r="P84" i="1"/>
  <c r="P82" i="1"/>
  <c r="L82" i="1"/>
  <c r="K82" i="1"/>
  <c r="J82" i="1"/>
  <c r="A82" i="1"/>
  <c r="AC81" i="1"/>
  <c r="AB81" i="1"/>
  <c r="AA81" i="1"/>
  <c r="Z81" i="1"/>
  <c r="Y81" i="1"/>
  <c r="X81" i="1"/>
  <c r="W81" i="1"/>
  <c r="V81" i="1"/>
  <c r="U81" i="1"/>
  <c r="T81" i="1"/>
  <c r="S81" i="1"/>
  <c r="R81" i="1"/>
  <c r="P79" i="1"/>
  <c r="P77" i="1"/>
  <c r="L77" i="1"/>
  <c r="K77" i="1"/>
  <c r="J77" i="1"/>
  <c r="A77" i="1"/>
  <c r="AC76" i="1"/>
  <c r="AB76" i="1"/>
  <c r="AA76" i="1"/>
  <c r="Z76" i="1"/>
  <c r="Y76" i="1"/>
  <c r="X76" i="1"/>
  <c r="W76" i="1"/>
  <c r="V76" i="1"/>
  <c r="U76" i="1"/>
  <c r="T76" i="1"/>
  <c r="S76" i="1"/>
  <c r="R76" i="1"/>
  <c r="A5" i="1"/>
  <c r="A4" i="1"/>
  <c r="A3" i="1"/>
  <c r="A2" i="1"/>
</calcChain>
</file>

<file path=xl/sharedStrings.xml><?xml version="1.0" encoding="utf-8"?>
<sst xmlns="http://schemas.openxmlformats.org/spreadsheetml/2006/main" count="190" uniqueCount="118">
  <si>
    <t>[Begin Format Range]</t>
  </si>
  <si>
    <t>D</t>
  </si>
  <si>
    <t>N</t>
  </si>
  <si>
    <t>[End Format Range]</t>
  </si>
  <si>
    <t>Dimensions</t>
  </si>
  <si>
    <t>MDX Statement</t>
  </si>
  <si>
    <t>Active Form</t>
  </si>
  <si>
    <t>Slice View</t>
  </si>
  <si>
    <t>Account Cash Flow (Operating)</t>
  </si>
  <si>
    <t>{TM1FILTERBYLEVEL( {TM1DRILLDOWNMEMBER( {[account].[6210000]}, ALL, RECURSIVE )}, 0)}</t>
  </si>
  <si>
    <t>Account Cash Flow (Investing)</t>
  </si>
  <si>
    <t>{TM1FILTERBYLEVEL( {TM1DRILLDOWNMEMBER( {[account].[6220000]}, ALL, RECURSIVE )}, 0)}</t>
  </si>
  <si>
    <t>Account Cash Flow (Financing)</t>
  </si>
  <si>
    <t>{TM1FILTERBYLEVEL( {TM1DRILLDOWNMEMBER( {[account].[6230000]}, ALL, RECURSIVE )}, 0)}</t>
  </si>
  <si>
    <t>Account Cash Flow (Clearing)</t>
  </si>
  <si>
    <t>{TM1FILTERBYLEVEL( {TM1DRILLDOWNMEMBER( {[account].[6800000]}, ALL, RECURSIVE )}, 0)}</t>
  </si>
  <si>
    <t>Account Cash Flow (Manual Allocations)</t>
  </si>
  <si>
    <t>{TM1FILTERBYLEVEL( {TM1DRILLDOWNMEMBER( {[account].[6900000]}, ALL, RECURSIVE )}, 0)}</t>
  </si>
  <si>
    <t>Account Cash Flow</t>
  </si>
  <si>
    <t>{TM1FILTERBYLEVEL( {TM1DRILLDOWNMEMBER( {[account].[6100001]}, ALL, RECURSIVE )}, 0)}</t>
  </si>
  <si>
    <t>Related Entity</t>
  </si>
  <si>
    <t>Function</t>
  </si>
  <si>
    <t>{[function].[Total functions]}</t>
  </si>
  <si>
    <t>{{TM1FILTERBYLEVEL( {TM1SUBSETALL( [function] )}, 0)},{[function].[Total functions]}}</t>
  </si>
  <si>
    <t>0000A</t>
  </si>
  <si>
    <t>00001</t>
  </si>
  <si>
    <t>Program</t>
  </si>
  <si>
    <t>Movement Account</t>
  </si>
  <si>
    <t>Jun YTD</t>
  </si>
  <si>
    <t>Movement</t>
  </si>
  <si>
    <t>{[movement account].[Total movement]}</t>
  </si>
  <si>
    <t>{FILTER( {TM1FILTERBYLEVEL( {TM1SUBSETALL( [movement account] )}, 0)}, [movement account].[editable] = "")}</t>
  </si>
  <si>
    <t>Jurisdiction</t>
  </si>
  <si>
    <t>{[related entity].[Total related entity]}</t>
  </si>
  <si>
    <t>{TM1FILTERBYLEVEL( {TM1SUBSETALL( [related entity] )}, 0)}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</si>
  <si>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</si>
  <si>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</si>
  <si>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</si>
  <si>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</si>
  <si>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</si>
  <si>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</si>
  <si>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</si>
  <si>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</si>
  <si>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</si>
  <si>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</si>
  <si>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</si>
  <si>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</si>
  <si>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{[jurisdiction].[Total jurisdictions]}</t>
  </si>
  <si>
    <t>{TM1FILTERBYLEVEL( {TM1SUBSETALL( [jurisdiction] )}, 0)}</t>
  </si>
  <si>
    <t>T1 PBS Activity Code</t>
  </si>
  <si>
    <t>Headline Year</t>
  </si>
  <si>
    <t>Scenario</t>
  </si>
  <si>
    <t>Status</t>
  </si>
  <si>
    <t>Template Month Status</t>
  </si>
  <si>
    <t>Year to Date</t>
  </si>
  <si>
    <t>Net Cash (from)/to Operating Activities</t>
  </si>
  <si>
    <t>Account</t>
  </si>
  <si>
    <t>Activitiy Code</t>
  </si>
  <si>
    <t>Account Parent</t>
  </si>
  <si>
    <t>Program Display</t>
  </si>
  <si>
    <t>Activity Code</t>
  </si>
  <si>
    <t>Annual Estimates</t>
  </si>
  <si>
    <t>Monthly Estimates</t>
  </si>
  <si>
    <t>Variance</t>
  </si>
  <si>
    <t>Net Cash (from)/to Investing Activities</t>
  </si>
  <si>
    <t>Net Cash (from)/to Financing Activities</t>
  </si>
  <si>
    <t>Net Cash from/(to) Clearing Accounts</t>
  </si>
  <si>
    <t>Equity</t>
  </si>
  <si>
    <t>Manual Allocations</t>
  </si>
  <si>
    <t>Cash Flow</t>
  </si>
  <si>
    <t>Cash at beginning of year</t>
  </si>
  <si>
    <t>System Variables</t>
  </si>
  <si>
    <t>Database Name</t>
  </si>
  <si>
    <t>Current User</t>
  </si>
  <si>
    <t>}ElementAttributes_variables</t>
  </si>
  <si>
    <t>Cube View</t>
  </si>
  <si>
    <t>headline year</t>
  </si>
  <si>
    <t>headline scenario</t>
  </si>
  <si>
    <t>ME System Variable</t>
  </si>
  <si>
    <t>ME_headline year</t>
  </si>
  <si>
    <t>ME year</t>
  </si>
  <si>
    <t>ME_period</t>
  </si>
  <si>
    <t>SPP</t>
  </si>
  <si>
    <t>Appropriation Item</t>
  </si>
  <si>
    <t>ME reporting measure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</si>
  <si>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</si>
  <si>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</si>
  <si>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</si>
  <si>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</si>
  <si>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</si>
  <si>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</si>
  <si>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</si>
  <si>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</si>
  <si>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REP - OS Schedule</t>
  </si>
  <si>
    <t>ME REP - BS Schedule</t>
  </si>
  <si>
    <t>ME REP - CF Schedule</t>
  </si>
  <si>
    <t>ME - Summary</t>
  </si>
  <si>
    <t>REPORT PARAMETERS</t>
  </si>
  <si>
    <t>Cash Flow - Account By Program Profiles Report</t>
  </si>
  <si>
    <t>DISPLAY</t>
  </si>
  <si>
    <t>Display</t>
  </si>
  <si>
    <t>N Level</t>
  </si>
  <si>
    <t>{TM1DRILLDOWNMEMBER( {[account].[6210000]}, ALL, RECURSIVE )}</t>
  </si>
  <si>
    <t>{TM1DRILLDOWNMEMBER( {[account].[6220000]}, ALL, RECURSIVE )}</t>
  </si>
  <si>
    <t>{TM1DRILLDOWNMEMBER( {[account].[6230000]}, ALL, RECURSIVE )}</t>
  </si>
  <si>
    <t>{TM1DRILLDOWNMEMBER( {[account].[6800000]}, ALL, RECURSIVE )}</t>
  </si>
  <si>
    <t>{TM1DRILLDOWNMEMBER( {[account].[6900000]}, ALL, RECURSIVE )}</t>
  </si>
  <si>
    <t>{TM1DRILLDOWNMEMBER( {[account].[6100001]}, ALL, RECURSIVE )}</t>
  </si>
  <si>
    <t>Show Totals</t>
  </si>
  <si>
    <t>Show All</t>
  </si>
  <si>
    <t>{DESCENDANTS ([account].[6210000],2,BEFORE)}</t>
  </si>
  <si>
    <t>{DESCENDANTS ([account].[6220000],2,BEFORE)}</t>
  </si>
  <si>
    <t>{DESCENDANTS ([account].[6230000],2,BEFORE)}</t>
  </si>
  <si>
    <t>{DESCENDANTS ([account].[6800000],2,BEFORE)}</t>
  </si>
  <si>
    <t>{DESCENDANTS ([account].[6900000],2,BEFORE)}</t>
  </si>
  <si>
    <t>{DESCENDANTS ([account].[6100001],2,BEFORE)}</t>
  </si>
  <si>
    <t>=TM1RPTVIEW(db_name&amp;":ME reporting:ARPT5", 1, TM1RPTTITLE(db_name&amp;":headline year",$L$63), TM1RPTTITLE(db_name&amp;":scenario",$L$64),TM1RPTTITLE(db_name&amp;":ME reporting measure",$C$45),TM1RPTFMTRNG,TM1RPTFMTIDCOL)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</si>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</sst>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[Red]* \(#,##0\)_-;_-* &quot;-&quot;??_-;_-@_-"/>
    <numFmt numFmtId="165" formatCode="_(* #,##0.00_);_(* \(#,##0.00\);_(* &quot;-&quot;??_);_(@_)"/>
    <numFmt numFmtId="166" formatCode="_-* #,##0_-;\-* #,##0_-;_-* &quot;-&quot;??_-;_-@_-"/>
  </numFmts>
  <fonts count="18" x14ac:knownFonts="1">
    <font>
      <sz val="8"/>
      <color indexed="6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protection locked="0"/>
    </xf>
    <xf numFmtId="0" fontId="2" fillId="0" borderId="0"/>
    <xf numFmtId="165" fontId="2" fillId="0" borderId="0" applyFont="0" applyFill="0" applyBorder="0" applyAlignment="0" applyProtection="0"/>
    <xf numFmtId="0" fontId="1" fillId="0" borderId="0"/>
  </cellStyleXfs>
  <cellXfs count="52">
    <xf numFmtId="0" fontId="0" fillId="0" borderId="0" xfId="0">
      <protection locked="0"/>
    </xf>
    <xf numFmtId="0" fontId="2" fillId="0" borderId="0" xfId="1"/>
    <xf numFmtId="0" fontId="2" fillId="0" borderId="0" xfId="1" applyAlignment="1">
      <alignment horizontal="center"/>
    </xf>
    <xf numFmtId="0" fontId="4" fillId="0" borderId="1" xfId="1" applyFont="1" applyBorder="1"/>
    <xf numFmtId="0" fontId="2" fillId="0" borderId="1" xfId="1" applyBorder="1" applyAlignment="1">
      <alignment horizontal="left"/>
    </xf>
    <xf numFmtId="0" fontId="2" fillId="0" borderId="1" xfId="1" applyBorder="1" applyAlignment="1">
      <alignment horizontal="center"/>
    </xf>
    <xf numFmtId="0" fontId="2" fillId="0" borderId="1" xfId="1" applyBorder="1"/>
    <xf numFmtId="0" fontId="5" fillId="0" borderId="1" xfId="1" applyFont="1" applyBorder="1"/>
    <xf numFmtId="164" fontId="6" fillId="0" borderId="1" xfId="2" applyNumberFormat="1" applyFont="1" applyFill="1" applyBorder="1"/>
    <xf numFmtId="166" fontId="7" fillId="0" borderId="0" xfId="2" applyNumberFormat="1" applyFont="1" applyFill="1"/>
    <xf numFmtId="164" fontId="8" fillId="0" borderId="1" xfId="2" applyNumberFormat="1" applyFont="1" applyFill="1" applyBorder="1"/>
    <xf numFmtId="0" fontId="2" fillId="0" borderId="2" xfId="1" applyBorder="1"/>
    <xf numFmtId="0" fontId="2" fillId="0" borderId="0" xfId="1" applyAlignment="1">
      <alignment horizontal="left"/>
    </xf>
    <xf numFmtId="166" fontId="7" fillId="0" borderId="1" xfId="2" applyNumberFormat="1" applyFont="1" applyFill="1" applyBorder="1"/>
    <xf numFmtId="166" fontId="9" fillId="0" borderId="1" xfId="2" applyNumberFormat="1" applyFont="1" applyFill="1" applyBorder="1"/>
    <xf numFmtId="0" fontId="10" fillId="0" borderId="0" xfId="1" applyFont="1"/>
    <xf numFmtId="0" fontId="10" fillId="0" borderId="0" xfId="1" applyFont="1" applyAlignment="1">
      <alignment horizontal="center"/>
    </xf>
    <xf numFmtId="164" fontId="11" fillId="0" borderId="1" xfId="2" applyNumberFormat="1" applyFont="1" applyFill="1" applyBorder="1"/>
    <xf numFmtId="164" fontId="12" fillId="0" borderId="2" xfId="2" applyNumberFormat="1" applyFont="1" applyFill="1" applyBorder="1"/>
    <xf numFmtId="164" fontId="10" fillId="0" borderId="1" xfId="2" applyNumberFormat="1" applyFont="1" applyFill="1" applyBorder="1"/>
    <xf numFmtId="0" fontId="4" fillId="2" borderId="1" xfId="1" applyFont="1" applyFill="1" applyBorder="1"/>
    <xf numFmtId="0" fontId="2" fillId="0" borderId="1" xfId="1" applyBorder="1" applyProtection="1">
      <protection locked="0"/>
    </xf>
    <xf numFmtId="0" fontId="13" fillId="3" borderId="0" xfId="1" applyFont="1" applyFill="1" applyAlignment="1">
      <alignment horizontal="center"/>
    </xf>
    <xf numFmtId="0" fontId="13" fillId="3" borderId="0" xfId="1" quotePrefix="1" applyFont="1" applyFill="1" applyAlignment="1">
      <alignment horizontal="center"/>
    </xf>
    <xf numFmtId="0" fontId="13" fillId="0" borderId="0" xfId="1" applyFont="1" applyAlignment="1">
      <alignment horizontal="center"/>
    </xf>
    <xf numFmtId="0" fontId="2" fillId="0" borderId="0" xfId="1" quotePrefix="1"/>
    <xf numFmtId="0" fontId="4" fillId="0" borderId="0" xfId="1" applyFont="1" applyAlignment="1">
      <alignment horizontal="right" indent="1"/>
    </xf>
    <xf numFmtId="0" fontId="4" fillId="0" borderId="0" xfId="3" applyFont="1" applyAlignment="1">
      <alignment horizontal="right" indent="1"/>
    </xf>
    <xf numFmtId="0" fontId="15" fillId="0" borderId="0" xfId="1" applyFont="1"/>
    <xf numFmtId="0" fontId="10" fillId="0" borderId="0" xfId="1" applyFont="1" applyAlignment="1">
      <alignment wrapText="1"/>
    </xf>
    <xf numFmtId="0" fontId="13" fillId="4" borderId="0" xfId="3" applyFont="1" applyFill="1" applyAlignment="1">
      <alignment horizontal="center" wrapText="1"/>
    </xf>
    <xf numFmtId="0" fontId="13" fillId="0" borderId="0" xfId="3" applyFont="1" applyAlignment="1">
      <alignment horizontal="center" wrapText="1"/>
    </xf>
    <xf numFmtId="49" fontId="4" fillId="0" borderId="1" xfId="1" applyNumberFormat="1" applyFont="1" applyBorder="1"/>
    <xf numFmtId="0" fontId="15" fillId="0" borderId="0" xfId="1" applyFont="1" applyAlignment="1">
      <alignment horizontal="right"/>
    </xf>
    <xf numFmtId="0" fontId="16" fillId="0" borderId="0" xfId="1" applyFont="1"/>
    <xf numFmtId="164" fontId="11" fillId="5" borderId="1" xfId="2" applyNumberFormat="1" applyFont="1" applyFill="1" applyBorder="1"/>
    <xf numFmtId="49" fontId="2" fillId="0" borderId="1" xfId="1" applyNumberFormat="1" applyBorder="1" applyAlignment="1">
      <alignment horizontal="left"/>
    </xf>
    <xf numFmtId="49" fontId="12" fillId="0" borderId="0" xfId="1" applyNumberFormat="1" applyFont="1"/>
    <xf numFmtId="0" fontId="0" fillId="0" borderId="1" xfId="0" applyBorder="1" applyProtection="1"/>
    <xf numFmtId="0" fontId="0" fillId="0" borderId="0" xfId="0" applyProtection="1"/>
    <xf numFmtId="0" fontId="1" fillId="0" borderId="1" xfId="1" applyFont="1" applyBorder="1"/>
    <xf numFmtId="0" fontId="4" fillId="0" borderId="1" xfId="0" applyFont="1" applyBorder="1" applyProtection="1"/>
    <xf numFmtId="0" fontId="1" fillId="0" borderId="0" xfId="1" applyFont="1"/>
    <xf numFmtId="0" fontId="0" fillId="0" borderId="3" xfId="0" applyBorder="1" applyProtection="1"/>
    <xf numFmtId="0" fontId="4" fillId="5" borderId="1" xfId="0" applyFont="1" applyFill="1" applyBorder="1" applyProtection="1"/>
    <xf numFmtId="0" fontId="3" fillId="7" borderId="0" xfId="0" applyFont="1" applyFill="1" applyAlignment="1" applyProtection="1">
      <alignment horizontal="center"/>
    </xf>
    <xf numFmtId="0" fontId="14" fillId="0" borderId="0" xfId="1" applyFont="1"/>
    <xf numFmtId="0" fontId="14" fillId="0" borderId="0" xfId="1" applyFont="1" applyAlignment="1">
      <alignment horizontal="center"/>
    </xf>
    <xf numFmtId="0" fontId="3" fillId="8" borderId="0" xfId="0" applyFont="1" applyFill="1" applyAlignment="1" applyProtection="1">
      <alignment horizontal="center"/>
    </xf>
    <xf numFmtId="0" fontId="17" fillId="7" borderId="0" xfId="0" applyFont="1" applyFill="1" applyAlignment="1" applyProtection="1">
      <alignment horizontal="right" vertical="center"/>
    </xf>
    <xf numFmtId="0" fontId="2" fillId="0" borderId="1" xfId="1" applyBorder="1" applyAlignment="1" applyProtection="1">
      <alignment horizontal="center"/>
      <protection locked="0"/>
    </xf>
    <xf numFmtId="0" fontId="4" fillId="6" borderId="1" xfId="0" applyFont="1" applyFill="1" applyBorder="1" applyAlignment="1" applyProtection="1">
      <alignment horizontal="center"/>
    </xf>
  </cellXfs>
  <cellStyles count="4">
    <cellStyle name="Comma 4" xfId="2" xr:uid="{00000000-0005-0000-0000-000000000000}"/>
    <cellStyle name="Normal" xfId="0" builtinId="0"/>
    <cellStyle name="Normal 11" xfId="1" xr:uid="{00000000-0005-0000-0000-000002000000}"/>
    <cellStyle name="Normal 5 2" xfId="3" xr:uid="{00000000-0005-0000-0000-000003000000}"/>
  </cellStyles>
  <dxfs count="2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9"/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  <numFmt numFmtId="164" formatCode="_-* #,##0_-;[Red]* \(#,##0\)_-;_-* &quot;-&quot;??_-;_-@_-"/>
      <fill>
        <patternFill>
          <bgColor theme="0" tint="-4.9989318521683403E-2"/>
        </patternFill>
      </fill>
    </dxf>
    <dxf>
      <font>
        <b/>
        <i val="0"/>
        <color auto="1"/>
      </font>
      <numFmt numFmtId="164" formatCode="_-* #,##0_-;[Red]* \(#,##0\)_-;_-* &quot;-&quot;??_-;_-@_-"/>
      <fill>
        <patternFill>
          <bgColor theme="0" tint="-4.9989318521683403E-2"/>
        </patternFill>
      </fill>
    </dxf>
    <dxf>
      <font>
        <color theme="1"/>
      </font>
    </dxf>
    <dxf>
      <fill>
        <patternFill>
          <fgColor theme="9"/>
          <bgColor theme="4" tint="0.79998168889431442"/>
        </patternFill>
      </fill>
    </dxf>
    <dxf>
      <font>
        <color theme="1"/>
      </font>
    </dxf>
    <dxf>
      <fill>
        <patternFill>
          <fgColor theme="9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043"/>
  <ax:ocxPr ax:name="_ExtentY" ax:value="1217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201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503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lance Sheet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BSWB"/>
  <ax:ocxPr ax:name="TargetWorksheetName" ax:value="=TM1MERepBS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514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Operating Statement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OSWB"/>
  <ax:ocxPr ax:name="TargetWorksheetName" ax:value="=TM1MERepOS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28575</xdr:colOff>
          <xdr:row>57</xdr:row>
          <xdr:rowOff>47625</xdr:rowOff>
        </xdr:from>
        <xdr:to>
          <xdr:col>9</xdr:col>
          <xdr:colOff>609600</xdr:colOff>
          <xdr:row>58</xdr:row>
          <xdr:rowOff>238125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485775</xdr:colOff>
          <xdr:row>57</xdr:row>
          <xdr:rowOff>47625</xdr:rowOff>
        </xdr:from>
        <xdr:to>
          <xdr:col>11</xdr:col>
          <xdr:colOff>1333500</xdr:colOff>
          <xdr:row>58</xdr:row>
          <xdr:rowOff>238125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2667000</xdr:colOff>
          <xdr:row>57</xdr:row>
          <xdr:rowOff>38100</xdr:rowOff>
        </xdr:from>
        <xdr:to>
          <xdr:col>11</xdr:col>
          <xdr:colOff>428625</xdr:colOff>
          <xdr:row>58</xdr:row>
          <xdr:rowOff>228600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638175</xdr:colOff>
          <xdr:row>57</xdr:row>
          <xdr:rowOff>47625</xdr:rowOff>
        </xdr:from>
        <xdr:to>
          <xdr:col>9</xdr:col>
          <xdr:colOff>2628900</xdr:colOff>
          <xdr:row>58</xdr:row>
          <xdr:rowOff>238125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56</xdr:row>
      <xdr:rowOff>9525</xdr:rowOff>
    </xdr:from>
    <xdr:to>
      <xdr:col>9</xdr:col>
      <xdr:colOff>1752600</xdr:colOff>
      <xdr:row>57</xdr:row>
      <xdr:rowOff>15240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g6547/AppData/Local/Temp/8/TM1CD6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menu"/>
      <sheetName val="MapMenu"/>
      <sheetName val="flatfile extract"/>
      <sheetName val="Acc Temp List"/>
      <sheetName val="CC Mapping"/>
      <sheetName val="Unmapped CC"/>
      <sheetName val="Account Template"/>
      <sheetName val="ProgTemplate"/>
      <sheetName val="DataMenu"/>
      <sheetName val="Adjmenu"/>
      <sheetName val="RptMenu"/>
      <sheetName val="AdminMenu"/>
      <sheetName val="Programme Status"/>
      <sheetName val="AccByProg"/>
      <sheetName val="Transfer Targets"/>
      <sheetName val="Target Reconciliation"/>
      <sheetName val="Gross Cash Actuals"/>
      <sheetName val="Profile template"/>
      <sheetName val="blank"/>
      <sheetName val="slice"/>
      <sheetName val="Validations"/>
      <sheetName val="{PL}PickLst"/>
      <sheetName val="rep_AccByProgProfiles (ALL)"/>
      <sheetName val="rep_AccByProgProfiles (PL)"/>
      <sheetName val="rep_AccByProgProfiles (CF)"/>
      <sheetName val="rep_Summary"/>
      <sheetName val="rep_Function"/>
      <sheetName val="rep_Prog"/>
      <sheetName val="CBMS Reco Instru"/>
      <sheetName val="report"/>
      <sheetName val="Dept Template"/>
      <sheetName val="Dept"/>
      <sheetName val="AnnualItmsUpload"/>
      <sheetName val="Sheet4"/>
      <sheetName val="Sheet1"/>
      <sheetName val="rep_AccByProgProfiles (BS)"/>
    </sheetNames>
    <sheetDataSet>
      <sheetData sheetId="0"/>
      <sheetData sheetId="1"/>
      <sheetData sheetId="2"/>
      <sheetData sheetId="3">
        <row r="42">
          <cell r="J42" t="str">
            <v>Administered programs</v>
          </cell>
        </row>
      </sheetData>
      <sheetData sheetId="4"/>
      <sheetData sheetId="5"/>
      <sheetData sheetId="6"/>
      <sheetData sheetId="7">
        <row r="72">
          <cell r="S72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35">
          <cell r="F35" t="str">
            <v>1:03-01-01-01 - Australian Business Number and Business Names Registration System - expansion</v>
          </cell>
        </row>
      </sheetData>
      <sheetData sheetId="16"/>
      <sheetData sheetId="17"/>
      <sheetData sheetId="18">
        <row r="20">
          <cell r="AC20" t="str">
            <v>1:02-01-01-02 - Australian Astronomical Observatory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4">
    <outlinePr showOutlineSymbols="0"/>
    <pageSetUpPr fitToPage="1"/>
  </sheetPr>
  <dimension ref="A1:AC99"/>
  <sheetViews>
    <sheetView showGridLines="0" showRowColHeaders="0" tabSelected="1" showOutlineSymbols="0" topLeftCell="A57" zoomScaleNormal="100" workbookViewId="0">
      <pane xSplit="17" ySplit="15" topLeftCell="R72" activePane="bottomRight" state="frozen"/>
      <selection activeCell="I57" sqref="I57"/>
      <selection pane="topRight" activeCell="R57" sqref="R57"/>
      <selection pane="bottomLeft" activeCell="I72" sqref="I72"/>
      <selection pane="bottomRight"/>
    </sheetView>
  </sheetViews>
  <sheetFormatPr defaultColWidth="9.140625" defaultRowHeight="15" outlineLevelRow="1" outlineLevelCol="1" x14ac:dyDescent="0.25"/>
  <cols>
    <col min="1" max="1" width="20.28515625" style="1" hidden="1" customWidth="1" outlineLevel="1"/>
    <col min="2" max="2" width="44.42578125" style="1" hidden="1" customWidth="1" outlineLevel="1"/>
    <col min="3" max="3" width="50.28515625" style="1" hidden="1" customWidth="1" outlineLevel="1"/>
    <col min="4" max="4" width="12.7109375" style="2" hidden="1" customWidth="1" outlineLevel="1"/>
    <col min="5" max="5" width="26" style="2" hidden="1" customWidth="1" outlineLevel="1"/>
    <col min="6" max="6" width="42.42578125" style="1" hidden="1" customWidth="1" outlineLevel="1"/>
    <col min="7" max="7" width="39.140625" style="1" hidden="1" customWidth="1" outlineLevel="1"/>
    <col min="8" max="8" width="24.28515625" style="1" hidden="1" customWidth="1" outlineLevel="1"/>
    <col min="9" max="9" width="0.85546875" style="1" customWidth="1" collapsed="1"/>
    <col min="10" max="10" width="44.28515625" style="1" bestFit="1" customWidth="1"/>
    <col min="11" max="11" width="11.140625" style="2" customWidth="1"/>
    <col min="12" max="12" width="70.7109375" style="1" customWidth="1"/>
    <col min="13" max="13" width="0.85546875" style="1" customWidth="1"/>
    <col min="14" max="16" width="12.7109375" style="1" customWidth="1"/>
    <col min="17" max="17" width="1.7109375" style="1" customWidth="1"/>
    <col min="18" max="29" width="12.7109375" style="1" customWidth="1"/>
    <col min="30" max="31" width="9.140625" style="1"/>
    <col min="32" max="32" width="17.42578125" style="1" bestFit="1" customWidth="1"/>
    <col min="33" max="33" width="84.42578125" style="1" bestFit="1" customWidth="1"/>
    <col min="34" max="16384" width="9.140625" style="1"/>
  </cols>
  <sheetData>
    <row r="1" spans="1:29" hidden="1" outlineLevel="1" x14ac:dyDescent="0.25">
      <c r="A1" s="1" t="s">
        <v>0</v>
      </c>
    </row>
    <row r="2" spans="1:29" hidden="1" outlineLevel="1" x14ac:dyDescent="0.25">
      <c r="A2" s="1">
        <f>0</f>
        <v>0</v>
      </c>
      <c r="B2" s="3"/>
      <c r="C2" s="4"/>
      <c r="D2" s="5"/>
      <c r="E2" s="5"/>
      <c r="F2" s="6"/>
      <c r="J2" s="7"/>
      <c r="K2" s="5"/>
      <c r="L2" s="6"/>
      <c r="N2" s="8"/>
      <c r="O2" s="8"/>
      <c r="P2" s="8"/>
      <c r="Q2" s="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idden="1" outlineLevel="1" x14ac:dyDescent="0.25">
      <c r="A3" s="1">
        <f>1</f>
        <v>1</v>
      </c>
      <c r="B3" s="11"/>
      <c r="C3" s="12"/>
      <c r="J3" s="7"/>
      <c r="K3" s="5"/>
      <c r="L3" s="6"/>
      <c r="N3" s="13"/>
      <c r="O3" s="13"/>
      <c r="P3" s="13"/>
      <c r="Q3" s="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idden="1" outlineLevel="1" x14ac:dyDescent="0.25">
      <c r="A4" s="1">
        <f>2</f>
        <v>2</v>
      </c>
      <c r="B4" s="11"/>
      <c r="C4" s="12"/>
      <c r="J4" s="7"/>
      <c r="K4" s="5"/>
      <c r="L4" s="6"/>
      <c r="N4" s="13"/>
      <c r="O4" s="13"/>
      <c r="P4" s="13"/>
      <c r="Q4" s="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hidden="1" outlineLevel="1" x14ac:dyDescent="0.25">
      <c r="A5" s="1">
        <f>3</f>
        <v>3</v>
      </c>
      <c r="B5" s="11"/>
      <c r="C5" s="12"/>
      <c r="J5" s="7"/>
      <c r="K5" s="5"/>
      <c r="L5" s="6"/>
      <c r="N5" s="13"/>
      <c r="O5" s="13"/>
      <c r="P5" s="13"/>
      <c r="Q5" s="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hidden="1" outlineLevel="1" x14ac:dyDescent="0.25">
      <c r="A6" s="1" t="s">
        <v>1</v>
      </c>
      <c r="B6" s="11"/>
      <c r="C6" s="12"/>
      <c r="J6" s="7"/>
      <c r="K6" s="5"/>
      <c r="L6" s="6"/>
      <c r="N6" s="13"/>
      <c r="O6" s="13"/>
      <c r="P6" s="13"/>
      <c r="Q6" s="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s="15" customFormat="1" hidden="1" outlineLevel="1" x14ac:dyDescent="0.25">
      <c r="A7" s="15" t="s">
        <v>2</v>
      </c>
      <c r="B7" s="3"/>
      <c r="C7" s="4"/>
      <c r="D7" s="5"/>
      <c r="E7" s="5"/>
      <c r="F7" s="6"/>
      <c r="G7" s="1"/>
      <c r="H7" s="1"/>
      <c r="I7" s="16"/>
      <c r="J7" s="7"/>
      <c r="K7" s="5"/>
      <c r="L7" s="6"/>
      <c r="N7" s="17"/>
      <c r="O7" s="17"/>
      <c r="P7" s="17"/>
      <c r="Q7" s="1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idden="1" outlineLevel="1" x14ac:dyDescent="0.25">
      <c r="A8" s="1" t="s">
        <v>3</v>
      </c>
    </row>
    <row r="9" spans="1:29" hidden="1" outlineLevel="1" x14ac:dyDescent="0.25"/>
    <row r="10" spans="1:29" hidden="1" outlineLevel="1" x14ac:dyDescent="0.25"/>
    <row r="11" spans="1:29" hidden="1" outlineLevel="1" x14ac:dyDescent="0.25">
      <c r="B11" s="51" t="s">
        <v>71</v>
      </c>
      <c r="C11" s="51"/>
    </row>
    <row r="12" spans="1:29" hidden="1" outlineLevel="1" x14ac:dyDescent="0.25">
      <c r="B12" s="38" t="s">
        <v>72</v>
      </c>
      <c r="C12" s="38" t="s">
        <v>117</v>
      </c>
    </row>
    <row r="13" spans="1:29" hidden="1" outlineLevel="1" x14ac:dyDescent="0.25">
      <c r="B13" s="38" t="s">
        <v>73</v>
      </c>
      <c r="C13" s="38" t="str">
        <f t="array" aca="1" ref="C13" ca="1">_xll.TM1USER(db_name)</f>
        <v/>
      </c>
    </row>
    <row r="14" spans="1:29" hidden="1" outlineLevel="1" x14ac:dyDescent="0.25">
      <c r="B14" s="39"/>
      <c r="C14" s="39"/>
    </row>
    <row r="15" spans="1:29" hidden="1" outlineLevel="1" x14ac:dyDescent="0.25">
      <c r="B15" s="51" t="s">
        <v>74</v>
      </c>
      <c r="C15" s="51"/>
    </row>
    <row r="16" spans="1:29" hidden="1" outlineLevel="1" x14ac:dyDescent="0.25">
      <c r="B16" s="38" t="s">
        <v>75</v>
      </c>
      <c r="C16" s="38" t="str">
        <f t="array" aca="1" ref="C16" ca="1">_xll.VIEW(db_name&amp;":}ElementAttributes_variables","!","!")</f>
        <v>dcceew_geus:}ElementAttributes_variables</v>
      </c>
    </row>
    <row r="17" spans="2:8" hidden="1" outlineLevel="1" x14ac:dyDescent="0.25">
      <c r="B17" s="38" t="s">
        <v>76</v>
      </c>
      <c r="C17" s="38" t="str">
        <f t="array" aca="1" ref="C17" ca="1">_xll.DBR($C$16,$B17,"value")</f>
        <v>*KEY_ERR</v>
      </c>
    </row>
    <row r="18" spans="2:8" hidden="1" outlineLevel="1" x14ac:dyDescent="0.25">
      <c r="B18" s="38" t="s">
        <v>77</v>
      </c>
      <c r="C18" s="38" t="str">
        <f t="array" aca="1" ref="C18" ca="1">_xll.DBR($C$16,$B18,"value")</f>
        <v>*KEY_ERR</v>
      </c>
    </row>
    <row r="19" spans="2:8" hidden="1" outlineLevel="1" x14ac:dyDescent="0.25">
      <c r="B19" s="39"/>
      <c r="C19" s="39"/>
    </row>
    <row r="20" spans="2:8" hidden="1" outlineLevel="1" x14ac:dyDescent="0.25">
      <c r="B20" s="51" t="s">
        <v>78</v>
      </c>
      <c r="C20" s="51"/>
    </row>
    <row r="21" spans="2:8" hidden="1" outlineLevel="1" x14ac:dyDescent="0.25">
      <c r="B21" s="38" t="s">
        <v>75</v>
      </c>
      <c r="C21" s="38" t="str">
        <f t="array" aca="1" ref="C21" ca="1">_xll.VIEW(db_name&amp;":sys_ME variable","!","!")</f>
        <v>dcceew_geus:sys_ME variable</v>
      </c>
    </row>
    <row r="22" spans="2:8" hidden="1" outlineLevel="1" x14ac:dyDescent="0.25">
      <c r="B22" s="38" t="s">
        <v>79</v>
      </c>
      <c r="C22" s="38" t="str">
        <f t="array" aca="1" ref="C22" ca="1">_xll.DBR($C$21,$B22,"value")</f>
        <v>*KEY_ERR</v>
      </c>
    </row>
    <row r="23" spans="2:8" hidden="1" outlineLevel="1" x14ac:dyDescent="0.25">
      <c r="B23" s="38" t="s">
        <v>80</v>
      </c>
      <c r="C23" s="38" t="str">
        <f t="array" aca="1" ref="C23" ca="1">_xll.DBR($C$21,$B23,"value")</f>
        <v>*KEY_ERR</v>
      </c>
    </row>
    <row r="24" spans="2:8" hidden="1" outlineLevel="1" x14ac:dyDescent="0.25">
      <c r="B24" s="38" t="s">
        <v>81</v>
      </c>
      <c r="C24" s="38" t="str">
        <f t="array" aca="1" ref="C24" ca="1">_xll.DBR($C$21,$B24,"value")</f>
        <v>*KEY_ERR</v>
      </c>
    </row>
    <row r="25" spans="2:8" hidden="1" outlineLevel="1" x14ac:dyDescent="0.25"/>
    <row r="26" spans="2:8" hidden="1" outlineLevel="1" x14ac:dyDescent="0.25">
      <c r="B26" s="20" t="s">
        <v>4</v>
      </c>
      <c r="C26" s="20" t="s">
        <v>5</v>
      </c>
      <c r="D26" s="20" t="s">
        <v>6</v>
      </c>
      <c r="F26" s="6" t="s">
        <v>101</v>
      </c>
      <c r="G26" s="6" t="s">
        <v>108</v>
      </c>
      <c r="H26" s="6" t="s">
        <v>109</v>
      </c>
    </row>
    <row r="27" spans="2:8" hidden="1" outlineLevel="1" x14ac:dyDescent="0.25">
      <c r="B27" s="6" t="s">
        <v>7</v>
      </c>
      <c r="C27" s="3"/>
      <c r="D27" s="40" t="str">
        <f ca="1">_xll.VIEW(db_name&amp;":ME reporting",$L$63,$L$64,"!","!","!","!","!","!","!","!","!","!")</f>
        <v>dcceew_geus:ME reporting</v>
      </c>
    </row>
    <row r="28" spans="2:8" hidden="1" outlineLevel="1" x14ac:dyDescent="0.25">
      <c r="B28" s="6" t="s">
        <v>8</v>
      </c>
      <c r="C28" s="6" t="str">
        <f ca="1">IF($P$63="N Level",$F28,IF($P$63="Show Totals",$G28,$H28))</f>
        <v>{TM1FILTERBYLEVEL( {TM1DRILLDOWNMEMBER( {[account].[6210000]}, ALL, RECURSIVE )}, 0)}</v>
      </c>
      <c r="D28" s="6" t="str">
        <f ca="1">_xll.TM1RPTVIEW(db_name&amp;":ME reporting:2", 1, _xll.TM1RPTTITLE(db_name&amp;":headline year",$L$63), _xll.TM1RPTTITLE(db_name&amp;":scenario",$L$64),_xll.TM1RPTTITLE(db_name&amp;":ME reporting measure",$C$45),TM1RPTFMTRNG,TM1RPTFMTIDCOL)</f>
        <v>dcceew_geus:ME reporting:2</v>
      </c>
      <c r="F28" s="6" t="s">
        <v>9</v>
      </c>
      <c r="G28" s="6" t="s">
        <v>110</v>
      </c>
      <c r="H28" s="6" t="s">
        <v>102</v>
      </c>
    </row>
    <row r="29" spans="2:8" hidden="1" outlineLevel="1" x14ac:dyDescent="0.25">
      <c r="B29" s="6" t="s">
        <v>10</v>
      </c>
      <c r="C29" s="6" t="str">
        <f t="shared" ref="C29:C33" ca="1" si="0">IF($P$63="N Level",$F29,IF($P$63="Show Totals",$G29,$H29))</f>
        <v>{TM1FILTERBYLEVEL( {TM1DRILLDOWNMEMBER( {[account].[6220000]}, ALL, RECURSIVE )}, 0)}</v>
      </c>
      <c r="D29" s="6" t="str">
        <f ca="1">_xll.TM1RPTVIEW(db_name&amp;":ME reporting:ARPT1", 1, _xll.TM1RPTTITLE(db_name&amp;":headline year",$L$63), _xll.TM1RPTTITLE(db_name&amp;":scenario",$L$64),_xll.TM1RPTTITLE(db_name&amp;":ME reporting measure",$C$45),TM1RPTFMTRNG,TM1RPTFMTIDCOL)</f>
        <v>dcceew_geus:ME reporting:ARPT1</v>
      </c>
      <c r="F29" s="6" t="s">
        <v>11</v>
      </c>
      <c r="G29" s="6" t="s">
        <v>111</v>
      </c>
      <c r="H29" s="6" t="s">
        <v>103</v>
      </c>
    </row>
    <row r="30" spans="2:8" hidden="1" outlineLevel="1" x14ac:dyDescent="0.25">
      <c r="B30" s="6" t="s">
        <v>12</v>
      </c>
      <c r="C30" s="6" t="str">
        <f t="shared" ca="1" si="0"/>
        <v>{TM1FILTERBYLEVEL( {TM1DRILLDOWNMEMBER( {[account].[6230000]}, ALL, RECURSIVE )}, 0)}</v>
      </c>
      <c r="D30" s="6" t="str">
        <f ca="1">_xll.TM1RPTVIEW(db_name&amp;":ME reporting:ARPT2", 1,_xll.TM1RPTTITLE(db_name&amp;":headline year",$L$63), _xll.TM1RPTTITLE(db_name&amp;":scenario",$L$64),_xll.TM1RPTTITLE(db_name&amp;":ME reporting measure",$C$45),TM1RPTFMTRNG,TM1RPTFMTIDCOL)</f>
        <v>dcceew_geus:ME reporting:ARPT2</v>
      </c>
      <c r="F30" s="6" t="s">
        <v>13</v>
      </c>
      <c r="G30" s="6" t="s">
        <v>112</v>
      </c>
      <c r="H30" s="6" t="s">
        <v>104</v>
      </c>
    </row>
    <row r="31" spans="2:8" hidden="1" outlineLevel="1" x14ac:dyDescent="0.25">
      <c r="B31" s="6" t="s">
        <v>14</v>
      </c>
      <c r="C31" s="6" t="str">
        <f t="shared" ca="1" si="0"/>
        <v>{TM1FILTERBYLEVEL( {TM1DRILLDOWNMEMBER( {[account].[6800000]}, ALL, RECURSIVE )}, 0)}</v>
      </c>
      <c r="D31" s="6" t="str">
        <f ca="1">_xll.TM1RPTVIEW(db_name&amp;":ME reporting:ARPT3", 1, _xll.TM1RPTTITLE(db_name&amp;":headline year",$L$63), _xll.TM1RPTTITLE(db_name&amp;":scenario",$L$64),_xll.TM1RPTTITLE(db_name&amp;":ME reporting measure",$C$45),TM1RPTFMTRNG,TM1RPTFMTIDCOL)</f>
        <v>dcceew_geus:ME reporting:ARPT3</v>
      </c>
      <c r="F31" s="6" t="s">
        <v>15</v>
      </c>
      <c r="G31" s="6" t="s">
        <v>113</v>
      </c>
      <c r="H31" s="6" t="s">
        <v>105</v>
      </c>
    </row>
    <row r="32" spans="2:8" hidden="1" outlineLevel="1" x14ac:dyDescent="0.25">
      <c r="B32" s="6" t="s">
        <v>16</v>
      </c>
      <c r="C32" s="6" t="str">
        <f t="shared" ca="1" si="0"/>
        <v>{TM1FILTERBYLEVEL( {TM1DRILLDOWNMEMBER( {[account].[6900000]}, ALL, RECURSIVE )}, 0)}</v>
      </c>
      <c r="D32" s="6" t="str">
        <f ca="1">_xll.TM1RPTVIEW(db_name&amp;":ME reporting:ARPT4", 1, _xll.TM1RPTTITLE(db_name&amp;":headline year",$L$63), _xll.TM1RPTTITLE(db_name&amp;":scenario",$L$64),_xll.TM1RPTTITLE(db_name&amp;":ME reporting measure",$C$45),TM1RPTFMTRNG,TM1RPTFMTIDCOL)</f>
        <v>dcceew_geus:ME reporting:ARPT4</v>
      </c>
      <c r="F32" s="6" t="s">
        <v>17</v>
      </c>
      <c r="G32" s="6" t="s">
        <v>114</v>
      </c>
      <c r="H32" s="6" t="s">
        <v>106</v>
      </c>
    </row>
    <row r="33" spans="2:29" hidden="1" outlineLevel="1" x14ac:dyDescent="0.25">
      <c r="B33" s="6" t="s">
        <v>18</v>
      </c>
      <c r="C33" s="6" t="str">
        <f t="shared" ca="1" si="0"/>
        <v>{TM1FILTERBYLEVEL( {TM1DRILLDOWNMEMBER( {[account].[6100001]}, ALL, RECURSIVE )}, 0)}</v>
      </c>
      <c r="D33" s="25" t="s">
        <v>116</v>
      </c>
      <c r="F33" s="6" t="s">
        <v>19</v>
      </c>
      <c r="G33" s="6" t="s">
        <v>115</v>
      </c>
      <c r="H33" s="6" t="s">
        <v>107</v>
      </c>
      <c r="K33" s="1"/>
    </row>
    <row r="34" spans="2:29" hidden="1" outlineLevel="1" x14ac:dyDescent="0.25">
      <c r="B34" s="6" t="s">
        <v>21</v>
      </c>
      <c r="C34" s="6" t="s">
        <v>22</v>
      </c>
      <c r="D34" s="6" t="s">
        <v>23</v>
      </c>
      <c r="K34" s="1"/>
      <c r="N34" s="22" t="s">
        <v>24</v>
      </c>
      <c r="O34" s="23" t="s">
        <v>25</v>
      </c>
      <c r="P34" s="22"/>
      <c r="Q34" s="24"/>
      <c r="R34" s="22" t="s">
        <v>25</v>
      </c>
      <c r="S34" s="22" t="s">
        <v>25</v>
      </c>
      <c r="T34" s="22" t="s">
        <v>25</v>
      </c>
      <c r="U34" s="22" t="s">
        <v>25</v>
      </c>
      <c r="V34" s="22" t="s">
        <v>25</v>
      </c>
      <c r="W34" s="22" t="s">
        <v>25</v>
      </c>
      <c r="X34" s="22" t="s">
        <v>25</v>
      </c>
      <c r="Y34" s="22" t="s">
        <v>25</v>
      </c>
      <c r="Z34" s="22" t="s">
        <v>25</v>
      </c>
      <c r="AA34" s="22" t="s">
        <v>25</v>
      </c>
      <c r="AB34" s="22" t="s">
        <v>25</v>
      </c>
      <c r="AC34" s="22" t="s">
        <v>25</v>
      </c>
    </row>
    <row r="35" spans="2:29" hidden="1" outlineLevel="1" x14ac:dyDescent="0.25">
      <c r="B35" s="6" t="s">
        <v>26</v>
      </c>
      <c r="C35" s="6" t="str">
        <f ca="1">"{{TM1FILTERBYLEVEL( {TM1DRILLDOWNMEMBER( {[programme].[" &amp;$L$66 &amp;"]}, ALL, RECURSIVE )}, 0)},{[programme].[" &amp;$L$66 &amp;"]}}"</f>
        <v>{{TM1FILTERBYLEVEL( {TM1DRILLDOWNMEMBER( {[programme].[]}, ALL, RECURSIVE )}, 0)},{[programme].[]}}</v>
      </c>
      <c r="D35" s="6" t="str">
        <f ca="1">"{TM1FILTERBYLEVEL( {TM1DRILLDOWNMEMBER( {[programme].[" &amp;$L$66 &amp;"]}, ALL, RECURSIVE )}, 0)}"</f>
        <v>{TM1FILTERBYLEVEL( {TM1DRILLDOWNMEMBER( {[programme].[]}, ALL, RECURSIVE )}, 0)}</v>
      </c>
      <c r="K35" s="1"/>
      <c r="N35" s="22" t="s">
        <v>28</v>
      </c>
      <c r="O35" s="22" t="s">
        <v>28</v>
      </c>
      <c r="P35" s="22"/>
      <c r="Q35" s="24"/>
      <c r="R35" s="22" t="str">
        <f ca="1">R36</f>
        <v>Jul YTD</v>
      </c>
      <c r="S35" s="22" t="str">
        <f t="shared" ref="S35:AC35" ca="1" si="1">S36</f>
        <v>Aug YTD</v>
      </c>
      <c r="T35" s="22" t="str">
        <f t="shared" ca="1" si="1"/>
        <v>Sep YTD</v>
      </c>
      <c r="U35" s="22" t="str">
        <f t="shared" ca="1" si="1"/>
        <v>Oct YTD</v>
      </c>
      <c r="V35" s="22" t="str">
        <f t="shared" ca="1" si="1"/>
        <v>Nov YTD</v>
      </c>
      <c r="W35" s="22" t="str">
        <f t="shared" ca="1" si="1"/>
        <v>Dec YTD</v>
      </c>
      <c r="X35" s="22" t="str">
        <f t="shared" ca="1" si="1"/>
        <v>Jan YTD</v>
      </c>
      <c r="Y35" s="22" t="str">
        <f t="shared" ca="1" si="1"/>
        <v>Feb YTD</v>
      </c>
      <c r="Z35" s="22" t="str">
        <f t="shared" ca="1" si="1"/>
        <v>Mar YTD</v>
      </c>
      <c r="AA35" s="22" t="str">
        <f t="shared" ca="1" si="1"/>
        <v>Apr YTD</v>
      </c>
      <c r="AB35" s="22" t="str">
        <f t="shared" ca="1" si="1"/>
        <v>May YTD</v>
      </c>
      <c r="AC35" s="22" t="str">
        <f t="shared" ca="1" si="1"/>
        <v>Jun YTD</v>
      </c>
    </row>
    <row r="36" spans="2:29" hidden="1" outlineLevel="1" x14ac:dyDescent="0.25">
      <c r="B36" s="6" t="s">
        <v>29</v>
      </c>
      <c r="C36" s="6" t="s">
        <v>30</v>
      </c>
      <c r="D36" s="6" t="s">
        <v>31</v>
      </c>
      <c r="K36" s="1"/>
      <c r="N36" s="22"/>
      <c r="O36" s="22"/>
      <c r="P36" s="22"/>
      <c r="Q36" s="24"/>
      <c r="R36" s="22" t="str">
        <f t="shared" ref="R36:AC36" ca="1" si="2">IF($L$68="Data Entry",R$37,R$37 &amp; " YTD")</f>
        <v>Jul YTD</v>
      </c>
      <c r="S36" s="22" t="str">
        <f t="shared" ca="1" si="2"/>
        <v>Aug YTD</v>
      </c>
      <c r="T36" s="22" t="str">
        <f t="shared" ca="1" si="2"/>
        <v>Sep YTD</v>
      </c>
      <c r="U36" s="22" t="str">
        <f t="shared" ca="1" si="2"/>
        <v>Oct YTD</v>
      </c>
      <c r="V36" s="22" t="str">
        <f t="shared" ca="1" si="2"/>
        <v>Nov YTD</v>
      </c>
      <c r="W36" s="22" t="str">
        <f t="shared" ca="1" si="2"/>
        <v>Dec YTD</v>
      </c>
      <c r="X36" s="22" t="str">
        <f t="shared" ca="1" si="2"/>
        <v>Jan YTD</v>
      </c>
      <c r="Y36" s="22" t="str">
        <f t="shared" ca="1" si="2"/>
        <v>Feb YTD</v>
      </c>
      <c r="Z36" s="22" t="str">
        <f t="shared" ca="1" si="2"/>
        <v>Mar YTD</v>
      </c>
      <c r="AA36" s="22" t="str">
        <f t="shared" ca="1" si="2"/>
        <v>Apr YTD</v>
      </c>
      <c r="AB36" s="22" t="str">
        <f t="shared" ca="1" si="2"/>
        <v>May YTD</v>
      </c>
      <c r="AC36" s="22" t="str">
        <f t="shared" ca="1" si="2"/>
        <v>Jun YTD</v>
      </c>
    </row>
    <row r="37" spans="2:29" hidden="1" outlineLevel="1" x14ac:dyDescent="0.25">
      <c r="B37" s="4" t="s">
        <v>20</v>
      </c>
      <c r="C37" s="6" t="s">
        <v>33</v>
      </c>
      <c r="D37" s="6" t="s">
        <v>34</v>
      </c>
      <c r="N37" s="22"/>
      <c r="O37" s="22"/>
      <c r="P37" s="22"/>
      <c r="Q37" s="24"/>
      <c r="R37" s="22" t="s">
        <v>35</v>
      </c>
      <c r="S37" s="22" t="s">
        <v>36</v>
      </c>
      <c r="T37" s="22" t="s">
        <v>37</v>
      </c>
      <c r="U37" s="22" t="s">
        <v>38</v>
      </c>
      <c r="V37" s="22" t="s">
        <v>39</v>
      </c>
      <c r="W37" s="22" t="s">
        <v>40</v>
      </c>
      <c r="X37" s="22" t="s">
        <v>41</v>
      </c>
      <c r="Y37" s="22" t="s">
        <v>42</v>
      </c>
      <c r="Z37" s="22" t="s">
        <v>43</v>
      </c>
      <c r="AA37" s="22" t="s">
        <v>44</v>
      </c>
      <c r="AB37" s="22" t="s">
        <v>45</v>
      </c>
      <c r="AC37" s="22" t="s">
        <v>46</v>
      </c>
    </row>
    <row r="38" spans="2:29" hidden="1" outlineLevel="1" x14ac:dyDescent="0.25">
      <c r="B38" s="4" t="s">
        <v>32</v>
      </c>
      <c r="C38" s="6" t="s">
        <v>47</v>
      </c>
      <c r="D38" s="6" t="s">
        <v>48</v>
      </c>
    </row>
    <row r="39" spans="2:29" hidden="1" outlineLevel="1" x14ac:dyDescent="0.25">
      <c r="B39" s="4" t="s">
        <v>20</v>
      </c>
      <c r="C39" s="21" t="str">
        <f ca="1">_xll.SUBNM(db_name&amp;":related entity","","Total related entity")</f>
        <v/>
      </c>
      <c r="D39" s="2" t="s">
        <v>49</v>
      </c>
    </row>
    <row r="40" spans="2:29" hidden="1" outlineLevel="1" x14ac:dyDescent="0.25">
      <c r="B40" s="4" t="s">
        <v>21</v>
      </c>
      <c r="C40" s="21" t="str">
        <f ca="1">_xll.SUBNM(db_name&amp;":function","","Total functions")</f>
        <v/>
      </c>
    </row>
    <row r="41" spans="2:29" hidden="1" outlineLevel="1" x14ac:dyDescent="0.25">
      <c r="B41" s="4" t="s">
        <v>27</v>
      </c>
      <c r="C41" s="21" t="str">
        <f ca="1">_xll.SUBNM(db_name&amp;":movement account","","Total movement")</f>
        <v/>
      </c>
    </row>
    <row r="42" spans="2:29" hidden="1" outlineLevel="1" x14ac:dyDescent="0.25">
      <c r="B42" s="4" t="s">
        <v>32</v>
      </c>
      <c r="C42" s="21" t="str">
        <f ca="1">_xll.SUBNM(db_name&amp;":jurisdiction","","Total jurisdictions")</f>
        <v/>
      </c>
    </row>
    <row r="43" spans="2:29" hidden="1" outlineLevel="1" x14ac:dyDescent="0.25">
      <c r="B43" s="4" t="s">
        <v>82</v>
      </c>
      <c r="C43" s="21" t="str">
        <f ca="1">_xll.SUBNM(db_name&amp;":spp","","Total SPP")</f>
        <v/>
      </c>
      <c r="D43" s="1"/>
      <c r="E43" s="1"/>
    </row>
    <row r="44" spans="2:29" hidden="1" outlineLevel="1" x14ac:dyDescent="0.25">
      <c r="B44" s="4" t="s">
        <v>83</v>
      </c>
      <c r="C44" s="21" t="str">
        <f ca="1">_xll.SUBNM(db_name&amp;":appropriation item","","Total approp item")</f>
        <v/>
      </c>
      <c r="D44" s="1"/>
      <c r="E44" s="1"/>
    </row>
    <row r="45" spans="2:29" hidden="1" outlineLevel="1" x14ac:dyDescent="0.25">
      <c r="B45" s="41" t="s">
        <v>84</v>
      </c>
      <c r="C45" s="38" t="str">
        <f t="array" aca="1" ref="C45" ca="1">_xll.SUBNM(db_name&amp;":ME reporting measure","","value")</f>
        <v/>
      </c>
      <c r="D45" s="1"/>
      <c r="E45" s="1"/>
    </row>
    <row r="46" spans="2:29" hidden="1" outlineLevel="1" x14ac:dyDescent="0.25">
      <c r="B46" s="42"/>
      <c r="D46" s="1"/>
      <c r="E46" s="1"/>
    </row>
    <row r="47" spans="2:29" hidden="1" outlineLevel="1" x14ac:dyDescent="0.25">
      <c r="B47" s="51" t="s">
        <v>85</v>
      </c>
      <c r="C47" s="51"/>
      <c r="D47" s="39"/>
      <c r="E47" s="39"/>
      <c r="F47" s="39"/>
      <c r="G47" s="39"/>
      <c r="H47" s="39"/>
    </row>
    <row r="48" spans="2:29" hidden="1" outlineLevel="1" x14ac:dyDescent="0.25">
      <c r="B48" s="43" t="s">
        <v>75</v>
      </c>
      <c r="C48" s="43" t="str">
        <f t="array" aca="1" ref="C48" ca="1">_xll.VIEW(db_name&amp;":sys_application","!","!")</f>
        <v>dcceew_geus:sys_application</v>
      </c>
      <c r="D48" s="39"/>
      <c r="E48" s="39"/>
      <c r="F48" s="39"/>
      <c r="G48" s="39"/>
      <c r="H48" s="39"/>
    </row>
    <row r="49" spans="2:29" hidden="1" outlineLevel="1" x14ac:dyDescent="0.25">
      <c r="B49" s="38"/>
      <c r="C49" s="44" t="s">
        <v>86</v>
      </c>
      <c r="D49" s="44" t="s">
        <v>87</v>
      </c>
      <c r="E49" s="44" t="s">
        <v>88</v>
      </c>
      <c r="F49" s="44" t="s">
        <v>89</v>
      </c>
      <c r="G49" s="44" t="s">
        <v>90</v>
      </c>
      <c r="H49" s="44" t="s">
        <v>91</v>
      </c>
    </row>
    <row r="50" spans="2:29" hidden="1" outlineLevel="1" x14ac:dyDescent="0.25">
      <c r="B50" s="38" t="s">
        <v>92</v>
      </c>
      <c r="C50" s="38" t="str">
        <f ca="1">_xll.DBR($C$48,$B50,C$49)</f>
        <v>*KEY_ERR</v>
      </c>
      <c r="D50" s="38" t="str">
        <f ca="1">_xll.DBR($C$48,$B50,D$49)</f>
        <v>*KEY_ERR</v>
      </c>
      <c r="E50" s="38" t="str">
        <f ca="1">_xll.DBR($C$48,$B50,E$49)</f>
        <v>*KEY_ERR</v>
      </c>
      <c r="F50" s="38" t="str">
        <f ca="1">_xll.DBR($C$48,$B50,F$49)</f>
        <v>*KEY_ERR</v>
      </c>
      <c r="G50" s="38" t="str">
        <f ca="1">_xll.DBR($C$48,$B50,G$49)</f>
        <v>*KEY_ERR</v>
      </c>
      <c r="H50" s="38" t="str">
        <f ca="1">_xll.DBR($C$48,$B50,H$49)</f>
        <v>*KEY_ERR</v>
      </c>
    </row>
    <row r="51" spans="2:29" hidden="1" outlineLevel="1" x14ac:dyDescent="0.25">
      <c r="B51" s="38" t="s">
        <v>93</v>
      </c>
      <c r="C51" s="38" t="str">
        <f ca="1">_xll.DBR($C$48,$B51,C$49)</f>
        <v>*KEY_ERR</v>
      </c>
      <c r="D51" s="38" t="str">
        <f ca="1">_xll.DBR($C$48,$B51,D$49)</f>
        <v>*KEY_ERR</v>
      </c>
      <c r="E51" s="38" t="str">
        <f ca="1">_xll.DBR($C$48,$B51,E$49)</f>
        <v>*KEY_ERR</v>
      </c>
      <c r="F51" s="38" t="str">
        <f ca="1">_xll.DBR($C$48,$B51,F$49)</f>
        <v>*KEY_ERR</v>
      </c>
      <c r="G51" s="38" t="str">
        <f ca="1">_xll.DBR($C$48,$B51,G$49)</f>
        <v>*KEY_ERR</v>
      </c>
      <c r="H51" s="38" t="str">
        <f ca="1">_xll.DBR($C$48,$B51,H$49)</f>
        <v>*KEY_ERR</v>
      </c>
    </row>
    <row r="52" spans="2:29" hidden="1" outlineLevel="1" x14ac:dyDescent="0.25">
      <c r="B52" s="38" t="s">
        <v>94</v>
      </c>
      <c r="C52" s="38" t="str">
        <f ca="1">_xll.DBR($C$48,$B52,C$49)</f>
        <v>*KEY_ERR</v>
      </c>
      <c r="D52" s="38" t="str">
        <f ca="1">_xll.DBR($C$48,$B52,D$49)</f>
        <v>*KEY_ERR</v>
      </c>
      <c r="E52" s="38" t="str">
        <f ca="1">_xll.DBR($C$48,$B52,E$49)</f>
        <v>*KEY_ERR</v>
      </c>
      <c r="F52" s="38" t="str">
        <f ca="1">_xll.DBR($C$48,$B52,F$49)</f>
        <v>*KEY_ERR</v>
      </c>
      <c r="G52" s="38" t="str">
        <f ca="1">_xll.DBR($C$48,$B52,G$49)</f>
        <v>*KEY_ERR</v>
      </c>
      <c r="H52" s="38" t="str">
        <f ca="1">_xll.DBR($C$48,$B52,H$49)</f>
        <v>*KEY_ERR</v>
      </c>
    </row>
    <row r="53" spans="2:29" hidden="1" outlineLevel="1" x14ac:dyDescent="0.25">
      <c r="B53" s="38" t="s">
        <v>95</v>
      </c>
      <c r="C53" s="38" t="str">
        <f ca="1">_xll.DBR($C$48,$B53,C$49)</f>
        <v>*KEY_ERR</v>
      </c>
      <c r="D53" s="38" t="str">
        <f ca="1">_xll.DBR($C$48,$B53,D$49)</f>
        <v>*KEY_ERR</v>
      </c>
      <c r="E53" s="38" t="str">
        <f ca="1">_xll.DBR($C$48,$B53,E$49)</f>
        <v>*KEY_ERR</v>
      </c>
      <c r="F53" s="38" t="str">
        <f ca="1">_xll.DBR($C$48,$B53,F$49)</f>
        <v>*KEY_ERR</v>
      </c>
      <c r="G53" s="38" t="str">
        <f ca="1">_xll.DBR($C$48,$B53,G$49)</f>
        <v>*KEY_ERR</v>
      </c>
      <c r="H53" s="38" t="str">
        <f ca="1">_xll.DBR($C$48,$B53,H$49)</f>
        <v>*KEY_ERR</v>
      </c>
    </row>
    <row r="54" spans="2:29" hidden="1" outlineLevel="1" x14ac:dyDescent="0.25">
      <c r="B54" s="38" t="s">
        <v>96</v>
      </c>
      <c r="C54" s="38" t="str">
        <f ca="1">_xll.DBR($C$48,$B54,C$49)</f>
        <v>*KEY_ERR</v>
      </c>
      <c r="D54" s="38" t="str">
        <f ca="1">_xll.DBR($C$48,$B54,D$49)</f>
        <v>*KEY_ERR</v>
      </c>
      <c r="E54" s="38" t="str">
        <f ca="1">_xll.DBR($C$48,$B54,E$49)</f>
        <v>*KEY_ERR</v>
      </c>
      <c r="F54" s="38" t="str">
        <f ca="1">_xll.DBR($C$48,$B54,F$49)</f>
        <v>*KEY_ERR</v>
      </c>
      <c r="G54" s="38" t="str">
        <f ca="1">_xll.DBR($C$48,$B54,G$49)</f>
        <v>*KEY_ERR</v>
      </c>
      <c r="H54" s="38" t="str">
        <f ca="1">_xll.DBR($C$48,$B54,H$49)</f>
        <v>*KEY_ERR</v>
      </c>
    </row>
    <row r="55" spans="2:29" hidden="1" outlineLevel="1" x14ac:dyDescent="0.25"/>
    <row r="56" spans="2:29" hidden="1" outlineLevel="1" x14ac:dyDescent="0.25"/>
    <row r="57" spans="2:29" ht="36" customHeight="1" collapsed="1" x14ac:dyDescent="0.25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9" t="s">
        <v>98</v>
      </c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pans="2:29" ht="4.5" customHeight="1" x14ac:dyDescent="0.25">
      <c r="B58" s="46"/>
      <c r="C58" s="46"/>
      <c r="D58" s="47"/>
      <c r="E58" s="47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7"/>
      <c r="R58" s="47"/>
      <c r="S58" s="46"/>
      <c r="T58" s="46"/>
      <c r="U58" s="46"/>
      <c r="V58" s="47"/>
      <c r="W58" s="46"/>
      <c r="X58" s="46"/>
      <c r="Y58" s="46"/>
      <c r="Z58" s="46"/>
      <c r="AA58" s="46"/>
      <c r="AB58" s="46"/>
      <c r="AC58" s="46"/>
    </row>
    <row r="59" spans="2:29" ht="24.6" customHeight="1" x14ac:dyDescent="0.25"/>
    <row r="60" spans="2:29" ht="1.5" customHeight="1" x14ac:dyDescent="0.25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pans="2:29" ht="7.5" customHeight="1" x14ac:dyDescent="0.25"/>
    <row r="62" spans="2:29" x14ac:dyDescent="0.25">
      <c r="L62" s="48" t="s">
        <v>97</v>
      </c>
      <c r="P62" s="48" t="s">
        <v>99</v>
      </c>
    </row>
    <row r="63" spans="2:29" x14ac:dyDescent="0.25">
      <c r="C63" s="25"/>
      <c r="K63" s="26" t="s">
        <v>50</v>
      </c>
      <c r="L63" s="21" t="str">
        <f ca="1">_xll.SUBNM(db_name&amp;":headline year","ME Default",$C$22)</f>
        <v/>
      </c>
      <c r="O63" s="26" t="s">
        <v>100</v>
      </c>
      <c r="P63" s="50" t="s">
        <v>101</v>
      </c>
    </row>
    <row r="64" spans="2:29" x14ac:dyDescent="0.25">
      <c r="K64" s="26" t="s">
        <v>51</v>
      </c>
      <c r="L64" s="21" t="str">
        <f ca="1">_xll.SUBNM(db_name&amp;":scenario","","current")</f>
        <v/>
      </c>
    </row>
    <row r="65" spans="1:29" hidden="1" x14ac:dyDescent="0.25">
      <c r="K65" s="26" t="s">
        <v>52</v>
      </c>
      <c r="L65" s="6" t="str">
        <f ca="1">_xll.SUBNM(db_name&amp;":status","","data")</f>
        <v/>
      </c>
    </row>
    <row r="66" spans="1:29" x14ac:dyDescent="0.25">
      <c r="K66" s="26" t="s">
        <v>26</v>
      </c>
      <c r="L66" s="21" t="str">
        <f ca="1">_xll.SUBNM(db_name&amp;":programme","sys_ME programs","Administered programmes","code and description")</f>
        <v/>
      </c>
    </row>
    <row r="67" spans="1:29" ht="5.0999999999999996" customHeight="1" x14ac:dyDescent="0.25">
      <c r="K67" s="1"/>
    </row>
    <row r="68" spans="1:29" x14ac:dyDescent="0.25">
      <c r="K68" s="27" t="s">
        <v>53</v>
      </c>
      <c r="L68" s="21" t="s">
        <v>54</v>
      </c>
    </row>
    <row r="69" spans="1:29" ht="5.0999999999999996" customHeight="1" x14ac:dyDescent="0.25">
      <c r="B69" s="25"/>
      <c r="C69" s="27"/>
    </row>
    <row r="70" spans="1:29" x14ac:dyDescent="0.25">
      <c r="B70" s="28" t="s">
        <v>55</v>
      </c>
      <c r="J70" s="28" t="s">
        <v>55</v>
      </c>
    </row>
    <row r="71" spans="1:29" s="29" customFormat="1" ht="30" x14ac:dyDescent="0.25">
      <c r="B71" s="30" t="s">
        <v>56</v>
      </c>
      <c r="C71" s="30" t="s">
        <v>26</v>
      </c>
      <c r="D71" s="30" t="s">
        <v>57</v>
      </c>
      <c r="E71" s="30" t="s">
        <v>58</v>
      </c>
      <c r="F71" s="30" t="s">
        <v>59</v>
      </c>
      <c r="G71" s="30"/>
      <c r="H71" s="30"/>
      <c r="I71" s="31"/>
      <c r="J71" s="30" t="s">
        <v>56</v>
      </c>
      <c r="K71" s="30" t="s">
        <v>60</v>
      </c>
      <c r="L71" s="30" t="s">
        <v>26</v>
      </c>
      <c r="N71" s="30" t="s">
        <v>61</v>
      </c>
      <c r="O71" s="30" t="s">
        <v>62</v>
      </c>
      <c r="P71" s="30" t="s">
        <v>63</v>
      </c>
      <c r="Q71" s="31"/>
      <c r="R71" s="30" t="str">
        <f t="shared" ref="R71:AC71" ca="1" si="3">R$35</f>
        <v>Jul YTD</v>
      </c>
      <c r="S71" s="30" t="str">
        <f t="shared" ca="1" si="3"/>
        <v>Aug YTD</v>
      </c>
      <c r="T71" s="30" t="str">
        <f t="shared" ca="1" si="3"/>
        <v>Sep YTD</v>
      </c>
      <c r="U71" s="30" t="str">
        <f t="shared" ca="1" si="3"/>
        <v>Oct YTD</v>
      </c>
      <c r="V71" s="30" t="str">
        <f t="shared" ca="1" si="3"/>
        <v>Nov YTD</v>
      </c>
      <c r="W71" s="30" t="str">
        <f t="shared" ca="1" si="3"/>
        <v>Dec YTD</v>
      </c>
      <c r="X71" s="30" t="str">
        <f t="shared" ca="1" si="3"/>
        <v>Jan YTD</v>
      </c>
      <c r="Y71" s="30" t="str">
        <f t="shared" ca="1" si="3"/>
        <v>Feb YTD</v>
      </c>
      <c r="Z71" s="30" t="str">
        <f t="shared" ca="1" si="3"/>
        <v>Mar YTD</v>
      </c>
      <c r="AA71" s="30" t="str">
        <f t="shared" ca="1" si="3"/>
        <v>Apr YTD</v>
      </c>
      <c r="AB71" s="30" t="str">
        <f t="shared" ca="1" si="3"/>
        <v>May YTD</v>
      </c>
      <c r="AC71" s="30" t="str">
        <f t="shared" ca="1" si="3"/>
        <v>Jun YTD</v>
      </c>
    </row>
    <row r="72" spans="1:29" x14ac:dyDescent="0.25">
      <c r="A72" s="15" t="str">
        <f ca="1">IF(_xll.TM1RPTELISCONSOLIDATED(#REF!,#REF!),IF(_xll.TM1RPTELLEV(#REF!,#REF!)&lt;=3,_xll.TM1RPTELLEV(#REF!,#REF!),"D"),"N")</f>
        <v>N</v>
      </c>
      <c r="B72" s="32" t="str">
        <f ca="1">_xll.TM1RPTROW($D$28,db_name&amp;":account","","","code and description",0,$C$28)</f>
        <v/>
      </c>
      <c r="C72" s="36" t="str">
        <f ca="1">_xll.TM1RPTROW($D$28,db_name&amp;":programme","","","description",0,$C$35)</f>
        <v/>
      </c>
      <c r="D72" s="5" t="str">
        <f ca="1">_xll.DBRA(db_name&amp;":programme",$C72,D$39)</f>
        <v/>
      </c>
      <c r="E72" s="5" t="str">
        <f ca="1">_xll.DBRA(db_name&amp;":account",$B72,"description")</f>
        <v/>
      </c>
      <c r="F72" s="6" t="str">
        <f ca="1">IF(_xll.DIMIX(db_name&amp;":programme",$L$66)=_xll.DIMIX(db_name&amp;":programme",$C72),"Total " &amp; $E72,$C72)</f>
        <v xml:space="preserve">Total </v>
      </c>
      <c r="I72" s="16"/>
      <c r="J72" s="7" t="str">
        <f ca="1">IF($B72=$B71,"",$B72)</f>
        <v/>
      </c>
      <c r="K72" s="5" t="str">
        <f ca="1">$D72</f>
        <v/>
      </c>
      <c r="L72" s="6" t="str">
        <f ca="1">$F72</f>
        <v xml:space="preserve">Total </v>
      </c>
      <c r="M72" s="15"/>
      <c r="N72" s="17" t="str">
        <f ca="1">_xll.DBRW($D$28,$L$63,$L$64,$C$39,$C$43,$C$41,$C72,$C$44,$B72,N$34,$C$42,N$35,$C$45)</f>
        <v/>
      </c>
      <c r="O72" s="17" t="str">
        <f ca="1">_xll.DBRW($D$28,$L$63,$L$64,$C$39,$C$43,$C$41,$C72,$C$44,$B72,O$34,$C$42,O$35,$C$45)</f>
        <v/>
      </c>
      <c r="P72" s="17" t="e">
        <f ca="1">N72-O72</f>
        <v>#VALUE!</v>
      </c>
      <c r="Q72" s="18"/>
      <c r="R72" s="19" t="str">
        <f ca="1">_xll.DBRW($D$28,$L$63,$L$64,$C$39,$C$43,$C$41,$C72,$C$44,$B72,R$34,$C$42,R$35,$C$45)</f>
        <v/>
      </c>
      <c r="S72" s="19" t="str">
        <f ca="1">_xll.DBRW($D$28,$L$63,$L$64,$C$39,$C$43,$C$41,$C72,$C$44,$B72,S$34,$C$42,S$35,$C$45)</f>
        <v/>
      </c>
      <c r="T72" s="19" t="str">
        <f ca="1">_xll.DBRW($D$28,$L$63,$L$64,$C$39,$C$43,$C$41,$C72,$C$44,$B72,T$34,$C$42,T$35,$C$45)</f>
        <v/>
      </c>
      <c r="U72" s="19" t="str">
        <f ca="1">_xll.DBRW($D$28,$L$63,$L$64,$C$39,$C$43,$C$41,$C72,$C$44,$B72,U$34,$C$42,U$35,$C$45)</f>
        <v/>
      </c>
      <c r="V72" s="19" t="str">
        <f ca="1">_xll.DBRW($D$28,$L$63,$L$64,$C$39,$C$43,$C$41,$C72,$C$44,$B72,V$34,$C$42,V$35,$C$45)</f>
        <v/>
      </c>
      <c r="W72" s="19" t="str">
        <f ca="1">_xll.DBRW($D$28,$L$63,$L$64,$C$39,$C$43,$C$41,$C72,$C$44,$B72,W$34,$C$42,W$35,$C$45)</f>
        <v/>
      </c>
      <c r="X72" s="19" t="str">
        <f ca="1">_xll.DBRW($D$28,$L$63,$L$64,$C$39,$C$43,$C$41,$C72,$C$44,$B72,X$34,$C$42,X$35,$C$45)</f>
        <v/>
      </c>
      <c r="Y72" s="19" t="str">
        <f ca="1">_xll.DBRW($D$28,$L$63,$L$64,$C$39,$C$43,$C$41,$C72,$C$44,$B72,Y$34,$C$42,Y$35,$C$45)</f>
        <v/>
      </c>
      <c r="Z72" s="19" t="str">
        <f ca="1">_xll.DBRW($D$28,$L$63,$L$64,$C$39,$C$43,$C$41,$C72,$C$44,$B72,Z$34,$C$42,Z$35,$C$45)</f>
        <v/>
      </c>
      <c r="AA72" s="19" t="str">
        <f ca="1">_xll.DBRW($D$28,$L$63,$L$64,$C$39,$C$43,$C$41,$C72,$C$44,$B72,AA$34,$C$42,AA$35,$C$45)</f>
        <v/>
      </c>
      <c r="AB72" s="19" t="str">
        <f ca="1">_xll.DBRW($D$28,$L$63,$L$64,$C$39,$C$43,$C$41,$C72,$C$44,$B72,AB$34,$C$42,AB$35,$C$45)</f>
        <v/>
      </c>
      <c r="AC72" s="19" t="str">
        <f ca="1">_xll.DBRW($D$28,$L$63,$L$64,$C$39,$C$43,$C$41,$C72,$C$44,$B72,AC$34,$C$42,AC$35,$C$45)</f>
        <v/>
      </c>
    </row>
    <row r="73" spans="1:29" ht="9.9499999999999993" customHeight="1" x14ac:dyDescent="0.25"/>
    <row r="74" spans="1:29" x14ac:dyDescent="0.25">
      <c r="L74" s="33" t="s">
        <v>55</v>
      </c>
      <c r="M74" s="34"/>
      <c r="N74" s="35" t="str">
        <f ca="1">_xll.DBRW($D$27,$L$63,$L$64,"Total related entity",$C$43,"Total movement",$L$66,$C$44,"6210000",N$34,"Total jurisdictions",N$35,$C$45)</f>
        <v/>
      </c>
      <c r="O74" s="35" t="str">
        <f ca="1">_xll.DBRW($D$27,$L$63,$L$64,"Total related entity",$C$43,"Total movement",$L$66,$C$44,"6210000",O$34,"Total jurisdictions",O$35,$C$45)</f>
        <v/>
      </c>
      <c r="P74" s="35" t="e">
        <f ca="1">N74-O74</f>
        <v>#VALUE!</v>
      </c>
      <c r="Q74" s="34"/>
      <c r="R74" s="35" t="str">
        <f ca="1">_xll.DBRW($D$27,$L$63,$L$64,"Total related entity",$C$43,"Total movement",$L$66,$C$44,"6210000",R$34,"Total jurisdictions",R$35,$C$45)</f>
        <v/>
      </c>
      <c r="S74" s="35" t="str">
        <f ca="1">_xll.DBRW($D$27,$L$63,$L$64,"Total related entity",$C$43,"Total movement",$L$66,$C$44,"6210000",S$34,"Total jurisdictions",S$35,$C$45)</f>
        <v/>
      </c>
      <c r="T74" s="35" t="str">
        <f ca="1">_xll.DBRW($D$27,$L$63,$L$64,"Total related entity",$C$43,"Total movement",$L$66,$C$44,"6210000",T$34,"Total jurisdictions",T$35,$C$45)</f>
        <v/>
      </c>
      <c r="U74" s="35" t="str">
        <f ca="1">_xll.DBRW($D$27,$L$63,$L$64,"Total related entity",$C$43,"Total movement",$L$66,$C$44,"6210000",U$34,"Total jurisdictions",U$35,$C$45)</f>
        <v/>
      </c>
      <c r="V74" s="35" t="str">
        <f ca="1">_xll.DBRW($D$27,$L$63,$L$64,"Total related entity",$C$43,"Total movement",$L$66,$C$44,"6210000",V$34,"Total jurisdictions",V$35,$C$45)</f>
        <v/>
      </c>
      <c r="W74" s="35" t="str">
        <f ca="1">_xll.DBRW($D$27,$L$63,$L$64,"Total related entity",$C$43,"Total movement",$L$66,$C$44,"6210000",W$34,"Total jurisdictions",W$35,$C$45)</f>
        <v/>
      </c>
      <c r="X74" s="35" t="str">
        <f ca="1">_xll.DBRW($D$27,$L$63,$L$64,"Total related entity",$C$43,"Total movement",$L$66,$C$44,"6210000",X$34,"Total jurisdictions",X$35,$C$45)</f>
        <v/>
      </c>
      <c r="Y74" s="35" t="str">
        <f ca="1">_xll.DBRW($D$27,$L$63,$L$64,"Total related entity",$C$43,"Total movement",$L$66,$C$44,"6210000",Y$34,"Total jurisdictions",Y$35,$C$45)</f>
        <v/>
      </c>
      <c r="Z74" s="35" t="str">
        <f ca="1">_xll.DBRW($D$27,$L$63,$L$64,"Total related entity",$C$43,"Total movement",$L$66,$C$44,"6210000",Z$34,"Total jurisdictions",Z$35,$C$45)</f>
        <v/>
      </c>
      <c r="AA74" s="35" t="str">
        <f ca="1">_xll.DBRW($D$27,$L$63,$L$64,"Total related entity",$C$43,"Total movement",$L$66,$C$44,"6210000",AA$34,"Total jurisdictions",AA$35,$C$45)</f>
        <v/>
      </c>
      <c r="AB74" s="35" t="str">
        <f ca="1">_xll.DBRW($D$27,$L$63,$L$64,"Total related entity",$C$43,"Total movement",$L$66,$C$44,"6210000",AB$34,"Total jurisdictions",AB$35,$C$45)</f>
        <v/>
      </c>
      <c r="AC74" s="35" t="str">
        <f ca="1">_xll.DBRW($D$27,$L$63,$L$64,"Total related entity",$C$43,"Total movement",$L$66,$C$44,"6210000",AC$34,"Total jurisdictions",AC$35,$C$45)</f>
        <v/>
      </c>
    </row>
    <row r="75" spans="1:29" x14ac:dyDescent="0.25">
      <c r="B75" s="28" t="s">
        <v>64</v>
      </c>
      <c r="J75" s="28" t="s">
        <v>64</v>
      </c>
    </row>
    <row r="76" spans="1:29" s="29" customFormat="1" ht="30" x14ac:dyDescent="0.25">
      <c r="B76" s="30" t="s">
        <v>56</v>
      </c>
      <c r="C76" s="30" t="s">
        <v>26</v>
      </c>
      <c r="D76" s="30"/>
      <c r="E76" s="30"/>
      <c r="F76" s="30"/>
      <c r="G76" s="30"/>
      <c r="H76" s="30"/>
      <c r="I76" s="31"/>
      <c r="J76" s="30" t="s">
        <v>56</v>
      </c>
      <c r="K76" s="30" t="s">
        <v>60</v>
      </c>
      <c r="L76" s="30" t="s">
        <v>26</v>
      </c>
      <c r="N76" s="30" t="s">
        <v>61</v>
      </c>
      <c r="O76" s="30" t="s">
        <v>62</v>
      </c>
      <c r="P76" s="30" t="s">
        <v>63</v>
      </c>
      <c r="Q76" s="31"/>
      <c r="R76" s="30" t="str">
        <f t="shared" ref="R76:AC76" ca="1" si="4">R$35</f>
        <v>Jul YTD</v>
      </c>
      <c r="S76" s="30" t="str">
        <f t="shared" ca="1" si="4"/>
        <v>Aug YTD</v>
      </c>
      <c r="T76" s="30" t="str">
        <f t="shared" ca="1" si="4"/>
        <v>Sep YTD</v>
      </c>
      <c r="U76" s="30" t="str">
        <f t="shared" ca="1" si="4"/>
        <v>Oct YTD</v>
      </c>
      <c r="V76" s="30" t="str">
        <f t="shared" ca="1" si="4"/>
        <v>Nov YTD</v>
      </c>
      <c r="W76" s="30" t="str">
        <f t="shared" ca="1" si="4"/>
        <v>Dec YTD</v>
      </c>
      <c r="X76" s="30" t="str">
        <f t="shared" ca="1" si="4"/>
        <v>Jan YTD</v>
      </c>
      <c r="Y76" s="30" t="str">
        <f t="shared" ca="1" si="4"/>
        <v>Feb YTD</v>
      </c>
      <c r="Z76" s="30" t="str">
        <f t="shared" ca="1" si="4"/>
        <v>Mar YTD</v>
      </c>
      <c r="AA76" s="30" t="str">
        <f t="shared" ca="1" si="4"/>
        <v>Apr YTD</v>
      </c>
      <c r="AB76" s="30" t="str">
        <f t="shared" ca="1" si="4"/>
        <v>May YTD</v>
      </c>
      <c r="AC76" s="30" t="str">
        <f t="shared" ca="1" si="4"/>
        <v>Jun YTD</v>
      </c>
    </row>
    <row r="77" spans="1:29" x14ac:dyDescent="0.25">
      <c r="A77" s="15" t="str">
        <f ca="1">IF(_xll.TM1RPTELISCONSOLIDATED(#REF!,#REF!),IF(_xll.TM1RPTELLEV(#REF!,#REF!)&lt;=3,_xll.TM1RPTELLEV(#REF!,#REF!),"D"),"N")</f>
        <v>N</v>
      </c>
      <c r="B77" s="32" t="str">
        <f ca="1">_xll.TM1RPTROW($D$29,db_name&amp;":account","","","code and description",0,$C$29)</f>
        <v/>
      </c>
      <c r="C77" s="36" t="str">
        <f ca="1">_xll.TM1RPTROW($D$29,db_name&amp;":programme","","","description",0,$C$35)</f>
        <v/>
      </c>
      <c r="D77" s="5" t="str">
        <f ca="1">_xll.DBRA(db_name&amp;":programme",$C77,D$39)</f>
        <v/>
      </c>
      <c r="E77" s="5" t="str">
        <f ca="1">_xll.DBRA(db_name&amp;":account",$B77,"description")</f>
        <v/>
      </c>
      <c r="F77" s="6" t="str">
        <f ca="1">IF(_xll.DIMIX(db_name&amp;":programme",$L$66)=_xll.DIMIX(db_name&amp;":programme",$C77),"Total " &amp; $E77,$C77)</f>
        <v xml:space="preserve">Total </v>
      </c>
      <c r="I77" s="16"/>
      <c r="J77" s="7" t="str">
        <f ca="1">IF($B77=$B76,"",$B77)</f>
        <v/>
      </c>
      <c r="K77" s="5" t="str">
        <f ca="1">$D77</f>
        <v/>
      </c>
      <c r="L77" s="6" t="str">
        <f ca="1">$F77</f>
        <v xml:space="preserve">Total </v>
      </c>
      <c r="M77" s="15"/>
      <c r="N77" s="17" t="str">
        <f ca="1">_xll.DBRW($D$29,$L$63,$L$64,$C$39,$C$43,$C$41,$C77,$C$44,$B77,N$34,$C$42,N$35,$C$45)</f>
        <v/>
      </c>
      <c r="O77" s="17" t="str">
        <f ca="1">_xll.DBRW($D$29,$L$63,$L$64,$C$39,$C$43,$C$41,$C77,$C$44,$B77,O$34,$C$42,O$35,$C$45)</f>
        <v/>
      </c>
      <c r="P77" s="17" t="e">
        <f ca="1">N77-O77</f>
        <v>#VALUE!</v>
      </c>
      <c r="Q77" s="18"/>
      <c r="R77" s="19" t="str">
        <f ca="1">_xll.DBRW($D$29,$L$63,$L$64,$C$39,$C$43,$C$41,$C77,$C$44,$B77,R$34,$C$42,R$35,$C$45)</f>
        <v/>
      </c>
      <c r="S77" s="19" t="str">
        <f ca="1">_xll.DBRW($D$29,$L$63,$L$64,$C$39,$C$43,$C$41,$C77,$C$44,$B77,S$34,$C$42,S$35,$C$45)</f>
        <v/>
      </c>
      <c r="T77" s="19" t="str">
        <f ca="1">_xll.DBRW($D$29,$L$63,$L$64,$C$39,$C$43,$C$41,$C77,$C$44,$B77,T$34,$C$42,T$35,$C$45)</f>
        <v/>
      </c>
      <c r="U77" s="19" t="str">
        <f ca="1">_xll.DBRW($D$29,$L$63,$L$64,$C$39,$C$43,$C$41,$C77,$C$44,$B77,U$34,$C$42,U$35,$C$45)</f>
        <v/>
      </c>
      <c r="V77" s="19" t="str">
        <f ca="1">_xll.DBRW($D$29,$L$63,$L$64,$C$39,$C$43,$C$41,$C77,$C$44,$B77,V$34,$C$42,V$35,$C$45)</f>
        <v/>
      </c>
      <c r="W77" s="19" t="str">
        <f ca="1">_xll.DBRW($D$29,$L$63,$L$64,$C$39,$C$43,$C$41,$C77,$C$44,$B77,W$34,$C$42,W$35,$C$45)</f>
        <v/>
      </c>
      <c r="X77" s="19" t="str">
        <f ca="1">_xll.DBRW($D$29,$L$63,$L$64,$C$39,$C$43,$C$41,$C77,$C$44,$B77,X$34,$C$42,X$35,$C$45)</f>
        <v/>
      </c>
      <c r="Y77" s="19" t="str">
        <f ca="1">_xll.DBRW($D$29,$L$63,$L$64,$C$39,$C$43,$C$41,$C77,$C$44,$B77,Y$34,$C$42,Y$35,$C$45)</f>
        <v/>
      </c>
      <c r="Z77" s="19" t="str">
        <f ca="1">_xll.DBRW($D$29,$L$63,$L$64,$C$39,$C$43,$C$41,$C77,$C$44,$B77,Z$34,$C$42,Z$35,$C$45)</f>
        <v/>
      </c>
      <c r="AA77" s="19" t="str">
        <f ca="1">_xll.DBRW($D$29,$L$63,$L$64,$C$39,$C$43,$C$41,$C77,$C$44,$B77,AA$34,$C$42,AA$35,$C$45)</f>
        <v/>
      </c>
      <c r="AB77" s="19" t="str">
        <f ca="1">_xll.DBRW($D$29,$L$63,$L$64,$C$39,$C$43,$C$41,$C77,$C$44,$B77,AB$34,$C$42,AB$35,$C$45)</f>
        <v/>
      </c>
      <c r="AC77" s="19" t="str">
        <f ca="1">_xll.DBRW($D$29,$L$63,$L$64,$C$39,$C$43,$C$41,$C77,$C$44,$B77,AC$34,$C$42,AC$35,$C$45)</f>
        <v/>
      </c>
    </row>
    <row r="78" spans="1:29" ht="9.9499999999999993" customHeight="1" x14ac:dyDescent="0.25"/>
    <row r="79" spans="1:29" x14ac:dyDescent="0.25">
      <c r="L79" s="33" t="s">
        <v>64</v>
      </c>
      <c r="M79" s="34"/>
      <c r="N79" s="35" t="str">
        <f ca="1">_xll.DBRW($D$27,$L$63,$L$64,"Total related entity",$C$43,"Total movement",$L$66,$C$44,"6220000",N$34,"Total jurisdictions",N$35,$C$45)</f>
        <v/>
      </c>
      <c r="O79" s="35" t="str">
        <f ca="1">_xll.DBRW($D$27,$L$63,$L$64,"Total related entity",$C$43,"Total movement",$L$66,$C$44,"6220000",O$34,"Total jurisdictions",O$35,$C$45)</f>
        <v/>
      </c>
      <c r="P79" s="35" t="e">
        <f ca="1">N79-O79</f>
        <v>#VALUE!</v>
      </c>
      <c r="Q79" s="34"/>
      <c r="R79" s="35" t="str">
        <f ca="1">_xll.DBRW($D$27,$L$63,$L$64,"Total related entity",$C$43,"Total movement",$L$66,$C$44,"6220000",R$34,"Total jurisdictions",R$35,$C$45)</f>
        <v/>
      </c>
      <c r="S79" s="35" t="str">
        <f ca="1">_xll.DBRW($D$27,$L$63,$L$64,"Total related entity",$C$43,"Total movement",$L$66,$C$44,"6220000",S$34,"Total jurisdictions",S$35,$C$45)</f>
        <v/>
      </c>
      <c r="T79" s="35" t="str">
        <f ca="1">_xll.DBRW($D$27,$L$63,$L$64,"Total related entity",$C$43,"Total movement",$L$66,$C$44,"6220000",T$34,"Total jurisdictions",T$35,$C$45)</f>
        <v/>
      </c>
      <c r="U79" s="35" t="str">
        <f ca="1">_xll.DBRW($D$27,$L$63,$L$64,"Total related entity",$C$43,"Total movement",$L$66,$C$44,"6220000",U$34,"Total jurisdictions",U$35,$C$45)</f>
        <v/>
      </c>
      <c r="V79" s="35" t="str">
        <f ca="1">_xll.DBRW($D$27,$L$63,$L$64,"Total related entity",$C$43,"Total movement",$L$66,$C$44,"6220000",V$34,"Total jurisdictions",V$35,$C$45)</f>
        <v/>
      </c>
      <c r="W79" s="35" t="str">
        <f ca="1">_xll.DBRW($D$27,$L$63,$L$64,"Total related entity",$C$43,"Total movement",$L$66,$C$44,"6220000",W$34,"Total jurisdictions",W$35,$C$45)</f>
        <v/>
      </c>
      <c r="X79" s="35" t="str">
        <f ca="1">_xll.DBRW($D$27,$L$63,$L$64,"Total related entity",$C$43,"Total movement",$L$66,$C$44,"6220000",X$34,"Total jurisdictions",X$35,$C$45)</f>
        <v/>
      </c>
      <c r="Y79" s="35" t="str">
        <f ca="1">_xll.DBRW($D$27,$L$63,$L$64,"Total related entity",$C$43,"Total movement",$L$66,$C$44,"6220000",Y$34,"Total jurisdictions",Y$35,$C$45)</f>
        <v/>
      </c>
      <c r="Z79" s="35" t="str">
        <f ca="1">_xll.DBRW($D$27,$L$63,$L$64,"Total related entity",$C$43,"Total movement",$L$66,$C$44,"6220000",Z$34,"Total jurisdictions",Z$35,$C$45)</f>
        <v/>
      </c>
      <c r="AA79" s="35" t="str">
        <f ca="1">_xll.DBRW($D$27,$L$63,$L$64,"Total related entity",$C$43,"Total movement",$L$66,$C$44,"6220000",AA$34,"Total jurisdictions",AA$35,$C$45)</f>
        <v/>
      </c>
      <c r="AB79" s="35" t="str">
        <f ca="1">_xll.DBRW($D$27,$L$63,$L$64,"Total related entity",$C$43,"Total movement",$L$66,$C$44,"6220000",AB$34,"Total jurisdictions",AB$35,$C$45)</f>
        <v/>
      </c>
      <c r="AC79" s="35" t="str">
        <f ca="1">_xll.DBRW($D$27,$L$63,$L$64,"Total related entity",$C$43,"Total movement",$L$66,$C$44,"6220000",AC$34,"Total jurisdictions",AC$35,$C$45)</f>
        <v/>
      </c>
    </row>
    <row r="80" spans="1:29" x14ac:dyDescent="0.25">
      <c r="B80" s="28" t="s">
        <v>65</v>
      </c>
      <c r="J80" s="28" t="s">
        <v>65</v>
      </c>
    </row>
    <row r="81" spans="1:29" s="29" customFormat="1" ht="30" x14ac:dyDescent="0.25">
      <c r="B81" s="30" t="s">
        <v>56</v>
      </c>
      <c r="C81" s="30" t="s">
        <v>26</v>
      </c>
      <c r="D81" s="30"/>
      <c r="E81" s="30"/>
      <c r="F81" s="30"/>
      <c r="G81" s="30"/>
      <c r="H81" s="30"/>
      <c r="I81" s="31"/>
      <c r="J81" s="30" t="s">
        <v>56</v>
      </c>
      <c r="K81" s="30" t="s">
        <v>60</v>
      </c>
      <c r="L81" s="30" t="s">
        <v>26</v>
      </c>
      <c r="N81" s="30" t="s">
        <v>61</v>
      </c>
      <c r="O81" s="30" t="s">
        <v>62</v>
      </c>
      <c r="P81" s="30" t="s">
        <v>63</v>
      </c>
      <c r="Q81" s="31"/>
      <c r="R81" s="30" t="str">
        <f t="shared" ref="R81:AC81" ca="1" si="5">R$35</f>
        <v>Jul YTD</v>
      </c>
      <c r="S81" s="30" t="str">
        <f t="shared" ca="1" si="5"/>
        <v>Aug YTD</v>
      </c>
      <c r="T81" s="30" t="str">
        <f t="shared" ca="1" si="5"/>
        <v>Sep YTD</v>
      </c>
      <c r="U81" s="30" t="str">
        <f t="shared" ca="1" si="5"/>
        <v>Oct YTD</v>
      </c>
      <c r="V81" s="30" t="str">
        <f t="shared" ca="1" si="5"/>
        <v>Nov YTD</v>
      </c>
      <c r="W81" s="30" t="str">
        <f t="shared" ca="1" si="5"/>
        <v>Dec YTD</v>
      </c>
      <c r="X81" s="30" t="str">
        <f t="shared" ca="1" si="5"/>
        <v>Jan YTD</v>
      </c>
      <c r="Y81" s="30" t="str">
        <f t="shared" ca="1" si="5"/>
        <v>Feb YTD</v>
      </c>
      <c r="Z81" s="30" t="str">
        <f t="shared" ca="1" si="5"/>
        <v>Mar YTD</v>
      </c>
      <c r="AA81" s="30" t="str">
        <f t="shared" ca="1" si="5"/>
        <v>Apr YTD</v>
      </c>
      <c r="AB81" s="30" t="str">
        <f t="shared" ca="1" si="5"/>
        <v>May YTD</v>
      </c>
      <c r="AC81" s="30" t="str">
        <f t="shared" ca="1" si="5"/>
        <v>Jun YTD</v>
      </c>
    </row>
    <row r="82" spans="1:29" x14ac:dyDescent="0.25">
      <c r="A82" s="15" t="str">
        <f ca="1">IF(_xll.TM1RPTELISCONSOLIDATED(#REF!,#REF!),IF(_xll.TM1RPTELLEV(#REF!,#REF!)&lt;=3,_xll.TM1RPTELLEV(#REF!,#REF!),"D"),"N")</f>
        <v>N</v>
      </c>
      <c r="B82" s="32" t="str">
        <f ca="1">_xll.TM1RPTROW($D$30,db_name&amp;":account","","","code and description",0,$C$30)</f>
        <v/>
      </c>
      <c r="C82" s="36" t="str">
        <f ca="1">_xll.TM1RPTROW($D$30,db_name&amp;":programme","","","description",0,$C$35)</f>
        <v/>
      </c>
      <c r="D82" s="5" t="str">
        <f ca="1">_xll.DBRA(db_name&amp;":programme",$C82,D$39)</f>
        <v/>
      </c>
      <c r="E82" s="5" t="str">
        <f ca="1">_xll.DBRA(db_name&amp;":account",$B82,"description")</f>
        <v/>
      </c>
      <c r="F82" s="6" t="str">
        <f ca="1">IF(_xll.DIMIX(db_name&amp;":programme",$L$66)=_xll.DIMIX(db_name&amp;":programme",$C82),"Total " &amp; $E82,$C82)</f>
        <v xml:space="preserve">Total </v>
      </c>
      <c r="I82" s="16"/>
      <c r="J82" s="7" t="str">
        <f ca="1">IF($B82=$B81,"",$B82)</f>
        <v/>
      </c>
      <c r="K82" s="5" t="str">
        <f ca="1">$D82</f>
        <v/>
      </c>
      <c r="L82" s="6" t="str">
        <f ca="1">$F82</f>
        <v xml:space="preserve">Total </v>
      </c>
      <c r="M82" s="15"/>
      <c r="N82" s="17" t="str">
        <f ca="1">_xll.DBRW($D$30,$L$63,$L$64,$C$39,$C$43,$C$41,$C82,$C$44,$B82,N$34,$C$42,N$35,$C$45)</f>
        <v/>
      </c>
      <c r="O82" s="17" t="str">
        <f ca="1">_xll.DBRW($D$30,$L$63,$L$64,$C$39,$C$43,$C$41,$C82,$C$44,$B82,O$34,$C$42,O$35,$C$45)</f>
        <v/>
      </c>
      <c r="P82" s="17" t="e">
        <f ca="1">N82-O82</f>
        <v>#VALUE!</v>
      </c>
      <c r="Q82" s="18"/>
      <c r="R82" s="19" t="str">
        <f ca="1">_xll.DBRW($D$30,$L$63,$L$64,$C$39,$C$43,$C$41,$C82,$C$44,$B82,R$34,$C$42,R$35,$C$45)</f>
        <v/>
      </c>
      <c r="S82" s="19" t="str">
        <f ca="1">_xll.DBRW($D$30,$L$63,$L$64,$C$39,$C$43,$C$41,$C82,$C$44,$B82,S$34,$C$42,S$35,$C$45)</f>
        <v/>
      </c>
      <c r="T82" s="19" t="str">
        <f ca="1">_xll.DBRW($D$30,$L$63,$L$64,$C$39,$C$43,$C$41,$C82,$C$44,$B82,T$34,$C$42,T$35,$C$45)</f>
        <v/>
      </c>
      <c r="U82" s="19" t="str">
        <f ca="1">_xll.DBRW($D$30,$L$63,$L$64,$C$39,$C$43,$C$41,$C82,$C$44,$B82,U$34,$C$42,U$35,$C$45)</f>
        <v/>
      </c>
      <c r="V82" s="19" t="str">
        <f ca="1">_xll.DBRW($D$30,$L$63,$L$64,$C$39,$C$43,$C$41,$C82,$C$44,$B82,V$34,$C$42,V$35,$C$45)</f>
        <v/>
      </c>
      <c r="W82" s="19" t="str">
        <f ca="1">_xll.DBRW($D$30,$L$63,$L$64,$C$39,$C$43,$C$41,$C82,$C$44,$B82,W$34,$C$42,W$35,$C$45)</f>
        <v/>
      </c>
      <c r="X82" s="19" t="str">
        <f ca="1">_xll.DBRW($D$30,$L$63,$L$64,$C$39,$C$43,$C$41,$C82,$C$44,$B82,X$34,$C$42,X$35,$C$45)</f>
        <v/>
      </c>
      <c r="Y82" s="19" t="str">
        <f ca="1">_xll.DBRW($D$30,$L$63,$L$64,$C$39,$C$43,$C$41,$C82,$C$44,$B82,Y$34,$C$42,Y$35,$C$45)</f>
        <v/>
      </c>
      <c r="Z82" s="19" t="str">
        <f ca="1">_xll.DBRW($D$30,$L$63,$L$64,$C$39,$C$43,$C$41,$C82,$C$44,$B82,Z$34,$C$42,Z$35,$C$45)</f>
        <v/>
      </c>
      <c r="AA82" s="19" t="str">
        <f ca="1">_xll.DBRW($D$30,$L$63,$L$64,$C$39,$C$43,$C$41,$C82,$C$44,$B82,AA$34,$C$42,AA$35,$C$45)</f>
        <v/>
      </c>
      <c r="AB82" s="19" t="str">
        <f ca="1">_xll.DBRW($D$30,$L$63,$L$64,$C$39,$C$43,$C$41,$C82,$C$44,$B82,AB$34,$C$42,AB$35,$C$45)</f>
        <v/>
      </c>
      <c r="AC82" s="19" t="str">
        <f ca="1">_xll.DBRW($D$30,$L$63,$L$64,$C$39,$C$43,$C$41,$C82,$C$44,$B82,AC$34,$C$42,AC$35,$C$45)</f>
        <v/>
      </c>
    </row>
    <row r="83" spans="1:29" ht="9.9499999999999993" customHeight="1" x14ac:dyDescent="0.25"/>
    <row r="84" spans="1:29" x14ac:dyDescent="0.25">
      <c r="L84" s="33" t="s">
        <v>65</v>
      </c>
      <c r="M84" s="34"/>
      <c r="N84" s="35" t="str">
        <f ca="1">_xll.DBRW($D$27,$L$63,$L$64,"Total related entity",$C$43,"Total movement",$L$66,$C$44,"6230000",N$34,"Total jurisdictions",N$35,$C$45)</f>
        <v/>
      </c>
      <c r="O84" s="35" t="str">
        <f ca="1">_xll.DBRW($D$27,$L$63,$L$64,"Total related entity",$C$43,"Total movement",$L$66,$C$44,"6230000",O$34,"Total jurisdictions",O$35,$C$45)</f>
        <v/>
      </c>
      <c r="P84" s="35" t="e">
        <f ca="1">N84-O84</f>
        <v>#VALUE!</v>
      </c>
      <c r="Q84" s="34"/>
      <c r="R84" s="35" t="str">
        <f ca="1">_xll.DBRW($D$27,$L$63,$L$64,"Total related entity",$C$43,"Total movement",$L$66,$C$44,"6230000",R$34,"Total jurisdictions",R$35,$C$45)</f>
        <v/>
      </c>
      <c r="S84" s="35" t="str">
        <f ca="1">_xll.DBRW($D$27,$L$63,$L$64,"Total related entity",$C$43,"Total movement",$L$66,$C$44,"6230000",S$34,"Total jurisdictions",S$35,$C$45)</f>
        <v/>
      </c>
      <c r="T84" s="35" t="str">
        <f ca="1">_xll.DBRW($D$27,$L$63,$L$64,"Total related entity",$C$43,"Total movement",$L$66,$C$44,"6230000",T$34,"Total jurisdictions",T$35,$C$45)</f>
        <v/>
      </c>
      <c r="U84" s="35" t="str">
        <f ca="1">_xll.DBRW($D$27,$L$63,$L$64,"Total related entity",$C$43,"Total movement",$L$66,$C$44,"6230000",U$34,"Total jurisdictions",U$35,$C$45)</f>
        <v/>
      </c>
      <c r="V84" s="35" t="str">
        <f ca="1">_xll.DBRW($D$27,$L$63,$L$64,"Total related entity",$C$43,"Total movement",$L$66,$C$44,"6230000",V$34,"Total jurisdictions",V$35,$C$45)</f>
        <v/>
      </c>
      <c r="W84" s="35" t="str">
        <f ca="1">_xll.DBRW($D$27,$L$63,$L$64,"Total related entity",$C$43,"Total movement",$L$66,$C$44,"6230000",W$34,"Total jurisdictions",W$35,$C$45)</f>
        <v/>
      </c>
      <c r="X84" s="35" t="str">
        <f ca="1">_xll.DBRW($D$27,$L$63,$L$64,"Total related entity",$C$43,"Total movement",$L$66,$C$44,"6230000",X$34,"Total jurisdictions",X$35,$C$45)</f>
        <v/>
      </c>
      <c r="Y84" s="35" t="str">
        <f ca="1">_xll.DBRW($D$27,$L$63,$L$64,"Total related entity",$C$43,"Total movement",$L$66,$C$44,"6230000",Y$34,"Total jurisdictions",Y$35,$C$45)</f>
        <v/>
      </c>
      <c r="Z84" s="35" t="str">
        <f ca="1">_xll.DBRW($D$27,$L$63,$L$64,"Total related entity",$C$43,"Total movement",$L$66,$C$44,"6230000",Z$34,"Total jurisdictions",Z$35,$C$45)</f>
        <v/>
      </c>
      <c r="AA84" s="35" t="str">
        <f ca="1">_xll.DBRW($D$27,$L$63,$L$64,"Total related entity",$C$43,"Total movement",$L$66,$C$44,"6230000",AA$34,"Total jurisdictions",AA$35,$C$45)</f>
        <v/>
      </c>
      <c r="AB84" s="35" t="str">
        <f ca="1">_xll.DBRW($D$27,$L$63,$L$64,"Total related entity",$C$43,"Total movement",$L$66,$C$44,"6230000",AB$34,"Total jurisdictions",AB$35,$C$45)</f>
        <v/>
      </c>
      <c r="AC84" s="35" t="str">
        <f ca="1">_xll.DBRW($D$27,$L$63,$L$64,"Total related entity",$C$43,"Total movement",$L$66,$C$44,"6230000",AC$34,"Total jurisdictions",AC$35,$C$45)</f>
        <v/>
      </c>
    </row>
    <row r="85" spans="1:29" x14ac:dyDescent="0.25">
      <c r="B85" s="28" t="s">
        <v>66</v>
      </c>
      <c r="J85" s="28" t="s">
        <v>66</v>
      </c>
    </row>
    <row r="86" spans="1:29" s="29" customFormat="1" ht="30" x14ac:dyDescent="0.25">
      <c r="B86" s="30" t="s">
        <v>56</v>
      </c>
      <c r="C86" s="30" t="s">
        <v>26</v>
      </c>
      <c r="D86" s="30"/>
      <c r="E86" s="30"/>
      <c r="F86" s="30"/>
      <c r="G86" s="30"/>
      <c r="H86" s="30"/>
      <c r="I86" s="31"/>
      <c r="J86" s="30" t="s">
        <v>56</v>
      </c>
      <c r="K86" s="30" t="s">
        <v>60</v>
      </c>
      <c r="L86" s="30" t="s">
        <v>26</v>
      </c>
      <c r="N86" s="30" t="s">
        <v>61</v>
      </c>
      <c r="O86" s="30" t="s">
        <v>62</v>
      </c>
      <c r="P86" s="30" t="s">
        <v>63</v>
      </c>
      <c r="Q86" s="31"/>
      <c r="R86" s="30" t="str">
        <f t="shared" ref="R86:AC86" ca="1" si="6">R$35</f>
        <v>Jul YTD</v>
      </c>
      <c r="S86" s="30" t="str">
        <f t="shared" ca="1" si="6"/>
        <v>Aug YTD</v>
      </c>
      <c r="T86" s="30" t="str">
        <f t="shared" ca="1" si="6"/>
        <v>Sep YTD</v>
      </c>
      <c r="U86" s="30" t="str">
        <f t="shared" ca="1" si="6"/>
        <v>Oct YTD</v>
      </c>
      <c r="V86" s="30" t="str">
        <f t="shared" ca="1" si="6"/>
        <v>Nov YTD</v>
      </c>
      <c r="W86" s="30" t="str">
        <f t="shared" ca="1" si="6"/>
        <v>Dec YTD</v>
      </c>
      <c r="X86" s="30" t="str">
        <f t="shared" ca="1" si="6"/>
        <v>Jan YTD</v>
      </c>
      <c r="Y86" s="30" t="str">
        <f t="shared" ca="1" si="6"/>
        <v>Feb YTD</v>
      </c>
      <c r="Z86" s="30" t="str">
        <f t="shared" ca="1" si="6"/>
        <v>Mar YTD</v>
      </c>
      <c r="AA86" s="30" t="str">
        <f t="shared" ca="1" si="6"/>
        <v>Apr YTD</v>
      </c>
      <c r="AB86" s="30" t="str">
        <f t="shared" ca="1" si="6"/>
        <v>May YTD</v>
      </c>
      <c r="AC86" s="30" t="str">
        <f t="shared" ca="1" si="6"/>
        <v>Jun YTD</v>
      </c>
    </row>
    <row r="87" spans="1:29" x14ac:dyDescent="0.25">
      <c r="A87" s="15" t="str">
        <f ca="1">IF(_xll.TM1RPTELISCONSOLIDATED(#REF!,#REF!),IF(_xll.TM1RPTELLEV(#REF!,#REF!)&lt;=3,_xll.TM1RPTELLEV(#REF!,#REF!),"D"),"N")</f>
        <v>N</v>
      </c>
      <c r="B87" s="32" t="str">
        <f ca="1">_xll.TM1RPTROW($D$31,db_name&amp;":account","","","code and description",0,$C$31)</f>
        <v/>
      </c>
      <c r="C87" s="36" t="str">
        <f ca="1">_xll.TM1RPTROW($D$31,db_name&amp;":programme","","","description",0,$C$35)</f>
        <v/>
      </c>
      <c r="D87" s="5" t="str">
        <f ca="1">_xll.DBRA(db_name&amp;":programme",$C87,D$39)</f>
        <v/>
      </c>
      <c r="E87" s="5" t="str">
        <f ca="1">_xll.DBRA(db_name&amp;":account",$B87,"description")</f>
        <v/>
      </c>
      <c r="F87" s="6" t="str">
        <f ca="1">IF(_xll.DIMIX(db_name&amp;":programme",$L$66)=_xll.DIMIX(db_name&amp;":programme",$C87),"Total " &amp; $E87,$C87)</f>
        <v xml:space="preserve">Total </v>
      </c>
      <c r="I87" s="16"/>
      <c r="J87" s="7" t="str">
        <f ca="1">IF($B87=$B86,"",$B87)</f>
        <v/>
      </c>
      <c r="K87" s="5" t="str">
        <f ca="1">$D87</f>
        <v/>
      </c>
      <c r="L87" s="6" t="str">
        <f ca="1">$F87</f>
        <v xml:space="preserve">Total </v>
      </c>
      <c r="M87" s="15"/>
      <c r="N87" s="17" t="str">
        <f ca="1">_xll.DBRW($D$31,$L$63,$L$64,$C$39,$C$43,$C$41,$C87,$C$44,$B87,N$34,$C$42,N$35,$C$45)</f>
        <v/>
      </c>
      <c r="O87" s="17" t="str">
        <f ca="1">_xll.DBRW($D$31,$L$63,$L$64,$C$39,$C$43,$C$41,$C87,$C$44,$B87,O$34,$C$42,O$35,$C$45)</f>
        <v/>
      </c>
      <c r="P87" s="17" t="e">
        <f ca="1">N87-O87</f>
        <v>#VALUE!</v>
      </c>
      <c r="Q87" s="18"/>
      <c r="R87" s="19" t="str">
        <f ca="1">_xll.DBRW($D$31,$L$63,$L$64,$C$39,$C$43,$C$41,$C87,$C$44,$B87,R$34,$C$42,R$35,$C$45)</f>
        <v/>
      </c>
      <c r="S87" s="19" t="str">
        <f ca="1">_xll.DBRW($D$31,$L$63,$L$64,$C$39,$C$43,$C$41,$C87,$C$44,$B87,S$34,$C$42,S$35,$C$45)</f>
        <v/>
      </c>
      <c r="T87" s="19" t="str">
        <f ca="1">_xll.DBRW($D$31,$L$63,$L$64,$C$39,$C$43,$C$41,$C87,$C$44,$B87,T$34,$C$42,T$35,$C$45)</f>
        <v/>
      </c>
      <c r="U87" s="19" t="str">
        <f ca="1">_xll.DBRW($D$31,$L$63,$L$64,$C$39,$C$43,$C$41,$C87,$C$44,$B87,U$34,$C$42,U$35,$C$45)</f>
        <v/>
      </c>
      <c r="V87" s="19" t="str">
        <f ca="1">_xll.DBRW($D$31,$L$63,$L$64,$C$39,$C$43,$C$41,$C87,$C$44,$B87,V$34,$C$42,V$35,$C$45)</f>
        <v/>
      </c>
      <c r="W87" s="19" t="str">
        <f ca="1">_xll.DBRW($D$31,$L$63,$L$64,$C$39,$C$43,$C$41,$C87,$C$44,$B87,W$34,$C$42,W$35,$C$45)</f>
        <v/>
      </c>
      <c r="X87" s="19" t="str">
        <f ca="1">_xll.DBRW($D$31,$L$63,$L$64,$C$39,$C$43,$C$41,$C87,$C$44,$B87,X$34,$C$42,X$35,$C$45)</f>
        <v/>
      </c>
      <c r="Y87" s="19" t="str">
        <f ca="1">_xll.DBRW($D$31,$L$63,$L$64,$C$39,$C$43,$C$41,$C87,$C$44,$B87,Y$34,$C$42,Y$35,$C$45)</f>
        <v/>
      </c>
      <c r="Z87" s="19" t="str">
        <f ca="1">_xll.DBRW($D$31,$L$63,$L$64,$C$39,$C$43,$C$41,$C87,$C$44,$B87,Z$34,$C$42,Z$35,$C$45)</f>
        <v/>
      </c>
      <c r="AA87" s="19" t="str">
        <f ca="1">_xll.DBRW($D$31,$L$63,$L$64,$C$39,$C$43,$C$41,$C87,$C$44,$B87,AA$34,$C$42,AA$35,$C$45)</f>
        <v/>
      </c>
      <c r="AB87" s="19" t="str">
        <f ca="1">_xll.DBRW($D$31,$L$63,$L$64,$C$39,$C$43,$C$41,$C87,$C$44,$B87,AB$34,$C$42,AB$35,$C$45)</f>
        <v/>
      </c>
      <c r="AC87" s="19" t="str">
        <f ca="1">_xll.DBRW($D$31,$L$63,$L$64,$C$39,$C$43,$C$41,$C87,$C$44,$B87,AC$34,$C$42,AC$35,$C$45)</f>
        <v/>
      </c>
    </row>
    <row r="88" spans="1:29" ht="9.9499999999999993" customHeight="1" x14ac:dyDescent="0.25"/>
    <row r="89" spans="1:29" x14ac:dyDescent="0.25">
      <c r="L89" s="33" t="s">
        <v>66</v>
      </c>
      <c r="M89" s="34"/>
      <c r="N89" s="35" t="str">
        <f ca="1">_xll.DBRW($D$27,$L$63,$L$64,"Total related entity",$C$43,"Total movement",$L$66,$C$44,"6800000",N$34,"Total jurisdictions",N$35,$C$45)</f>
        <v/>
      </c>
      <c r="O89" s="35" t="str">
        <f ca="1">_xll.DBRW($D$27,$L$63,$L$64,"Total related entity",$C$43,"Total movement",$L$66,$C$44,"6800000",O$34,"Total jurisdictions",O$35,$C$45)</f>
        <v/>
      </c>
      <c r="P89" s="35" t="e">
        <f ca="1">N89-O89</f>
        <v>#VALUE!</v>
      </c>
      <c r="Q89" s="34"/>
      <c r="R89" s="35" t="str">
        <f ca="1">_xll.DBRW($D$27,$L$63,$L$64,"Total related entity",$C$43,"Total movement",$L$66,$C$44,"6800000",R$34,"Total jurisdictions",R$35,$C$45)</f>
        <v/>
      </c>
      <c r="S89" s="35" t="str">
        <f ca="1">_xll.DBRW($D$27,$L$63,$L$64,"Total related entity",$C$43,"Total movement",$L$66,$C$44,"6800000",S$34,"Total jurisdictions",S$35,$C$45)</f>
        <v/>
      </c>
      <c r="T89" s="35" t="str">
        <f ca="1">_xll.DBRW($D$27,$L$63,$L$64,"Total related entity",$C$43,"Total movement",$L$66,$C$44,"6800000",T$34,"Total jurisdictions",T$35,$C$45)</f>
        <v/>
      </c>
      <c r="U89" s="35" t="str">
        <f ca="1">_xll.DBRW($D$27,$L$63,$L$64,"Total related entity",$C$43,"Total movement",$L$66,$C$44,"6800000",U$34,"Total jurisdictions",U$35,$C$45)</f>
        <v/>
      </c>
      <c r="V89" s="35" t="str">
        <f ca="1">_xll.DBRW($D$27,$L$63,$L$64,"Total related entity",$C$43,"Total movement",$L$66,$C$44,"6800000",V$34,"Total jurisdictions",V$35,$C$45)</f>
        <v/>
      </c>
      <c r="W89" s="35" t="str">
        <f ca="1">_xll.DBRW($D$27,$L$63,$L$64,"Total related entity",$C$43,"Total movement",$L$66,$C$44,"6800000",W$34,"Total jurisdictions",W$35,$C$45)</f>
        <v/>
      </c>
      <c r="X89" s="35" t="str">
        <f ca="1">_xll.DBRW($D$27,$L$63,$L$64,"Total related entity",$C$43,"Total movement",$L$66,$C$44,"6800000",X$34,"Total jurisdictions",X$35,$C$45)</f>
        <v/>
      </c>
      <c r="Y89" s="35" t="str">
        <f ca="1">_xll.DBRW($D$27,$L$63,$L$64,"Total related entity",$C$43,"Total movement",$L$66,$C$44,"6800000",Y$34,"Total jurisdictions",Y$35,$C$45)</f>
        <v/>
      </c>
      <c r="Z89" s="35" t="str">
        <f ca="1">_xll.DBRW($D$27,$L$63,$L$64,"Total related entity",$C$43,"Total movement",$L$66,$C$44,"6800000",Z$34,"Total jurisdictions",Z$35,$C$45)</f>
        <v/>
      </c>
      <c r="AA89" s="35" t="str">
        <f ca="1">_xll.DBRW($D$27,$L$63,$L$64,"Total related entity",$C$43,"Total movement",$L$66,$C$44,"6800000",AA$34,"Total jurisdictions",AA$35,$C$45)</f>
        <v/>
      </c>
      <c r="AB89" s="35" t="str">
        <f ca="1">_xll.DBRW($D$27,$L$63,$L$64,"Total related entity",$C$43,"Total movement",$L$66,$C$44,"6800000",AB$34,"Total jurisdictions",AB$35,$C$45)</f>
        <v/>
      </c>
      <c r="AC89" s="35" t="str">
        <f ca="1">_xll.DBRW($D$27,$L$63,$L$64,"Total related entity",$C$43,"Total movement",$L$66,$C$44,"6800000",AC$34,"Total jurisdictions",AC$35,$C$45)</f>
        <v/>
      </c>
    </row>
    <row r="90" spans="1:29" x14ac:dyDescent="0.25">
      <c r="B90" s="37" t="s">
        <v>67</v>
      </c>
      <c r="J90" s="28" t="s">
        <v>68</v>
      </c>
    </row>
    <row r="91" spans="1:29" s="29" customFormat="1" ht="30" x14ac:dyDescent="0.25">
      <c r="B91" s="30" t="s">
        <v>56</v>
      </c>
      <c r="C91" s="30" t="s">
        <v>26</v>
      </c>
      <c r="D91" s="30"/>
      <c r="E91" s="30"/>
      <c r="F91" s="30"/>
      <c r="G91" s="30"/>
      <c r="H91" s="30"/>
      <c r="I91" s="31"/>
      <c r="J91" s="30" t="s">
        <v>56</v>
      </c>
      <c r="K91" s="30" t="s">
        <v>60</v>
      </c>
      <c r="L91" s="30" t="s">
        <v>26</v>
      </c>
      <c r="N91" s="30" t="s">
        <v>61</v>
      </c>
      <c r="O91" s="30" t="s">
        <v>62</v>
      </c>
      <c r="P91" s="30" t="s">
        <v>63</v>
      </c>
      <c r="Q91" s="31"/>
      <c r="R91" s="30" t="str">
        <f t="shared" ref="R91:AC91" ca="1" si="7">R$35</f>
        <v>Jul YTD</v>
      </c>
      <c r="S91" s="30" t="str">
        <f t="shared" ca="1" si="7"/>
        <v>Aug YTD</v>
      </c>
      <c r="T91" s="30" t="str">
        <f t="shared" ca="1" si="7"/>
        <v>Sep YTD</v>
      </c>
      <c r="U91" s="30" t="str">
        <f t="shared" ca="1" si="7"/>
        <v>Oct YTD</v>
      </c>
      <c r="V91" s="30" t="str">
        <f t="shared" ca="1" si="7"/>
        <v>Nov YTD</v>
      </c>
      <c r="W91" s="30" t="str">
        <f t="shared" ca="1" si="7"/>
        <v>Dec YTD</v>
      </c>
      <c r="X91" s="30" t="str">
        <f t="shared" ca="1" si="7"/>
        <v>Jan YTD</v>
      </c>
      <c r="Y91" s="30" t="str">
        <f t="shared" ca="1" si="7"/>
        <v>Feb YTD</v>
      </c>
      <c r="Z91" s="30" t="str">
        <f t="shared" ca="1" si="7"/>
        <v>Mar YTD</v>
      </c>
      <c r="AA91" s="30" t="str">
        <f t="shared" ca="1" si="7"/>
        <v>Apr YTD</v>
      </c>
      <c r="AB91" s="30" t="str">
        <f t="shared" ca="1" si="7"/>
        <v>May YTD</v>
      </c>
      <c r="AC91" s="30" t="str">
        <f t="shared" ca="1" si="7"/>
        <v>Jun YTD</v>
      </c>
    </row>
    <row r="92" spans="1:29" x14ac:dyDescent="0.25">
      <c r="A92" s="15" t="str">
        <f ca="1">IF(_xll.TM1RPTELISCONSOLIDATED(#REF!,#REF!),IF(_xll.TM1RPTELLEV(#REF!,#REF!)&lt;=3,_xll.TM1RPTELLEV(#REF!,#REF!),"D"),"N")</f>
        <v>N</v>
      </c>
      <c r="B92" s="32" t="str">
        <f ca="1">_xll.TM1RPTROW($D$32,db_name&amp;":account","","","code and description",0,$C$32)</f>
        <v/>
      </c>
      <c r="C92" s="36" t="str">
        <f ca="1">_xll.TM1RPTROW($D$32,db_name&amp;":programme","","","code and description",0,$C$35)</f>
        <v/>
      </c>
      <c r="D92" s="5" t="str">
        <f ca="1">_xll.DBRA(db_name&amp;":programme",$C92,D$39)</f>
        <v/>
      </c>
      <c r="E92" s="5" t="str">
        <f ca="1">_xll.DBRA(db_name&amp;":account",$B92,"description")</f>
        <v/>
      </c>
      <c r="F92" s="6" t="str">
        <f ca="1">IF(_xll.DIMIX(db_name&amp;":programme",$L$66)=_xll.DIMIX(db_name&amp;":programme",$C92),"Total " &amp; $E92,$C92)</f>
        <v xml:space="preserve">Total </v>
      </c>
      <c r="I92" s="16"/>
      <c r="J92" s="7" t="str">
        <f ca="1">IF($B92=$B91,"",$B92)</f>
        <v/>
      </c>
      <c r="K92" s="5" t="str">
        <f ca="1">$D92</f>
        <v/>
      </c>
      <c r="L92" s="6" t="str">
        <f ca="1">$F92</f>
        <v xml:space="preserve">Total </v>
      </c>
      <c r="M92" s="15"/>
      <c r="N92" s="17" t="str">
        <f ca="1">_xll.DBRW($D$32,$L$63,$L$64,$C$39,$C$43,$C$41,$C92,$C$44,$B92,N$34,$C$42,N$35,$C$45)</f>
        <v/>
      </c>
      <c r="O92" s="17" t="str">
        <f ca="1">_xll.DBRW($D$32,$L$63,$L$64,$C$39,$C$43,$C$41,$C92,$C$44,$B92,O$34,$C$42,O$35,$C$45)</f>
        <v/>
      </c>
      <c r="P92" s="17" t="e">
        <f ca="1">N92-O92</f>
        <v>#VALUE!</v>
      </c>
      <c r="Q92" s="18"/>
      <c r="R92" s="19" t="str">
        <f ca="1">_xll.DBRW($D$32,$L$63,$L$64,$C$39,$C$43,$C$41,$C92,$C$44,$B92,R$34,$C$42,R$35,$C$45)</f>
        <v/>
      </c>
      <c r="S92" s="19" t="str">
        <f ca="1">_xll.DBRW($D$32,$L$63,$L$64,$C$39,$C$43,$C$41,$C92,$C$44,$B92,S$34,$C$42,S$35,$C$45)</f>
        <v/>
      </c>
      <c r="T92" s="19" t="str">
        <f ca="1">_xll.DBRW($D$32,$L$63,$L$64,$C$39,$C$43,$C$41,$C92,$C$44,$B92,T$34,$C$42,T$35,$C$45)</f>
        <v/>
      </c>
      <c r="U92" s="19" t="str">
        <f ca="1">_xll.DBRW($D$32,$L$63,$L$64,$C$39,$C$43,$C$41,$C92,$C$44,$B92,U$34,$C$42,U$35,$C$45)</f>
        <v/>
      </c>
      <c r="V92" s="19" t="str">
        <f ca="1">_xll.DBRW($D$32,$L$63,$L$64,$C$39,$C$43,$C$41,$C92,$C$44,$B92,V$34,$C$42,V$35,$C$45)</f>
        <v/>
      </c>
      <c r="W92" s="19" t="str">
        <f ca="1">_xll.DBRW($D$32,$L$63,$L$64,$C$39,$C$43,$C$41,$C92,$C$44,$B92,W$34,$C$42,W$35,$C$45)</f>
        <v/>
      </c>
      <c r="X92" s="19" t="str">
        <f ca="1">_xll.DBRW($D$32,$L$63,$L$64,$C$39,$C$43,$C$41,$C92,$C$44,$B92,X$34,$C$42,X$35,$C$45)</f>
        <v/>
      </c>
      <c r="Y92" s="19" t="str">
        <f ca="1">_xll.DBRW($D$32,$L$63,$L$64,$C$39,$C$43,$C$41,$C92,$C$44,$B92,Y$34,$C$42,Y$35,$C$45)</f>
        <v/>
      </c>
      <c r="Z92" s="19" t="str">
        <f ca="1">_xll.DBRW($D$32,$L$63,$L$64,$C$39,$C$43,$C$41,$C92,$C$44,$B92,Z$34,$C$42,Z$35,$C$45)</f>
        <v/>
      </c>
      <c r="AA92" s="19" t="str">
        <f ca="1">_xll.DBRW($D$32,$L$63,$L$64,$C$39,$C$43,$C$41,$C92,$C$44,$B92,AA$34,$C$42,AA$35,$C$45)</f>
        <v/>
      </c>
      <c r="AB92" s="19" t="str">
        <f ca="1">_xll.DBRW($D$32,$L$63,$L$64,$C$39,$C$43,$C$41,$C92,$C$44,$B92,AB$34,$C$42,AB$35,$C$45)</f>
        <v/>
      </c>
      <c r="AC92" s="19" t="str">
        <f ca="1">_xll.DBRW($D$32,$L$63,$L$64,$C$39,$C$43,$C$41,$C92,$C$44,$B92,AC$34,$C$42,AC$35,$C$45)</f>
        <v/>
      </c>
    </row>
    <row r="93" spans="1:29" ht="9.9499999999999993" customHeight="1" x14ac:dyDescent="0.25"/>
    <row r="94" spans="1:29" x14ac:dyDescent="0.25">
      <c r="L94" s="33" t="s">
        <v>68</v>
      </c>
      <c r="M94" s="34"/>
      <c r="N94" s="35" t="str">
        <f ca="1">_xll.DBRW($D$27,$L$63,$L$64,"Total related entity",$C$43,"Total movement",$L$66,$C$44,"6900000",N$34,"Total jurisdictions",N$35,$C$45)</f>
        <v/>
      </c>
      <c r="O94" s="35" t="str">
        <f ca="1">_xll.DBRW($D$27,$L$63,$L$64,"Total related entity",$C$43,"Total movement",$L$66,$C$44,"6900000",O$34,"Total jurisdictions",O$35,$C$45)</f>
        <v/>
      </c>
      <c r="P94" s="35" t="e">
        <f ca="1">N94-O94</f>
        <v>#VALUE!</v>
      </c>
      <c r="Q94" s="34"/>
      <c r="R94" s="35" t="str">
        <f ca="1">_xll.DBRW($D$27,$L$63,$L$64,"Total related entity",$C$43,"Total movement",$L$66,$C$44,"6900000",R$34,"Total jurisdictions",R$35,$C$45)</f>
        <v/>
      </c>
      <c r="S94" s="35" t="str">
        <f ca="1">_xll.DBRW($D$27,$L$63,$L$64,"Total related entity",$C$43,"Total movement",$L$66,$C$44,"6900000",S$34,"Total jurisdictions",S$35,$C$45)</f>
        <v/>
      </c>
      <c r="T94" s="35" t="str">
        <f ca="1">_xll.DBRW($D$27,$L$63,$L$64,"Total related entity",$C$43,"Total movement",$L$66,$C$44,"6900000",T$34,"Total jurisdictions",T$35,$C$45)</f>
        <v/>
      </c>
      <c r="U94" s="35" t="str">
        <f ca="1">_xll.DBRW($D$27,$L$63,$L$64,"Total related entity",$C$43,"Total movement",$L$66,$C$44,"6900000",U$34,"Total jurisdictions",U$35,$C$45)</f>
        <v/>
      </c>
      <c r="V94" s="35" t="str">
        <f ca="1">_xll.DBRW($D$27,$L$63,$L$64,"Total related entity",$C$43,"Total movement",$L$66,$C$44,"6900000",V$34,"Total jurisdictions",V$35,$C$45)</f>
        <v/>
      </c>
      <c r="W94" s="35" t="str">
        <f ca="1">_xll.DBRW($D$27,$L$63,$L$64,"Total related entity",$C$43,"Total movement",$L$66,$C$44,"6900000",W$34,"Total jurisdictions",W$35,$C$45)</f>
        <v/>
      </c>
      <c r="X94" s="35" t="str">
        <f ca="1">_xll.DBRW($D$27,$L$63,$L$64,"Total related entity",$C$43,"Total movement",$L$66,$C$44,"6900000",X$34,"Total jurisdictions",X$35,$C$45)</f>
        <v/>
      </c>
      <c r="Y94" s="35" t="str">
        <f ca="1">_xll.DBRW($D$27,$L$63,$L$64,"Total related entity",$C$43,"Total movement",$L$66,$C$44,"6900000",Y$34,"Total jurisdictions",Y$35,$C$45)</f>
        <v/>
      </c>
      <c r="Z94" s="35" t="str">
        <f ca="1">_xll.DBRW($D$27,$L$63,$L$64,"Total related entity",$C$43,"Total movement",$L$66,$C$44,"6900000",Z$34,"Total jurisdictions",Z$35,$C$45)</f>
        <v/>
      </c>
      <c r="AA94" s="35" t="str">
        <f ca="1">_xll.DBRW($D$27,$L$63,$L$64,"Total related entity",$C$43,"Total movement",$L$66,$C$44,"6900000",AA$34,"Total jurisdictions",AA$35,$C$45)</f>
        <v/>
      </c>
      <c r="AB94" s="35" t="str">
        <f ca="1">_xll.DBRW($D$27,$L$63,$L$64,"Total related entity",$C$43,"Total movement",$L$66,$C$44,"6900000",AB$34,"Total jurisdictions",AB$35,$C$45)</f>
        <v/>
      </c>
      <c r="AC94" s="35" t="str">
        <f ca="1">_xll.DBRW($D$27,$L$63,$L$64,"Total related entity",$C$43,"Total movement",$L$66,$C$44,"6900000",AC$34,"Total jurisdictions",AC$35,$C$45)</f>
        <v/>
      </c>
    </row>
    <row r="95" spans="1:29" hidden="1" x14ac:dyDescent="0.25">
      <c r="B95" s="37" t="s">
        <v>69</v>
      </c>
      <c r="J95" s="28" t="s">
        <v>70</v>
      </c>
    </row>
    <row r="96" spans="1:29" s="29" customFormat="1" ht="30" hidden="1" x14ac:dyDescent="0.25">
      <c r="B96" s="30" t="s">
        <v>56</v>
      </c>
      <c r="C96" s="30" t="s">
        <v>21</v>
      </c>
      <c r="D96" s="30"/>
      <c r="E96" s="30"/>
      <c r="F96" s="30"/>
      <c r="G96" s="30"/>
      <c r="H96" s="30"/>
      <c r="I96" s="31"/>
      <c r="J96" s="30" t="s">
        <v>56</v>
      </c>
      <c r="K96" s="30" t="s">
        <v>60</v>
      </c>
      <c r="L96" s="30" t="s">
        <v>26</v>
      </c>
      <c r="N96" s="30" t="s">
        <v>61</v>
      </c>
      <c r="O96" s="30" t="s">
        <v>62</v>
      </c>
      <c r="P96" s="30" t="s">
        <v>63</v>
      </c>
      <c r="Q96" s="31"/>
      <c r="R96" s="30" t="str">
        <f t="shared" ref="R96:AC96" ca="1" si="8">R$35</f>
        <v>Jul YTD</v>
      </c>
      <c r="S96" s="30" t="str">
        <f t="shared" ca="1" si="8"/>
        <v>Aug YTD</v>
      </c>
      <c r="T96" s="30" t="str">
        <f t="shared" ca="1" si="8"/>
        <v>Sep YTD</v>
      </c>
      <c r="U96" s="30" t="str">
        <f t="shared" ca="1" si="8"/>
        <v>Oct YTD</v>
      </c>
      <c r="V96" s="30" t="str">
        <f t="shared" ca="1" si="8"/>
        <v>Nov YTD</v>
      </c>
      <c r="W96" s="30" t="str">
        <f t="shared" ca="1" si="8"/>
        <v>Dec YTD</v>
      </c>
      <c r="X96" s="30" t="str">
        <f t="shared" ca="1" si="8"/>
        <v>Jan YTD</v>
      </c>
      <c r="Y96" s="30" t="str">
        <f t="shared" ca="1" si="8"/>
        <v>Feb YTD</v>
      </c>
      <c r="Z96" s="30" t="str">
        <f t="shared" ca="1" si="8"/>
        <v>Mar YTD</v>
      </c>
      <c r="AA96" s="30" t="str">
        <f t="shared" ca="1" si="8"/>
        <v>Apr YTD</v>
      </c>
      <c r="AB96" s="30" t="str">
        <f t="shared" ca="1" si="8"/>
        <v>May YTD</v>
      </c>
      <c r="AC96" s="30" t="str">
        <f t="shared" ca="1" si="8"/>
        <v>Jun YTD</v>
      </c>
    </row>
    <row r="97" spans="1:29" customFormat="1" ht="15" hidden="1" customHeight="1" x14ac:dyDescent="0.25">
      <c r="A97" s="15" t="str">
        <f ca="1">IF(_xll.TM1RPTELISCONSOLIDATED(#REF!,#REF!),IF(_xll.TM1RPTELLEV(#REF!,#REF!)&lt;=3,_xll.TM1RPTELLEV(#REF!,#REF!),"D"),"N")</f>
        <v>N</v>
      </c>
      <c r="B97" s="32" t="str">
        <f ca="1">_xll.TM1RPTROW($D$33,db_name&amp;":account","","","code and description",0,$C$33)</f>
        <v/>
      </c>
      <c r="C97" s="36" t="str">
        <f ca="1">_xll.TM1RPTROW($D$33,db_name&amp;":programme","","","code and description",0,$C$35)</f>
        <v/>
      </c>
      <c r="D97" s="5" t="str">
        <f ca="1">_xll.DBRA(db_name&amp;":programme",$C97,D$39)</f>
        <v/>
      </c>
      <c r="E97" s="5" t="str">
        <f ca="1">_xll.DBRA(db_name&amp;":account",$B97,"description")</f>
        <v/>
      </c>
      <c r="F97" s="6" t="str">
        <f ca="1">IF(_xll.DIMIX(db_name&amp;":programme",$L$66)=_xll.DIMIX(db_name&amp;":programme",$C97),"Total " &amp; $E97,$C97)</f>
        <v xml:space="preserve">Total </v>
      </c>
      <c r="G97" s="1"/>
      <c r="H97" s="1"/>
      <c r="I97" s="16"/>
      <c r="J97" s="7" t="str">
        <f ca="1">IF($B97=$B96,"",$B97)</f>
        <v/>
      </c>
      <c r="K97" s="5" t="str">
        <f ca="1">$D97</f>
        <v/>
      </c>
      <c r="L97" s="6" t="str">
        <f ca="1">$F97</f>
        <v xml:space="preserve">Total </v>
      </c>
      <c r="M97" s="15"/>
      <c r="N97" s="17" t="str">
        <f ca="1">_xll.DBRW($D$33,$L$63,$L$64,$C$39,$C$43,$C$41,$C97,$C$44,$B97,N$34,$C$42,N$35,$C$45)</f>
        <v/>
      </c>
      <c r="O97" s="17" t="str">
        <f ca="1">_xll.DBRW($D$33,$L$63,$L$64,$C$39,$C$43,$C$41,$C97,$C$44,$B97,O$34,$C$42,O$35,$C$45)</f>
        <v/>
      </c>
      <c r="P97" s="17" t="e">
        <f ca="1">N97-O97</f>
        <v>#VALUE!</v>
      </c>
      <c r="Q97" s="18"/>
      <c r="R97" s="19" t="str">
        <f ca="1">_xll.DBRW($D$33,$L$63,$L$64,$C$39,$C$43,$C$41,$C97,$C$44,$B97,R$34,$C$42,R$35,$C$45)</f>
        <v/>
      </c>
      <c r="S97" s="19" t="str">
        <f ca="1">_xll.DBRW($D$33,$L$63,$L$64,$C$39,$C$43,$C$41,$C97,$C$44,$B97,S$34,$C$42,S$35,$C$45)</f>
        <v/>
      </c>
      <c r="T97" s="19" t="str">
        <f ca="1">_xll.DBRW($D$33,$L$63,$L$64,$C$39,$C$43,$C$41,$C97,$C$44,$B97,T$34,$C$42,T$35,$C$45)</f>
        <v/>
      </c>
      <c r="U97" s="19" t="str">
        <f ca="1">_xll.DBRW($D$33,$L$63,$L$64,$C$39,$C$43,$C$41,$C97,$C$44,$B97,U$34,$C$42,U$35,$C$45)</f>
        <v/>
      </c>
      <c r="V97" s="19" t="str">
        <f ca="1">_xll.DBRW($D$33,$L$63,$L$64,$C$39,$C$43,$C$41,$C97,$C$44,$B97,V$34,$C$42,V$35,$C$45)</f>
        <v/>
      </c>
      <c r="W97" s="19" t="str">
        <f ca="1">_xll.DBRW($D$33,$L$63,$L$64,$C$39,$C$43,$C$41,$C97,$C$44,$B97,W$34,$C$42,W$35,$C$45)</f>
        <v/>
      </c>
      <c r="X97" s="19" t="str">
        <f ca="1">_xll.DBRW($D$33,$L$63,$L$64,$C$39,$C$43,$C$41,$C97,$C$44,$B97,X$34,$C$42,X$35,$C$45)</f>
        <v/>
      </c>
      <c r="Y97" s="19" t="str">
        <f ca="1">_xll.DBRW($D$33,$L$63,$L$64,$C$39,$C$43,$C$41,$C97,$C$44,$B97,Y$34,$C$42,Y$35,$C$45)</f>
        <v/>
      </c>
      <c r="Z97" s="19" t="str">
        <f ca="1">_xll.DBRW($D$33,$L$63,$L$64,$C$39,$C$43,$C$41,$C97,$C$44,$B97,Z$34,$C$42,Z$35,$C$45)</f>
        <v/>
      </c>
      <c r="AA97" s="19" t="str">
        <f ca="1">_xll.DBRW($D$33,$L$63,$L$64,$C$39,$C$43,$C$41,$C97,$C$44,$B97,AA$34,$C$42,AA$35,$C$45)</f>
        <v/>
      </c>
      <c r="AB97" s="19" t="str">
        <f ca="1">_xll.DBRW($D$33,$L$63,$L$64,$C$39,$C$43,$C$41,$C97,$C$44,$B97,AB$34,$C$42,AB$35,$C$45)</f>
        <v/>
      </c>
      <c r="AC97" s="19" t="str">
        <f ca="1">_xll.DBRW($D$33,$L$63,$L$64,$C$39,$C$43,$C$41,$C97,$C$44,$B97,AC$34,$C$42,AC$35,$C$45)</f>
        <v/>
      </c>
    </row>
    <row r="98" spans="1:29" hidden="1" x14ac:dyDescent="0.25"/>
    <row r="99" spans="1:29" hidden="1" x14ac:dyDescent="0.25"/>
  </sheetData>
  <sheetProtection sheet="1" objects="1" scenarios="1"/>
  <mergeCells count="4">
    <mergeCell ref="B11:C11"/>
    <mergeCell ref="B15:C15"/>
    <mergeCell ref="B20:C20"/>
    <mergeCell ref="B47:C47"/>
  </mergeCells>
  <conditionalFormatting sqref="B90">
    <cfRule type="expression" dxfId="20" priority="272">
      <formula>$P90&lt;&gt;0</formula>
    </cfRule>
    <cfRule type="cellIs" dxfId="19" priority="273" operator="notEqual">
      <formula>"xxasda"</formula>
    </cfRule>
  </conditionalFormatting>
  <conditionalFormatting sqref="B95">
    <cfRule type="expression" dxfId="18" priority="270">
      <formula>$P95&lt;&gt;0</formula>
    </cfRule>
    <cfRule type="cellIs" dxfId="17" priority="271" operator="notEqual">
      <formula>"xxasda"</formula>
    </cfRule>
  </conditionalFormatting>
  <conditionalFormatting sqref="J7:L7">
    <cfRule type="expression" dxfId="16" priority="266">
      <formula>LEFT($L7,5)="Total"</formula>
    </cfRule>
  </conditionalFormatting>
  <conditionalFormatting sqref="J2:AC2 J72:L72 J77:L77 J82:L82 J87:L87 J92:L92 J97:L97">
    <cfRule type="expression" dxfId="15" priority="268">
      <formula>LEFT($L2,5)="Total"</formula>
    </cfRule>
  </conditionalFormatting>
  <conditionalFormatting sqref="L2:L7">
    <cfRule type="beginsWith" dxfId="14" priority="267" operator="beginsWith" text="Total">
      <formula>LEFT(L2,LEN("Total"))="Total"</formula>
    </cfRule>
  </conditionalFormatting>
  <conditionalFormatting sqref="L72">
    <cfRule type="beginsWith" dxfId="13" priority="2" operator="beginsWith" text="Total">
      <formula>LEFT(L72,LEN("Total"))="Total"</formula>
    </cfRule>
  </conditionalFormatting>
  <conditionalFormatting sqref="L77">
    <cfRule type="beginsWith" dxfId="12" priority="22" operator="beginsWith" text="Total">
      <formula>LEFT(L77,LEN("Total"))="Total"</formula>
    </cfRule>
  </conditionalFormatting>
  <conditionalFormatting sqref="L82">
    <cfRule type="beginsWith" dxfId="11" priority="30" operator="beginsWith" text="Total">
      <formula>LEFT(L82,LEN("Total"))="Total"</formula>
    </cfRule>
  </conditionalFormatting>
  <conditionalFormatting sqref="L87">
    <cfRule type="beginsWith" dxfId="10" priority="38" operator="beginsWith" text="Total">
      <formula>LEFT(L87,LEN("Total"))="Total"</formula>
    </cfRule>
  </conditionalFormatting>
  <conditionalFormatting sqref="L92">
    <cfRule type="beginsWith" dxfId="9" priority="262" operator="beginsWith" text="Total">
      <formula>LEFT(L92,LEN("Total"))="Total"</formula>
    </cfRule>
  </conditionalFormatting>
  <conditionalFormatting sqref="L97">
    <cfRule type="beginsWith" dxfId="8" priority="182" operator="beginsWith" text="Total">
      <formula>LEFT(L97,LEN("Total"))="Total"</formula>
    </cfRule>
  </conditionalFormatting>
  <conditionalFormatting sqref="R7:AC7">
    <cfRule type="expression" dxfId="7" priority="277">
      <formula>$L$68="Year To Date"</formula>
    </cfRule>
  </conditionalFormatting>
  <conditionalFormatting sqref="R72:AC72">
    <cfRule type="expression" dxfId="6" priority="4">
      <formula>$L$68="Year To Date"</formula>
    </cfRule>
  </conditionalFormatting>
  <conditionalFormatting sqref="R77:AC77">
    <cfRule type="expression" dxfId="5" priority="24">
      <formula>$L$68="Year To Date"</formula>
    </cfRule>
  </conditionalFormatting>
  <conditionalFormatting sqref="R82:AC82">
    <cfRule type="expression" dxfId="4" priority="32">
      <formula>$L$68="Year To Date"</formula>
    </cfRule>
  </conditionalFormatting>
  <conditionalFormatting sqref="R87:AC87">
    <cfRule type="expression" dxfId="3" priority="40">
      <formula>$L$68="Year To Date"</formula>
    </cfRule>
  </conditionalFormatting>
  <conditionalFormatting sqref="R92:AC92 R97:AC97 R87:AC87 R82:AC82 R77:AC77 R72:AC72 N7:P7 R7:AC7 N72:P72 N77:P77 N82:P82 N87:P87 N92:P92 N97:P97">
    <cfRule type="expression" dxfId="2" priority="276">
      <formula>$P7&lt;&gt;0</formula>
    </cfRule>
  </conditionalFormatting>
  <conditionalFormatting sqref="R92:AC92">
    <cfRule type="expression" dxfId="1" priority="263">
      <formula>$L$68="Year To Date"</formula>
    </cfRule>
  </conditionalFormatting>
  <conditionalFormatting sqref="R97:AC97">
    <cfRule type="expression" dxfId="0" priority="184">
      <formula>$L$68="Year To Date"</formula>
    </cfRule>
  </conditionalFormatting>
  <dataValidations count="2">
    <dataValidation type="list" allowBlank="1" showInputMessage="1" showErrorMessage="1" sqref="L68" xr:uid="{00000000-0002-0000-0000-000000000000}">
      <formula1>"Data Entry, Year to Date,"</formula1>
    </dataValidation>
    <dataValidation type="list" allowBlank="1" showInputMessage="1" showErrorMessage="1" sqref="P63" xr:uid="{00000000-0002-0000-0000-000001000000}">
      <formula1>"N Level,Show Totals,Show All"</formula1>
    </dataValidation>
  </dataValidations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8</xdr:col>
                <xdr:colOff>28575</xdr:colOff>
                <xdr:row>57</xdr:row>
                <xdr:rowOff>47625</xdr:rowOff>
              </from>
              <to>
                <xdr:col>9</xdr:col>
                <xdr:colOff>609600</xdr:colOff>
                <xdr:row>58</xdr:row>
                <xdr:rowOff>238125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 sizeWithCells="1">
              <from>
                <xdr:col>11</xdr:col>
                <xdr:colOff>485775</xdr:colOff>
                <xdr:row>57</xdr:row>
                <xdr:rowOff>47625</xdr:rowOff>
              </from>
              <to>
                <xdr:col>11</xdr:col>
                <xdr:colOff>1333500</xdr:colOff>
                <xdr:row>58</xdr:row>
                <xdr:rowOff>238125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autoPict="0" r:id="rId9">
            <anchor moveWithCells="1" sizeWithCells="1">
              <from>
                <xdr:col>9</xdr:col>
                <xdr:colOff>2667000</xdr:colOff>
                <xdr:row>57</xdr:row>
                <xdr:rowOff>38100</xdr:rowOff>
              </from>
              <to>
                <xdr:col>11</xdr:col>
                <xdr:colOff>428625</xdr:colOff>
                <xdr:row>58</xdr:row>
                <xdr:rowOff>228600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autoPict="0" r:id="rId11">
            <anchor moveWithCells="1" sizeWithCells="1">
              <from>
                <xdr:col>9</xdr:col>
                <xdr:colOff>638175</xdr:colOff>
                <xdr:row>57</xdr:row>
                <xdr:rowOff>47625</xdr:rowOff>
              </from>
              <to>
                <xdr:col>9</xdr:col>
                <xdr:colOff>2628900</xdr:colOff>
                <xdr:row>58</xdr:row>
                <xdr:rowOff>238125</xdr:rowOff>
              </to>
            </anchor>
          </controlPr>
        </control>
      </mc:Choice>
      <mc:Fallback>
        <control shapeId="1028" r:id="rId10" name="TIButton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rep_AccByProgProfiles (CF)</vt:lpstr>
      <vt:lpstr>db_name</vt:lpstr>
      <vt:lpstr>TM1MEHomeCAP</vt:lpstr>
      <vt:lpstr>TM1MEHomeWB</vt:lpstr>
      <vt:lpstr>TM1MEHomeWS</vt:lpstr>
      <vt:lpstr>TM1MERepBSCAP</vt:lpstr>
      <vt:lpstr>TM1MERepBSWB</vt:lpstr>
      <vt:lpstr>TM1MERepBSWS</vt:lpstr>
      <vt:lpstr>TM1MERepCFCAP</vt:lpstr>
      <vt:lpstr>TM1MERepCFWB</vt:lpstr>
      <vt:lpstr>TM1MERepCFWS</vt:lpstr>
      <vt:lpstr>TM1MERepOSCAP</vt:lpstr>
      <vt:lpstr>TM1MERepOSWB</vt:lpstr>
      <vt:lpstr>TM1MERepOSWS</vt:lpstr>
      <vt:lpstr>TM1MESummaryCAP</vt:lpstr>
      <vt:lpstr>TM1MESummaryWB</vt:lpstr>
      <vt:lpstr>TM1MESummaryWS</vt:lpstr>
      <vt:lpstr>'rep_AccByProgProfiles (CF)'!TM1RPTDATARNG2</vt:lpstr>
      <vt:lpstr>'rep_AccByProgProfiles (CF)'!TM1RPTDATARNGARPT1</vt:lpstr>
      <vt:lpstr>'rep_AccByProgProfiles (CF)'!TM1RPTDATARNGARPT2</vt:lpstr>
      <vt:lpstr>'rep_AccByProgProfiles (CF)'!TM1RPTDATARNGARPT3</vt:lpstr>
      <vt:lpstr>'rep_AccByProgProfiles (CF)'!TM1RPTDATARNGARPT4</vt:lpstr>
      <vt:lpstr>'rep_AccByProgProfiles (CF)'!TM1RPTDATARNGARPT5</vt:lpstr>
      <vt:lpstr>'rep_AccByProgProfiles (CF)'!TM1RPTFMTIDCOL</vt:lpstr>
      <vt:lpstr>'rep_AccByProgProfiles (CF)'!TM1RPTFMTRNG</vt:lpstr>
    </vt:vector>
  </TitlesOfParts>
  <Company>Department of Industry, Innovation and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Gimena, Khristian</dc:creator>
  <cp:lastModifiedBy>Xin HE</cp:lastModifiedBy>
  <dcterms:created xsi:type="dcterms:W3CDTF">2022-06-06T01:44:44Z</dcterms:created>
  <dcterms:modified xsi:type="dcterms:W3CDTF">2025-08-05T04:36:27Z</dcterms:modified>
</cp:coreProperties>
</file>