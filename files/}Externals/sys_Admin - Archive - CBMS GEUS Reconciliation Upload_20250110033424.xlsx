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1.bin" ContentType="application/vnd.ms-office.activeX"/>
  <Override PartName="/xl/activeX/activeX5.xml" ContentType="application/vnd.ms-office.activeX+xml"/>
  <Override PartName="/xl/activeX/activeX2.bin" ContentType="application/vnd.ms-office.activeX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3.bin" ContentType="application/vnd.ms-office.activeX"/>
  <Override PartName="/xl/activeX/activeX9.xml" ContentType="application/vnd.ms-office.activeX+xml"/>
  <Override PartName="/xl/activeX/activeX10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E5756E7-C5CA-4A85-B4EF-074F6EED43DB}" xr6:coauthVersionLast="47" xr6:coauthVersionMax="47" xr10:uidLastSave="{00000000-0000-0000-0000-000000000000}"/>
  <bookViews>
    <workbookView xWindow="29580" yWindow="780" windowWidth="21600" windowHeight="11385" xr2:uid="{83410147-1F76-40A2-B161-B5614181CB11}"/>
  </bookViews>
  <sheets>
    <sheet name="reco" sheetId="1" r:id="rId1"/>
    <sheet name="{PL}PickLst" sheetId="2" state="hidden" r:id="rId2"/>
  </sheets>
  <definedNames>
    <definedName name="db_name">reco!$B$2</definedName>
    <definedName name="ID" localSheetId="1" hidden="1">"f1a828a2-99e1-4b43-acc7-b0aea7e45428"</definedName>
    <definedName name="ID" localSheetId="0" hidden="1">"a4d460f1-6cbd-400f-8a7a-8ce2af6a656a"</definedName>
    <definedName name="psApp">reco!$B$30</definedName>
    <definedName name="psFFType">reco!$B$59</definedName>
    <definedName name="psFileName">reco!$M$79</definedName>
    <definedName name="psHLYear">reco!$B$50</definedName>
    <definedName name="psScenario">reco!$B$51</definedName>
    <definedName name="psSign">reco!#REF!</definedName>
    <definedName name="psUser">reco!$B$4</definedName>
    <definedName name="TM1AdjIDListCAP">reco!$C$35</definedName>
    <definedName name="TM1AdjIDListWB">reco!$E$35</definedName>
    <definedName name="TM1AdjIDListWS">reco!$G$35</definedName>
    <definedName name="TM1AdminArcCBMSRecoAppropCAP">reco!$C$43</definedName>
    <definedName name="TM1AdminArcCBMSRecoAppropWB">reco!$E$43</definedName>
    <definedName name="TM1AdminArcCBMSRecoAppropWS">reco!$G$43</definedName>
    <definedName name="TM1AdminArcCBMSRecoCAP">reco!$C$39</definedName>
    <definedName name="TM1AdminArcCBMSRecoProgDetCAP">reco!$C$42</definedName>
    <definedName name="TM1AdminArcCBMSRecoProgDetWB">reco!$E$42</definedName>
    <definedName name="TM1AdminArcCBMSRecoProgDetWS">reco!$G$42</definedName>
    <definedName name="TM1AdminArcCBMSRecoRep">reco!$G$39</definedName>
    <definedName name="TM1AdminArcCBMSRecoRepCAP">reco!$C$40</definedName>
    <definedName name="TM1AdminArcCBMSRecoRepDetCAP">reco!$C$41</definedName>
    <definedName name="TM1AdminArcCBMSRecoRepDetWB">reco!$E$41</definedName>
    <definedName name="TM1AdminArcCBMSRecoRepDetWS">reco!$G$41</definedName>
    <definedName name="TM1AdminArcCBMSRecoRepWB">reco!$E$40</definedName>
    <definedName name="TM1AdminArcCBMSRecoRepWS">reco!$G$40</definedName>
    <definedName name="TM1AdminArcCBMSRecoWB">reco!$E$39</definedName>
    <definedName name="TM1HomeAdminBaseCAP">reco!$C$36</definedName>
    <definedName name="TM1HomeAdminBaseWB">reco!$E$36</definedName>
    <definedName name="TM1HomeAdminBaseWS">reco!$G$36</definedName>
    <definedName name="TM1HomeAdminGEUSCAP">reco!$C$37</definedName>
    <definedName name="TM1HomeAdminGEUSWB">reco!$E$37</definedName>
    <definedName name="TM1HomeAdminGEUSWS">reco!$G$37</definedName>
    <definedName name="TM1HomeAdminRDSCAP">reco!$C$38</definedName>
    <definedName name="TM1HomeAdminRDSWB">reco!$E$38</definedName>
    <definedName name="TM1HomeAdminRDSWS">reco!$G$38</definedName>
    <definedName name="TM1HomeAECAP">reco!$C$33</definedName>
    <definedName name="TM1HomeAEDataEntryCAP">reco!$C$34</definedName>
    <definedName name="TM1HomeAEDataEntryWB">reco!$E$34</definedName>
    <definedName name="TM1HomeAEDataEntryWS">reco!$G$34</definedName>
    <definedName name="TM1HomeAEWB">reco!$E$33</definedName>
    <definedName name="TM1HomeAEWS">reco!$G$33</definedName>
    <definedName name="TM1HomeCAP">reco!$C$32</definedName>
    <definedName name="TM1HomeWB">reco!$E$32</definedName>
    <definedName name="TM1HomeWS">reco!$G$32</definedName>
    <definedName name="TM1NewAdj02DataEntryCAP">reco!#REF!</definedName>
    <definedName name="TM1NewAdj02DataEntryWB">reco!#REF!</definedName>
    <definedName name="TM1NewAdj02DataEntryWS">reco!#REF!</definedName>
    <definedName name="TM1NewAdj03AuthCAP">reco!#REF!</definedName>
    <definedName name="TM1NewAdj03AuthWB">reco!#REF!</definedName>
    <definedName name="TM1NewAdj03AuthWS">reco!#REF!</definedName>
    <definedName name="TM1NewAdj99ValidCAP">reco!#REF!</definedName>
    <definedName name="TM1NewAdj99ValidWB">reco!#REF!</definedName>
    <definedName name="TM1NewAdj99ValidWS">reco!#REF!</definedName>
    <definedName name="TM1UploadAB_Confirm">reco!$B$58</definedName>
    <definedName name="TM1UploadAB_Fail">reco!$B$57</definedName>
    <definedName name="TM1UploadAB_Success">reco!$B$56</definedName>
    <definedName name="TM1UploadErrLogCAP">reco!$C$44</definedName>
    <definedName name="TM1UploadErrLogWB">reco!$E$44</definedName>
    <definedName name="TM1UploadErrLogWS">reco!$G$44</definedName>
    <definedName name="TM1UploadTempCAP">reco!#REF!</definedName>
    <definedName name="TM1UploadTempWB">reco!#REF!</definedName>
    <definedName name="TM1UploadTempWS">reco!#REF!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10" i="1"/>
  <c r="B47" i="1"/>
  <c r="B3" i="1"/>
  <c r="G44" i="1"/>
  <c r="E43" i="1"/>
  <c r="C42" i="1"/>
  <c r="G36" i="1"/>
  <c r="E40" i="1"/>
  <c r="C39" i="1"/>
  <c r="G37" i="1"/>
  <c r="B20" i="1"/>
  <c r="F44" i="1"/>
  <c r="D43" i="1"/>
  <c r="B42" i="1"/>
  <c r="F36" i="1"/>
  <c r="D40" i="1"/>
  <c r="B39" i="1"/>
  <c r="F37" i="1"/>
  <c r="E44" i="1"/>
  <c r="C43" i="1"/>
  <c r="G41" i="1"/>
  <c r="E36" i="1"/>
  <c r="C40" i="1"/>
  <c r="G38" i="1"/>
  <c r="E37" i="1"/>
  <c r="B4" i="1"/>
  <c r="B11" i="1"/>
  <c r="B6" i="1"/>
  <c r="G35" i="1"/>
  <c r="E34" i="1"/>
  <c r="C33" i="1"/>
  <c r="B12" i="1"/>
  <c r="B50" i="1"/>
  <c r="D34" i="1"/>
  <c r="G42" i="1"/>
  <c r="C36" i="1"/>
  <c r="E38" i="1"/>
  <c r="C37" i="1"/>
  <c r="B51" i="1"/>
  <c r="C34" i="1"/>
  <c r="B44" i="1"/>
  <c r="D41" i="1"/>
  <c r="F39" i="1"/>
  <c r="B37" i="1"/>
  <c r="B52" i="1"/>
  <c r="B34" i="1"/>
  <c r="F32" i="1"/>
  <c r="E42" i="1"/>
  <c r="G40" i="1"/>
  <c r="E39" i="1"/>
  <c r="D44" i="1"/>
  <c r="B43" i="1"/>
  <c r="F41" i="1"/>
  <c r="D36" i="1"/>
  <c r="B40" i="1"/>
  <c r="F38" i="1"/>
  <c r="D37" i="1"/>
  <c r="B53" i="1"/>
  <c r="B13" i="1"/>
  <c r="F35" i="1"/>
  <c r="B33" i="1"/>
  <c r="C44" i="1"/>
  <c r="E41" i="1"/>
  <c r="G39" i="1"/>
  <c r="E35" i="1"/>
  <c r="G32" i="1"/>
  <c r="F42" i="1"/>
  <c r="B36" i="1"/>
  <c r="D38" i="1"/>
  <c r="B16" i="1"/>
  <c r="D35" i="1"/>
  <c r="G43" i="1"/>
  <c r="C41" i="1"/>
  <c r="C38" i="1"/>
  <c r="B14" i="1"/>
  <c r="C53" i="1"/>
  <c r="C35" i="1"/>
  <c r="G33" i="1"/>
  <c r="E32" i="1"/>
  <c r="F43" i="1"/>
  <c r="D42" i="1"/>
  <c r="B41" i="1"/>
  <c r="F40" i="1"/>
  <c r="D39" i="1"/>
  <c r="B38" i="1"/>
  <c r="B17" i="1"/>
  <c r="B15" i="1"/>
  <c r="B49" i="1"/>
  <c r="C52" i="1"/>
  <c r="B35" i="1"/>
  <c r="F33" i="1"/>
  <c r="D32" i="1"/>
  <c r="C51" i="1"/>
  <c r="G34" i="1"/>
  <c r="E33" i="1"/>
  <c r="C32" i="1"/>
  <c r="B22" i="1"/>
  <c r="B5" i="1"/>
  <c r="C50" i="1"/>
  <c r="F34" i="1"/>
  <c r="D33" i="1"/>
  <c r="B32" i="1"/>
  <c r="B7" i="1" l="1"/>
  <c r="B23" i="1"/>
  <c r="M83" i="1"/>
  <c r="M77" i="1"/>
  <c r="M81" i="1"/>
  <c r="B26" i="1"/>
</calcChain>
</file>

<file path=xl/sharedStrings.xml><?xml version="1.0" encoding="utf-8"?>
<sst xmlns="http://schemas.openxmlformats.org/spreadsheetml/2006/main" count="97" uniqueCount="95">
  <si>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</si>
  <si>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</si>
  <si>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</si>
  <si>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</si>
  <si>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</si>
  <si>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</si>
  <si>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</si>
  <si>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</si>
  <si>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</si>
  <si>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</si>
  <si>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</si>
  <si>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</si>
  <si>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</si>
  <si>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</si>
  <si>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</si>
  <si>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</si>
  <si>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</si>
  <si>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</si>
  <si>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</si>
  <si>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</si>
  <si>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</si>
  <si>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</si>
  <si>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</si>
  <si>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</si>
  <si>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</si>
  <si>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</si>
  <si>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</si>
  <si>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</si>
  <si>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</si>
  <si>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</si>
  <si>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</si>
  <si>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</si>
  <si>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</si>
  <si>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</si>
  <si>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Copy</t>
  </si>
  <si>
    <t>Reverse</t>
  </si>
  <si>
    <t>Copy and Reverse</t>
  </si>
  <si>
    <t>Delete</t>
  </si>
  <si>
    <t>Enter File Name :</t>
  </si>
  <si>
    <t>flatfile upload.csv</t>
  </si>
  <si>
    <t>Data Upload Directory :</t>
  </si>
  <si>
    <t>Upload Validation :</t>
  </si>
  <si>
    <t>Note :</t>
  </si>
  <si>
    <t>The upload process will put you in a queue and may take a few moments to complete.</t>
  </si>
  <si>
    <t>Note : Add the file extension (*.csv)</t>
  </si>
  <si>
    <t xml:space="preserve">Please ensure the upload file has enforced the following formats : </t>
  </si>
  <si>
    <t>General Comments :</t>
  </si>
  <si>
    <t>save location</t>
  </si>
  <si>
    <t>sys_upload directory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</si>
  <si>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</si>
  <si>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</si>
  <si>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</si>
  <si>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</si>
  <si>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</si>
  <si>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</si>
  <si>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</si>
  <si>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</si>
  <si>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</si>
  <si>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</si>
  <si>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Success</t>
  </si>
  <si>
    <t>Failure</t>
  </si>
  <si>
    <t>Validation FAILED. Please review exception logs, or ensure the files do not have any commas or dashes as zeroes, or th or file does not exist.</t>
  </si>
  <si>
    <t>Confirmation</t>
  </si>
  <si>
    <t>Action Button Messages and Parameters</t>
  </si>
  <si>
    <t>psFFType</t>
  </si>
  <si>
    <t>Standard CBMS</t>
  </si>
  <si>
    <t>CBMS Reconciliation Upload</t>
  </si>
  <si>
    <t>sys_CBMS Upload directory</t>
  </si>
  <si>
    <t>Exception Log Directory :</t>
  </si>
  <si>
    <t>sys_ImpFileExceptionLogs</t>
  </si>
  <si>
    <t>Note : When upload FAILS, error log files will be stored in this folder</t>
  </si>
  <si>
    <t>- General Format in excel</t>
  </si>
  <si>
    <t>- No commas (,) to seperate thousands</t>
  </si>
  <si>
    <t>- Zeroes are set as 0 not dashes (-)</t>
  </si>
  <si>
    <t>- Download the 'AEOR 13 Annual Estimates Detail Listings (AEIFRS report PBF)' from CBMS</t>
  </si>
  <si>
    <t>- Export CBMS document as 'CSV Archive'.</t>
  </si>
  <si>
    <t>- Remove carriage returns. Usually on the Period Headings in the CBMS File. (Columns AJ1 to AY1)</t>
  </si>
  <si>
    <t xml:space="preserve">- Delete the first 6-8 header rows in the file. </t>
  </si>
  <si>
    <t>CBMS Export Document Settings :</t>
  </si>
  <si>
    <t>Homepage - Administration - GEUS Setup</t>
  </si>
  <si>
    <t>Homepage - Administration - RDS</t>
  </si>
  <si>
    <t>Admin Archive - CBMS GEUS Reconciliation Summary Report</t>
  </si>
  <si>
    <t>Admin Archive - CBMS GEUS Reconciliation</t>
  </si>
  <si>
    <t>Homepage - Administration - Baseline</t>
  </si>
  <si>
    <t>CBMS AEIFRS file successfully loaded into GBMS.</t>
  </si>
  <si>
    <t xml:space="preserve">Are you sure you want to upload the CBMS File? </t>
  </si>
  <si>
    <t>Admin Archive - CBMS GEUS Reconciliation Detail Report</t>
  </si>
  <si>
    <t>Note : Set each of the parameters below and then click “UPLOAD CBMS</t>
  </si>
  <si>
    <t>BEFORE YOU BEGIN</t>
  </si>
  <si>
    <t>Ensure the CSV Options are  set as follows :</t>
  </si>
  <si>
    <t>Note : Ensure file is saved in this directory. This is set up by Administrators</t>
  </si>
  <si>
    <t>Admin Archive - CBMS GEUS Reconciliation Program Detail Report</t>
  </si>
  <si>
    <t>Admin Archive - CBMS GEUS Reconciliation Approp Report</t>
  </si>
  <si>
    <t>Data Entry - Upload Adjustment - Error log Report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</si>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</sst>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0" fillId="0" borderId="2" xfId="0" applyBorder="1"/>
    <xf numFmtId="0" fontId="3" fillId="4" borderId="4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right" vertical="top" indent="1"/>
    </xf>
    <xf numFmtId="0" fontId="10" fillId="0" borderId="0" xfId="0" applyFont="1" applyAlignment="1">
      <alignment vertical="top" wrapText="1"/>
    </xf>
    <xf numFmtId="0" fontId="8" fillId="4" borderId="5" xfId="0" quotePrefix="1" applyFont="1" applyFill="1" applyBorder="1" applyAlignment="1">
      <alignment horizontal="left"/>
    </xf>
    <xf numFmtId="0" fontId="1" fillId="0" borderId="0" xfId="0" applyFont="1"/>
    <xf numFmtId="0" fontId="8" fillId="4" borderId="5" xfId="0" applyFont="1" applyFill="1" applyBorder="1"/>
    <xf numFmtId="0" fontId="12" fillId="4" borderId="6" xfId="0" applyFont="1" applyFill="1" applyBorder="1"/>
    <xf numFmtId="0" fontId="3" fillId="0" borderId="4" xfId="0" applyFont="1" applyBorder="1" applyAlignment="1" applyProtection="1">
      <alignment horizontal="left" indent="1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3" xfId="1" xr:uid="{CB5C2425-6732-415A-940C-E939EE54FB20}"/>
  </cellStyles>
  <dxfs count="5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752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Upload Error Log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UploadErrLogWB"/>
  <ax:ocxPr ax:name="TargetWorksheetName" ax:value="=TM1UploadErrLog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UploadErrLog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88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Appro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AppropWB"/>
  <ax:ocxPr ax:name="TargetWorksheetName" ax:value="=TM1AdminArcCBMSRecoAppropWS"/>
  <ax:ocxPr ax:name="AutoTitles" ax:value="-1"/>
  <ax:ocxPr ax:name="ReplaceWindow" ax:value="-1"/>
  <ax:ocxPr ax:name="IsMappingFormula" ax:value="0"/>
  <ax:ocxPr ax:name="TargetTypes" ax:value="0"/>
  <ax:ocxPr ax:name="TargetObjects" ax:value="account"/>
  <ax:ocxPr ax:name="TargetSubsets" ax:value=""/>
  <ax:ocxPr ax:name="TargetAliases" ax:value="code and description"/>
  <ax:ocxPr ax:name="TargetValues" ax:value=""/>
  <ax:ocxPr ax:name="SourceTypes" ax:value="1"/>
  <ax:ocxPr ax:name="SourceObjects" ax:value="accoun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20"/>
  <ax:ocxPr ax:name="_ExtentY" ax:value="31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ProgDetWB"/>
  <ax:ocxPr ax:name="TargetWorksheetName" ax:value="=TM1AdminArcCBMSRecoProgDetWS"/>
  <ax:ocxPr ax:name="AutoTitles" ax:value="-1"/>
  <ax:ocxPr ax:name="ReplaceWindow" ax:value="-1"/>
  <ax:ocxPr ax:name="IsMappingFormula" ax:value="0"/>
  <ax:ocxPr ax:name="TargetTypes" ax:value="0"/>
  <ax:ocxPr ax:name="TargetObjects" ax:value="account"/>
  <ax:ocxPr ax:name="TargetSubsets" ax:value=""/>
  <ax:ocxPr ax:name="TargetAliases" ax:value="code and description"/>
  <ax:ocxPr ax:name="TargetValues" ax:value=""/>
  <ax:ocxPr ax:name="SourceTypes" ax:value="1"/>
  <ax:ocxPr ax:name="SourceObjects" ax:value="accoun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56"/>
  <ax:ocxPr ax:name="_ExtentY" ax:value="212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979"/>
  <ax:ocxPr ax:name="_ExtentY" ax:value="212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seline Menu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BaseWB"/>
  <ax:ocxPr ax:name="TargetWorksheetName" ax:value="=TM1HomeAdmin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dminBaseCAP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38"/>
  <ax:ocxPr ax:name="_ExtentY" ax:value="212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WB"/>
  <ax:ocxPr ax:name="TargetWorksheetName" ax:value="=TM1AdminArcCBMSRecoRe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38"/>
  <ax:ocxPr ax:name="_ExtentY" ax:value="212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Detail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DetWB"/>
  <ax:ocxPr ax:name="TargetWorksheetName" ax:value="=TM1AdminArcCBMSRecoRepDe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image" Target="../media/image7.emf"/><Relationship Id="rId7" Type="http://schemas.openxmlformats.org/officeDocument/2006/relationships/image" Target="../media/image10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9.emf"/><Relationship Id="rId5" Type="http://schemas.openxmlformats.org/officeDocument/2006/relationships/image" Target="../media/image4.emf"/><Relationship Id="rId10" Type="http://schemas.openxmlformats.org/officeDocument/2006/relationships/image" Target="../media/image1.emf"/><Relationship Id="rId4" Type="http://schemas.openxmlformats.org/officeDocument/2006/relationships/image" Target="../media/image8.emf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69</xdr:row>
      <xdr:rowOff>28575</xdr:rowOff>
    </xdr:from>
    <xdr:to>
      <xdr:col>10</xdr:col>
      <xdr:colOff>1181100</xdr:colOff>
      <xdr:row>69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1171575</xdr:colOff>
          <xdr:row>71</xdr:row>
          <xdr:rowOff>0</xdr:rowOff>
        </xdr:from>
        <xdr:to>
          <xdr:col>14</xdr:col>
          <xdr:colOff>1952625</xdr:colOff>
          <xdr:row>71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71</xdr:row>
          <xdr:rowOff>0</xdr:rowOff>
        </xdr:from>
        <xdr:to>
          <xdr:col>10</xdr:col>
          <xdr:colOff>66675</xdr:colOff>
          <xdr:row>71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71</xdr:row>
          <xdr:rowOff>0</xdr:rowOff>
        </xdr:from>
        <xdr:to>
          <xdr:col>10</xdr:col>
          <xdr:colOff>1228725</xdr:colOff>
          <xdr:row>71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5029200</xdr:colOff>
          <xdr:row>71</xdr:row>
          <xdr:rowOff>0</xdr:rowOff>
        </xdr:from>
        <xdr:to>
          <xdr:col>12</xdr:col>
          <xdr:colOff>5924550</xdr:colOff>
          <xdr:row>71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4524375</xdr:colOff>
          <xdr:row>70</xdr:row>
          <xdr:rowOff>28575</xdr:rowOff>
        </xdr:from>
        <xdr:to>
          <xdr:col>15</xdr:col>
          <xdr:colOff>0</xdr:colOff>
          <xdr:row>71</xdr:row>
          <xdr:rowOff>285750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71</xdr:row>
          <xdr:rowOff>0</xdr:rowOff>
        </xdr:from>
        <xdr:to>
          <xdr:col>12</xdr:col>
          <xdr:colOff>990600</xdr:colOff>
          <xdr:row>71</xdr:row>
          <xdr:rowOff>247650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12</xdr:col>
      <xdr:colOff>0</xdr:colOff>
      <xdr:row>98</xdr:row>
      <xdr:rowOff>28575</xdr:rowOff>
    </xdr:from>
    <xdr:to>
      <xdr:col>12</xdr:col>
      <xdr:colOff>2933700</xdr:colOff>
      <xdr:row>107</xdr:row>
      <xdr:rowOff>172085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49425" y="16754475"/>
          <a:ext cx="2933700" cy="184277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1038225</xdr:colOff>
          <xdr:row>71</xdr:row>
          <xdr:rowOff>0</xdr:rowOff>
        </xdr:from>
        <xdr:to>
          <xdr:col>12</xdr:col>
          <xdr:colOff>2343150</xdr:colOff>
          <xdr:row>71</xdr:row>
          <xdr:rowOff>247650</xdr:rowOff>
        </xdr:to>
        <xdr:sp macro="" textlink="">
          <xdr:nvSpPr>
            <xdr:cNvPr id="1044" name="TIButton4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2362200</xdr:colOff>
          <xdr:row>71</xdr:row>
          <xdr:rowOff>0</xdr:rowOff>
        </xdr:from>
        <xdr:to>
          <xdr:col>12</xdr:col>
          <xdr:colOff>3705225</xdr:colOff>
          <xdr:row>71</xdr:row>
          <xdr:rowOff>247650</xdr:rowOff>
        </xdr:to>
        <xdr:sp macro="" textlink="">
          <xdr:nvSpPr>
            <xdr:cNvPr id="1045" name="TIButton9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3752850</xdr:colOff>
          <xdr:row>71</xdr:row>
          <xdr:rowOff>0</xdr:rowOff>
        </xdr:from>
        <xdr:to>
          <xdr:col>12</xdr:col>
          <xdr:colOff>4991100</xdr:colOff>
          <xdr:row>71</xdr:row>
          <xdr:rowOff>247650</xdr:rowOff>
        </xdr:to>
        <xdr:sp macro="" textlink="">
          <xdr:nvSpPr>
            <xdr:cNvPr id="1046" name="TIButton8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5972175</xdr:colOff>
          <xdr:row>71</xdr:row>
          <xdr:rowOff>9525</xdr:rowOff>
        </xdr:from>
        <xdr:to>
          <xdr:col>14</xdr:col>
          <xdr:colOff>1114425</xdr:colOff>
          <xdr:row>71</xdr:row>
          <xdr:rowOff>257175</xdr:rowOff>
        </xdr:to>
        <xdr:sp macro="" textlink="">
          <xdr:nvSpPr>
            <xdr:cNvPr id="1047" name="TIButton10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21" Type="http://schemas.openxmlformats.org/officeDocument/2006/relationships/control" Target="../activeX/activeX9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24" Type="http://schemas.openxmlformats.org/officeDocument/2006/relationships/image" Target="../media/image10.emf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23" Type="http://schemas.openxmlformats.org/officeDocument/2006/relationships/control" Target="../activeX/activeX10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Relationship Id="rId22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pageSetUpPr fitToPage="1"/>
  </sheetPr>
  <dimension ref="A1:O98"/>
  <sheetViews>
    <sheetView showGridLines="0" tabSelected="1" topLeftCell="I70" workbookViewId="0">
      <selection sqref="A1:C1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90.7109375" customWidth="1"/>
    <col min="14" max="14" width="4" customWidth="1"/>
    <col min="15" max="15" width="72.5703125" customWidth="1"/>
  </cols>
  <sheetData>
    <row r="1" spans="1:3" hidden="1" outlineLevel="1" x14ac:dyDescent="0.25">
      <c r="A1" s="30" t="s">
        <v>0</v>
      </c>
      <c r="B1" s="31"/>
      <c r="C1" s="32"/>
    </row>
    <row r="2" spans="1:3" hidden="1" outlineLevel="1" x14ac:dyDescent="0.25">
      <c r="A2" s="1" t="s">
        <v>1</v>
      </c>
      <c r="B2" s="2" t="s">
        <v>94</v>
      </c>
      <c r="C2" s="3"/>
    </row>
    <row r="3" spans="1:3" hidden="1" outlineLevel="1" x14ac:dyDescent="0.25">
      <c r="A3" s="1" t="s">
        <v>2</v>
      </c>
      <c r="B3" s="4" t="e">
        <f ca="1">_xll.VIEW(db_name&amp;":}ElementAttributes_}Clients","!","!")</f>
        <v>#NAME?</v>
      </c>
      <c r="C3" s="3"/>
    </row>
    <row r="4" spans="1:3" hidden="1" outlineLevel="1" x14ac:dyDescent="0.25">
      <c r="A4" s="1" t="s">
        <v>3</v>
      </c>
      <c r="B4" s="2" t="e">
        <f ca="1">_xll.TM1USER(db_name)</f>
        <v>#NAME?</v>
      </c>
      <c r="C4" s="3"/>
    </row>
    <row r="5" spans="1:3" hidden="1" outlineLevel="1" x14ac:dyDescent="0.25">
      <c r="A5" s="1" t="s">
        <v>4</v>
      </c>
      <c r="B5" s="2" t="e">
        <f ca="1">_xll.DBR($B$3,$B$4,$A5)</f>
        <v>#NAME?</v>
      </c>
      <c r="C5" s="3"/>
    </row>
    <row r="6" spans="1:3" hidden="1" outlineLevel="1" x14ac:dyDescent="0.25">
      <c r="A6" s="1" t="s">
        <v>5</v>
      </c>
      <c r="B6" s="2" t="e">
        <f ca="1">_xll.DBR($B$3,$B$4,$A6)</f>
        <v>#NAME?</v>
      </c>
      <c r="C6" s="3"/>
    </row>
    <row r="7" spans="1:3" hidden="1" outlineLevel="1" x14ac:dyDescent="0.25">
      <c r="A7" s="1" t="s">
        <v>6</v>
      </c>
      <c r="B7" s="2" t="e">
        <f ca="1">IF(LEFT($B$5,6)="CAM_AD",$B$6,$B$5)</f>
        <v>#NAME?</v>
      </c>
      <c r="C7" s="5"/>
    </row>
    <row r="8" spans="1:3" hidden="1" outlineLevel="1" x14ac:dyDescent="0.25"/>
    <row r="9" spans="1:3" hidden="1" outlineLevel="1" x14ac:dyDescent="0.25">
      <c r="A9" s="30" t="s">
        <v>7</v>
      </c>
      <c r="B9" s="31"/>
      <c r="C9" s="32"/>
    </row>
    <row r="10" spans="1:3" hidden="1" outlineLevel="1" x14ac:dyDescent="0.25">
      <c r="A10" s="1" t="s">
        <v>8</v>
      </c>
      <c r="B10" s="5" t="e">
        <f ca="1">_xll.VIEW(db_name&amp;":}ElementAttributes_variables","!","!")</f>
        <v>#NAME?</v>
      </c>
      <c r="C10" s="5"/>
    </row>
    <row r="11" spans="1:3" hidden="1" outlineLevel="1" x14ac:dyDescent="0.25">
      <c r="A11" s="1" t="s">
        <v>9</v>
      </c>
      <c r="B11" s="5" t="e">
        <f ca="1">_xll.DBR($B$10,$A11,"value")</f>
        <v>#NAME?</v>
      </c>
      <c r="C11" s="5"/>
    </row>
    <row r="12" spans="1:3" hidden="1" outlineLevel="1" x14ac:dyDescent="0.25">
      <c r="A12" s="1" t="s">
        <v>10</v>
      </c>
      <c r="B12" s="5" t="e">
        <f ca="1">_xll.DBR($B$10,$A12,"value")</f>
        <v>#NAME?</v>
      </c>
      <c r="C12" s="5"/>
    </row>
    <row r="13" spans="1:3" hidden="1" outlineLevel="1" x14ac:dyDescent="0.25">
      <c r="A13" s="1" t="s">
        <v>54</v>
      </c>
      <c r="B13" s="5" t="e">
        <f ca="1">_xll.DBR($B$10,$A13,"value")</f>
        <v>#NAME?</v>
      </c>
      <c r="C13" s="5"/>
    </row>
    <row r="14" spans="1:3" hidden="1" outlineLevel="1" x14ac:dyDescent="0.25">
      <c r="A14" s="1" t="s">
        <v>47</v>
      </c>
      <c r="B14" s="5" t="e">
        <f ca="1">_xll.DBR($B$10,$A14,"value")</f>
        <v>#NAME?</v>
      </c>
      <c r="C14" s="5"/>
    </row>
    <row r="15" spans="1:3" hidden="1" outlineLevel="1" x14ac:dyDescent="0.25">
      <c r="A15" s="1" t="s">
        <v>48</v>
      </c>
      <c r="B15" s="5" t="e">
        <f ca="1">_xll.DBR($B$10,$A15,"value")</f>
        <v>#NAME?</v>
      </c>
      <c r="C15" s="5"/>
    </row>
    <row r="16" spans="1:3" hidden="1" outlineLevel="1" x14ac:dyDescent="0.25">
      <c r="A16" s="1" t="s">
        <v>67</v>
      </c>
      <c r="B16" s="5" t="e">
        <f ca="1">_xll.DBR($B$10,$A16,"value")</f>
        <v>#NAME?</v>
      </c>
      <c r="C16" s="5"/>
    </row>
    <row r="17" spans="1:7" hidden="1" outlineLevel="1" x14ac:dyDescent="0.25">
      <c r="A17" s="1" t="s">
        <v>69</v>
      </c>
      <c r="B17" s="5" t="e">
        <f ca="1">_xll.DBR($B$10,$A17,"value")</f>
        <v>#NAME?</v>
      </c>
      <c r="C17" s="5"/>
    </row>
    <row r="18" spans="1:7" hidden="1" outlineLevel="1" x14ac:dyDescent="0.25">
      <c r="B18" s="21"/>
      <c r="C18" s="3"/>
    </row>
    <row r="19" spans="1:7" hidden="1" outlineLevel="1" x14ac:dyDescent="0.25">
      <c r="A19" s="30" t="s">
        <v>52</v>
      </c>
      <c r="B19" s="31"/>
      <c r="C19" s="32"/>
    </row>
    <row r="20" spans="1:7" hidden="1" outlineLevel="1" x14ac:dyDescent="0.25">
      <c r="A20" s="1" t="s">
        <v>49</v>
      </c>
      <c r="B20" s="5" t="e">
        <f ca="1">_xll.DBR($B$10,$A20,"value")</f>
        <v>#NAME?</v>
      </c>
      <c r="C20" s="5"/>
    </row>
    <row r="21" spans="1:7" hidden="1" outlineLevel="1" x14ac:dyDescent="0.25">
      <c r="A21" s="1" t="s">
        <v>50</v>
      </c>
      <c r="B21" s="17" t="s">
        <v>56</v>
      </c>
      <c r="C21" s="5"/>
    </row>
    <row r="22" spans="1:7" hidden="1" outlineLevel="1" x14ac:dyDescent="0.25">
      <c r="A22" s="1" t="s">
        <v>51</v>
      </c>
      <c r="B22" s="5" t="e">
        <f ca="1">_xll.DBR($B$10,$A22,"value")</f>
        <v>#NAME?</v>
      </c>
      <c r="C22" s="5"/>
    </row>
    <row r="23" spans="1:7" hidden="1" outlineLevel="1" x14ac:dyDescent="0.25">
      <c r="A23" s="1" t="s">
        <v>55</v>
      </c>
      <c r="B23" s="5" t="e">
        <f ca="1">$B$21&amp;"/"&amp;$B$22&amp;"/"</f>
        <v>#NAME?</v>
      </c>
      <c r="C23" s="5"/>
    </row>
    <row r="24" spans="1:7" hidden="1" outlineLevel="1" x14ac:dyDescent="0.25"/>
    <row r="25" spans="1:7" hidden="1" outlineLevel="1" x14ac:dyDescent="0.25">
      <c r="A25" s="33" t="s">
        <v>57</v>
      </c>
      <c r="B25" s="33"/>
      <c r="C25" s="33"/>
    </row>
    <row r="26" spans="1:7" hidden="1" outlineLevel="1" x14ac:dyDescent="0.25">
      <c r="A26" s="1" t="s">
        <v>53</v>
      </c>
      <c r="B26" s="5" t="e">
        <f ca="1">$B$20&amp;"\"&amp;$B$22&amp;"\"&amp;$B$11&amp;"\"&amp;$B$13&amp;"\"</f>
        <v>#NAME?</v>
      </c>
      <c r="C26" s="5"/>
    </row>
    <row r="27" spans="1:7" hidden="1" outlineLevel="1" x14ac:dyDescent="0.25"/>
    <row r="28" spans="1:7" hidden="1" outlineLevel="1" x14ac:dyDescent="0.25">
      <c r="A28" s="30" t="s">
        <v>11</v>
      </c>
      <c r="B28" s="31"/>
      <c r="C28" s="32"/>
    </row>
    <row r="29" spans="1:7" hidden="1" outlineLevel="1" x14ac:dyDescent="0.25">
      <c r="A29" s="5" t="s">
        <v>12</v>
      </c>
      <c r="B29" s="5" t="e">
        <f ca="1">_xll.VIEW(db_name&amp;":sys_application","!","!")</f>
        <v>#NAME?</v>
      </c>
    </row>
    <row r="30" spans="1:7" hidden="1" outlineLevel="1" x14ac:dyDescent="0.25">
      <c r="A30" s="5" t="s">
        <v>13</v>
      </c>
      <c r="B30" s="5" t="s">
        <v>82</v>
      </c>
    </row>
    <row r="31" spans="1:7" hidden="1" outlineLevel="1" x14ac:dyDescent="0.25">
      <c r="A31" s="6" t="s">
        <v>14</v>
      </c>
      <c r="B31" s="7" t="s">
        <v>15</v>
      </c>
      <c r="C31" s="7" t="s">
        <v>16</v>
      </c>
      <c r="D31" s="7" t="s">
        <v>17</v>
      </c>
      <c r="E31" s="7" t="s">
        <v>18</v>
      </c>
      <c r="F31" s="7" t="s">
        <v>19</v>
      </c>
      <c r="G31" s="7" t="s">
        <v>20</v>
      </c>
    </row>
    <row r="32" spans="1:7" hidden="1" outlineLevel="1" x14ac:dyDescent="0.25">
      <c r="A32" s="5" t="s">
        <v>21</v>
      </c>
      <c r="B32" s="5" t="e">
        <f ca="1">_xll.DBR($B$29,$A32,B$31)</f>
        <v>#NAME?</v>
      </c>
      <c r="C32" s="5" t="e">
        <f ca="1">_xll.DBR($B$29,$A32,C$31)</f>
        <v>#NAME?</v>
      </c>
      <c r="D32" s="5" t="e">
        <f ca="1">_xll.DBR($B$29,$A32,D$31)</f>
        <v>#NAME?</v>
      </c>
      <c r="E32" s="5" t="e">
        <f ca="1">_xll.DBR($B$29,$A32,E$31)</f>
        <v>#NAME?</v>
      </c>
      <c r="F32" s="5" t="e">
        <f ca="1">_xll.DBR($B$29,$A32,F$31)</f>
        <v>#NAME?</v>
      </c>
      <c r="G32" s="5" t="e">
        <f ca="1">_xll.DBR($B$29,$A32,G$31)</f>
        <v>#NAME?</v>
      </c>
    </row>
    <row r="33" spans="1:7" hidden="1" outlineLevel="1" x14ac:dyDescent="0.25">
      <c r="A33" s="5" t="s">
        <v>22</v>
      </c>
      <c r="B33" s="5" t="e">
        <f ca="1">_xll.DBR($B$29,$A33,B$31)</f>
        <v>#NAME?</v>
      </c>
      <c r="C33" s="5" t="e">
        <f ca="1">_xll.DBR($B$29,$A33,C$31)</f>
        <v>#NAME?</v>
      </c>
      <c r="D33" s="5" t="e">
        <f ca="1">_xll.DBR($B$29,$A33,D$31)</f>
        <v>#NAME?</v>
      </c>
      <c r="E33" s="5" t="e">
        <f ca="1">_xll.DBR($B$29,$A33,E$31)</f>
        <v>#NAME?</v>
      </c>
      <c r="F33" s="5" t="e">
        <f ca="1">_xll.DBR($B$29,$A33,F$31)</f>
        <v>#NAME?</v>
      </c>
      <c r="G33" s="5" t="e">
        <f ca="1">_xll.DBR($B$29,$A33,G$31)</f>
        <v>#NAME?</v>
      </c>
    </row>
    <row r="34" spans="1:7" hidden="1" outlineLevel="1" x14ac:dyDescent="0.25">
      <c r="A34" s="5" t="s">
        <v>23</v>
      </c>
      <c r="B34" s="5" t="e">
        <f ca="1">_xll.DBR($B$29,$A34,B$31)</f>
        <v>#NAME?</v>
      </c>
      <c r="C34" s="5" t="e">
        <f ca="1">_xll.DBR($B$29,$A34,C$31)</f>
        <v>#NAME?</v>
      </c>
      <c r="D34" s="5" t="e">
        <f ca="1">_xll.DBR($B$29,$A34,D$31)</f>
        <v>#NAME?</v>
      </c>
      <c r="E34" s="5" t="e">
        <f ca="1">_xll.DBR($B$29,$A34,E$31)</f>
        <v>#NAME?</v>
      </c>
      <c r="F34" s="5" t="e">
        <f ca="1">_xll.DBR($B$29,$A34,F$31)</f>
        <v>#NAME?</v>
      </c>
      <c r="G34" s="5" t="e">
        <f ca="1">_xll.DBR($B$29,$A34,G$31)</f>
        <v>#NAME?</v>
      </c>
    </row>
    <row r="35" spans="1:7" hidden="1" outlineLevel="1" x14ac:dyDescent="0.25">
      <c r="A35" s="5" t="s">
        <v>24</v>
      </c>
      <c r="B35" s="5" t="e">
        <f ca="1">_xll.DBR($B$29,$A35,B$31)</f>
        <v>#NAME?</v>
      </c>
      <c r="C35" s="5" t="e">
        <f ca="1">_xll.DBR($B$29,$A35,C$31)</f>
        <v>#NAME?</v>
      </c>
      <c r="D35" s="5" t="e">
        <f ca="1">_xll.DBR($B$29,$A35,D$31)</f>
        <v>#NAME?</v>
      </c>
      <c r="E35" s="5" t="e">
        <f ca="1">_xll.DBR($B$29,$A35,E$31)</f>
        <v>#NAME?</v>
      </c>
      <c r="F35" s="5" t="e">
        <f ca="1">_xll.DBR($B$29,$A35,F$31)</f>
        <v>#NAME?</v>
      </c>
      <c r="G35" s="5" t="e">
        <f ca="1">_xll.DBR($B$29,$A35,G$31)</f>
        <v>#NAME?</v>
      </c>
    </row>
    <row r="36" spans="1:7" hidden="1" outlineLevel="1" x14ac:dyDescent="0.25">
      <c r="A36" t="s">
        <v>83</v>
      </c>
      <c r="B36" s="5" t="e">
        <f ca="1">_xll.DBR($B$29,$A36,B$31)</f>
        <v>#NAME?</v>
      </c>
      <c r="C36" s="5" t="e">
        <f ca="1">_xll.DBR($B$29,$A36,C$31)</f>
        <v>#NAME?</v>
      </c>
      <c r="D36" s="5" t="e">
        <f ca="1">_xll.DBR($B$29,$A36,D$31)</f>
        <v>#NAME?</v>
      </c>
      <c r="E36" s="5" t="e">
        <f ca="1">_xll.DBR($B$29,$A36,E$31)</f>
        <v>#NAME?</v>
      </c>
      <c r="F36" s="5" t="e">
        <f ca="1">_xll.DBR($B$29,$A36,F$31)</f>
        <v>#NAME?</v>
      </c>
      <c r="G36" s="5" t="e">
        <f ca="1">_xll.DBR($B$29,$A36,G$31)</f>
        <v>#NAME?</v>
      </c>
    </row>
    <row r="37" spans="1:7" hidden="1" outlineLevel="1" x14ac:dyDescent="0.25">
      <c r="A37" s="5" t="s">
        <v>79</v>
      </c>
      <c r="B37" s="5" t="e">
        <f ca="1">_xll.DBR($B$29,$A37,B$31)</f>
        <v>#NAME?</v>
      </c>
      <c r="C37" s="5" t="e">
        <f ca="1">_xll.DBR($B$29,$A37,C$31)</f>
        <v>#NAME?</v>
      </c>
      <c r="D37" s="5" t="e">
        <f ca="1">_xll.DBR($B$29,$A37,D$31)</f>
        <v>#NAME?</v>
      </c>
      <c r="E37" s="5" t="e">
        <f ca="1">_xll.DBR($B$29,$A37,E$31)</f>
        <v>#NAME?</v>
      </c>
      <c r="F37" s="5" t="e">
        <f ca="1">_xll.DBR($B$29,$A37,F$31)</f>
        <v>#NAME?</v>
      </c>
      <c r="G37" s="5" t="e">
        <f ca="1">_xll.DBR($B$29,$A37,G$31)</f>
        <v>#NAME?</v>
      </c>
    </row>
    <row r="38" spans="1:7" hidden="1" outlineLevel="1" x14ac:dyDescent="0.25">
      <c r="A38" s="5" t="s">
        <v>80</v>
      </c>
      <c r="B38" s="5" t="e">
        <f ca="1">_xll.DBR($B$29,$A38,B$31)</f>
        <v>#NAME?</v>
      </c>
      <c r="C38" s="5" t="e">
        <f ca="1">_xll.DBR($B$29,$A38,C$31)</f>
        <v>#NAME?</v>
      </c>
      <c r="D38" s="5" t="e">
        <f ca="1">_xll.DBR($B$29,$A38,D$31)</f>
        <v>#NAME?</v>
      </c>
      <c r="E38" s="5" t="e">
        <f ca="1">_xll.DBR($B$29,$A38,E$31)</f>
        <v>#NAME?</v>
      </c>
      <c r="F38" s="5" t="e">
        <f ca="1">_xll.DBR($B$29,$A38,F$31)</f>
        <v>#NAME?</v>
      </c>
      <c r="G38" s="5" t="e">
        <f ca="1">_xll.DBR($B$29,$A38,G$31)</f>
        <v>#NAME?</v>
      </c>
    </row>
    <row r="39" spans="1:7" hidden="1" outlineLevel="1" x14ac:dyDescent="0.25">
      <c r="A39" s="5" t="s">
        <v>82</v>
      </c>
      <c r="B39" s="5" t="e">
        <f ca="1">_xll.DBR($B$29,$A39,B$31)</f>
        <v>#NAME?</v>
      </c>
      <c r="C39" s="5" t="e">
        <f ca="1">_xll.DBR($B$29,$A39,C$31)</f>
        <v>#NAME?</v>
      </c>
      <c r="D39" s="5" t="e">
        <f ca="1">_xll.DBR($B$29,$A39,D$31)</f>
        <v>#NAME?</v>
      </c>
      <c r="E39" s="5" t="e">
        <f ca="1">_xll.DBR($B$29,$A39,E$31)</f>
        <v>#NAME?</v>
      </c>
      <c r="F39" s="5" t="e">
        <f ca="1">_xll.DBR($B$29,$A39,F$31)</f>
        <v>#NAME?</v>
      </c>
      <c r="G39" s="5" t="e">
        <f ca="1">_xll.DBR($B$29,$A39,G$31)</f>
        <v>#NAME?</v>
      </c>
    </row>
    <row r="40" spans="1:7" hidden="1" outlineLevel="1" x14ac:dyDescent="0.25">
      <c r="A40" s="5" t="s">
        <v>81</v>
      </c>
      <c r="B40" s="5" t="e">
        <f ca="1">_xll.DBR($B$29,$A40,B$31)</f>
        <v>#NAME?</v>
      </c>
      <c r="C40" s="5" t="e">
        <f ca="1">_xll.DBR($B$29,$A40,C$31)</f>
        <v>#NAME?</v>
      </c>
      <c r="D40" s="5" t="e">
        <f ca="1">_xll.DBR($B$29,$A40,D$31)</f>
        <v>#NAME?</v>
      </c>
      <c r="E40" s="5" t="e">
        <f ca="1">_xll.DBR($B$29,$A40,E$31)</f>
        <v>#NAME?</v>
      </c>
      <c r="F40" s="5" t="e">
        <f ca="1">_xll.DBR($B$29,$A40,F$31)</f>
        <v>#NAME?</v>
      </c>
      <c r="G40" s="5" t="e">
        <f ca="1">_xll.DBR($B$29,$A40,G$31)</f>
        <v>#NAME?</v>
      </c>
    </row>
    <row r="41" spans="1:7" hidden="1" outlineLevel="1" x14ac:dyDescent="0.25">
      <c r="A41" s="5" t="s">
        <v>86</v>
      </c>
      <c r="B41" s="5" t="e">
        <f ca="1">_xll.DBR($B$29,$A41,B$31)</f>
        <v>#NAME?</v>
      </c>
      <c r="C41" s="5" t="e">
        <f ca="1">_xll.DBR($B$29,$A41,C$31)</f>
        <v>#NAME?</v>
      </c>
      <c r="D41" s="5" t="e">
        <f ca="1">_xll.DBR($B$29,$A41,D$31)</f>
        <v>#NAME?</v>
      </c>
      <c r="E41" s="5" t="e">
        <f ca="1">_xll.DBR($B$29,$A41,E$31)</f>
        <v>#NAME?</v>
      </c>
      <c r="F41" s="5" t="e">
        <f ca="1">_xll.DBR($B$29,$A41,F$31)</f>
        <v>#NAME?</v>
      </c>
      <c r="G41" s="5" t="e">
        <f ca="1">_xll.DBR($B$29,$A41,G$31)</f>
        <v>#NAME?</v>
      </c>
    </row>
    <row r="42" spans="1:7" hidden="1" outlineLevel="1" x14ac:dyDescent="0.25">
      <c r="A42" s="5" t="s">
        <v>91</v>
      </c>
      <c r="B42" s="5" t="e">
        <f ca="1">_xll.DBR($B$29,$A42,B$31)</f>
        <v>#NAME?</v>
      </c>
      <c r="C42" s="5" t="e">
        <f ca="1">_xll.DBR($B$29,$A42,C$31)</f>
        <v>#NAME?</v>
      </c>
      <c r="D42" s="5" t="e">
        <f ca="1">_xll.DBR($B$29,$A42,D$31)</f>
        <v>#NAME?</v>
      </c>
      <c r="E42" s="5" t="e">
        <f ca="1">_xll.DBR($B$29,$A42,E$31)</f>
        <v>#NAME?</v>
      </c>
      <c r="F42" s="5" t="e">
        <f ca="1">_xll.DBR($B$29,$A42,F$31)</f>
        <v>#NAME?</v>
      </c>
      <c r="G42" s="5" t="e">
        <f ca="1">_xll.DBR($B$29,$A42,G$31)</f>
        <v>#NAME?</v>
      </c>
    </row>
    <row r="43" spans="1:7" hidden="1" outlineLevel="1" x14ac:dyDescent="0.25">
      <c r="A43" s="5" t="s">
        <v>92</v>
      </c>
      <c r="B43" s="5" t="e">
        <f ca="1">_xll.DBR($B$29,$A43,B$31)</f>
        <v>#NAME?</v>
      </c>
      <c r="C43" s="5" t="e">
        <f ca="1">_xll.DBR($B$29,$A43,C$31)</f>
        <v>#NAME?</v>
      </c>
      <c r="D43" s="5" t="e">
        <f ca="1">_xll.DBR($B$29,$A43,D$31)</f>
        <v>#NAME?</v>
      </c>
      <c r="E43" s="5" t="e">
        <f ca="1">_xll.DBR($B$29,$A43,E$31)</f>
        <v>#NAME?</v>
      </c>
      <c r="F43" s="5" t="e">
        <f ca="1">_xll.DBR($B$29,$A43,F$31)</f>
        <v>#NAME?</v>
      </c>
      <c r="G43" s="5" t="e">
        <f ca="1">_xll.DBR($B$29,$A43,G$31)</f>
        <v>#NAME?</v>
      </c>
    </row>
    <row r="44" spans="1:7" hidden="1" outlineLevel="1" x14ac:dyDescent="0.25">
      <c r="A44" s="5" t="s">
        <v>93</v>
      </c>
      <c r="B44" s="5" t="e">
        <f ca="1">_xll.DBR($B$29,$A44,B$31)</f>
        <v>#NAME?</v>
      </c>
      <c r="C44" s="5" t="e">
        <f ca="1">_xll.DBR($B$29,$A44,C$31)</f>
        <v>#NAME?</v>
      </c>
      <c r="D44" s="5" t="e">
        <f ca="1">_xll.DBR($B$29,$A44,D$31)</f>
        <v>#NAME?</v>
      </c>
      <c r="E44" s="5" t="e">
        <f ca="1">_xll.DBR($B$29,$A44,E$31)</f>
        <v>#NAME?</v>
      </c>
      <c r="F44" s="5" t="e">
        <f ca="1">_xll.DBR($B$29,$A44,F$31)</f>
        <v>#NAME?</v>
      </c>
      <c r="G44" s="5" t="e">
        <f ca="1">_xll.DBR($B$29,$A44,G$31)</f>
        <v>#NAME?</v>
      </c>
    </row>
    <row r="45" spans="1:7" hidden="1" outlineLevel="1" x14ac:dyDescent="0.25"/>
    <row r="46" spans="1:7" hidden="1" outlineLevel="1" x14ac:dyDescent="0.25">
      <c r="A46" s="30" t="s">
        <v>25</v>
      </c>
      <c r="B46" s="31"/>
      <c r="C46" s="32"/>
    </row>
    <row r="47" spans="1:7" hidden="1" outlineLevel="1" x14ac:dyDescent="0.25">
      <c r="A47" s="1" t="s">
        <v>8</v>
      </c>
      <c r="B47" s="5" t="e">
        <f ca="1">_xll.VIEW(db_name&amp;":sys_client preference","!","!","!")</f>
        <v>#NAME?</v>
      </c>
      <c r="C47" s="5"/>
    </row>
    <row r="48" spans="1:7" hidden="1" outlineLevel="1" x14ac:dyDescent="0.25">
      <c r="A48" s="1"/>
      <c r="B48" s="8" t="s">
        <v>26</v>
      </c>
      <c r="C48" s="8" t="s">
        <v>27</v>
      </c>
    </row>
    <row r="49" spans="1:3" hidden="1" outlineLevel="1" x14ac:dyDescent="0.25">
      <c r="A49" s="1" t="s">
        <v>28</v>
      </c>
      <c r="B49" s="5" t="e">
        <f ca="1">_xll.SUBNM(db_name&amp;":sys_client preference measure","","value")</f>
        <v>#NAME?</v>
      </c>
      <c r="C49" s="8"/>
    </row>
    <row r="50" spans="1:3" hidden="1" outlineLevel="1" x14ac:dyDescent="0.25">
      <c r="A50" s="1" t="s">
        <v>29</v>
      </c>
      <c r="B50" s="5" t="e">
        <f ca="1">_xll.DBR($B$47,psUser,$A50,B$48)</f>
        <v>#NAME?</v>
      </c>
      <c r="C50" s="5" t="e">
        <f ca="1">_xll.DBR($B$47,psUser,$A50,C$48)</f>
        <v>#NAME?</v>
      </c>
    </row>
    <row r="51" spans="1:3" hidden="1" outlineLevel="1" x14ac:dyDescent="0.25">
      <c r="A51" s="1" t="s">
        <v>30</v>
      </c>
      <c r="B51" s="5" t="e">
        <f ca="1">_xll.DBR($B$47,psUser,$A51,B$48)</f>
        <v>#NAME?</v>
      </c>
      <c r="C51" s="5" t="e">
        <f ca="1">_xll.DBR($B$47,psUser,$A51,C$48)</f>
        <v>#NAME?</v>
      </c>
    </row>
    <row r="52" spans="1:3" hidden="1" outlineLevel="1" x14ac:dyDescent="0.25">
      <c r="A52" s="1" t="s">
        <v>31</v>
      </c>
      <c r="B52" s="5" t="e">
        <f ca="1">_xll.DBR($B$47,psUser,$A52,B$48)</f>
        <v>#NAME?</v>
      </c>
      <c r="C52" s="5" t="e">
        <f ca="1">_xll.DBR($B$47,psUser,$A52,C$48)</f>
        <v>#NAME?</v>
      </c>
    </row>
    <row r="53" spans="1:3" hidden="1" outlineLevel="1" x14ac:dyDescent="0.25">
      <c r="A53" s="1" t="s">
        <v>58</v>
      </c>
      <c r="B53" s="5" t="e">
        <f ca="1">_xll.DBR($B$47,psUser,$A53,B$48)</f>
        <v>#NAME?</v>
      </c>
      <c r="C53" s="5" t="e">
        <f ca="1">_xll.DBR($B$47,psUser,$A53,C$48)</f>
        <v>#NAME?</v>
      </c>
    </row>
    <row r="54" spans="1:3" hidden="1" outlineLevel="1" x14ac:dyDescent="0.25"/>
    <row r="55" spans="1:3" hidden="1" outlineLevel="1" x14ac:dyDescent="0.25">
      <c r="A55" s="34" t="s">
        <v>63</v>
      </c>
      <c r="B55" s="34"/>
      <c r="C55" s="34"/>
    </row>
    <row r="56" spans="1:3" hidden="1" outlineLevel="1" x14ac:dyDescent="0.25">
      <c r="A56" s="5" t="s">
        <v>59</v>
      </c>
      <c r="B56" s="5" t="s">
        <v>84</v>
      </c>
      <c r="C56" s="5"/>
    </row>
    <row r="57" spans="1:3" hidden="1" outlineLevel="1" x14ac:dyDescent="0.25">
      <c r="A57" s="5" t="s">
        <v>60</v>
      </c>
      <c r="B57" s="5" t="s">
        <v>61</v>
      </c>
      <c r="C57" s="5"/>
    </row>
    <row r="58" spans="1:3" hidden="1" outlineLevel="1" x14ac:dyDescent="0.25">
      <c r="A58" s="5" t="s">
        <v>62</v>
      </c>
      <c r="B58" s="5" t="s">
        <v>85</v>
      </c>
      <c r="C58" s="5"/>
    </row>
    <row r="59" spans="1:3" hidden="1" outlineLevel="1" x14ac:dyDescent="0.25">
      <c r="A59" s="5" t="s">
        <v>64</v>
      </c>
      <c r="B59" s="5" t="s">
        <v>65</v>
      </c>
      <c r="C59" s="5"/>
    </row>
    <row r="60" spans="1:3" hidden="1" outlineLevel="1" x14ac:dyDescent="0.25"/>
    <row r="61" spans="1:3" hidden="1" outlineLevel="1" x14ac:dyDescent="0.25"/>
    <row r="62" spans="1:3" hidden="1" outlineLevel="1" x14ac:dyDescent="0.25"/>
    <row r="63" spans="1:3" hidden="1" outlineLevel="1" x14ac:dyDescent="0.25"/>
    <row r="64" spans="1:3" hidden="1" outlineLevel="1" x14ac:dyDescent="0.25"/>
    <row r="65" spans="9:15" hidden="1" outlineLevel="1" x14ac:dyDescent="0.25"/>
    <row r="66" spans="9:15" hidden="1" outlineLevel="1" x14ac:dyDescent="0.25"/>
    <row r="67" spans="9:15" hidden="1" outlineLevel="1" x14ac:dyDescent="0.25"/>
    <row r="68" spans="9:15" hidden="1" outlineLevel="1" x14ac:dyDescent="0.25"/>
    <row r="69" spans="9:15" hidden="1" outlineLevel="1" x14ac:dyDescent="0.25"/>
    <row r="70" spans="9:15" ht="39.75" customHeight="1" collapsed="1" x14ac:dyDescent="0.25">
      <c r="I70" s="9"/>
      <c r="J70" s="9"/>
      <c r="K70" s="9"/>
      <c r="L70" s="9"/>
      <c r="M70" s="9"/>
      <c r="N70" s="9"/>
      <c r="O70" s="9" t="s">
        <v>66</v>
      </c>
    </row>
    <row r="71" spans="9:15" ht="4.5" customHeight="1" x14ac:dyDescent="0.25"/>
    <row r="72" spans="9:15" ht="24" customHeight="1" x14ac:dyDescent="0.25"/>
    <row r="73" spans="9:15" ht="1.5" customHeight="1" x14ac:dyDescent="0.25">
      <c r="I73" s="9"/>
      <c r="J73" s="9"/>
      <c r="K73" s="9"/>
      <c r="L73" s="9"/>
      <c r="M73" s="9"/>
      <c r="N73" s="9"/>
      <c r="O73" s="9"/>
    </row>
    <row r="74" spans="9:15" ht="5.25" customHeight="1" x14ac:dyDescent="0.25"/>
    <row r="75" spans="9:15" x14ac:dyDescent="0.25">
      <c r="J75" s="18" t="s">
        <v>87</v>
      </c>
    </row>
    <row r="77" spans="9:15" ht="30" customHeight="1" x14ac:dyDescent="0.25">
      <c r="K77" s="23" t="s">
        <v>40</v>
      </c>
      <c r="M77" s="22" t="e">
        <f ca="1">$B$16</f>
        <v>#NAME?</v>
      </c>
      <c r="O77" s="18" t="s">
        <v>90</v>
      </c>
    </row>
    <row r="78" spans="9:15" ht="5.0999999999999996" customHeight="1" x14ac:dyDescent="0.25"/>
    <row r="79" spans="9:15" x14ac:dyDescent="0.25">
      <c r="K79" s="10" t="s">
        <v>38</v>
      </c>
      <c r="M79" s="29" t="s">
        <v>39</v>
      </c>
      <c r="O79" s="18" t="s">
        <v>44</v>
      </c>
    </row>
    <row r="80" spans="9:15" ht="4.5" customHeight="1" x14ac:dyDescent="0.25">
      <c r="K80" s="11"/>
      <c r="M80" s="12"/>
    </row>
    <row r="81" spans="11:15" x14ac:dyDescent="0.25">
      <c r="K81" s="11" t="s">
        <v>41</v>
      </c>
      <c r="M81" s="20" t="e">
        <f ca="1">$B$53</f>
        <v>#NAME?</v>
      </c>
      <c r="O81" s="19"/>
    </row>
    <row r="82" spans="11:15" ht="4.5" customHeight="1" x14ac:dyDescent="0.25"/>
    <row r="83" spans="11:15" ht="30" customHeight="1" x14ac:dyDescent="0.25">
      <c r="K83" s="23" t="s">
        <v>68</v>
      </c>
      <c r="M83" s="22" t="e">
        <f ca="1">$B$17</f>
        <v>#NAME?</v>
      </c>
      <c r="O83" s="24" t="s">
        <v>70</v>
      </c>
    </row>
    <row r="84" spans="11:15" ht="4.5" customHeight="1" x14ac:dyDescent="0.25"/>
    <row r="85" spans="11:15" x14ac:dyDescent="0.25">
      <c r="K85" s="13" t="s">
        <v>42</v>
      </c>
      <c r="M85" s="14" t="s">
        <v>43</v>
      </c>
    </row>
    <row r="86" spans="11:15" ht="5.0999999999999996" customHeight="1" x14ac:dyDescent="0.25"/>
    <row r="87" spans="11:15" x14ac:dyDescent="0.25">
      <c r="K87" s="11" t="s">
        <v>46</v>
      </c>
      <c r="M87" s="28" t="s">
        <v>88</v>
      </c>
    </row>
    <row r="88" spans="11:15" x14ac:dyDescent="0.25">
      <c r="K88" s="11"/>
      <c r="M88" s="27" t="s">
        <v>45</v>
      </c>
    </row>
    <row r="89" spans="11:15" x14ac:dyDescent="0.25">
      <c r="M89" s="25" t="s">
        <v>74</v>
      </c>
    </row>
    <row r="90" spans="11:15" x14ac:dyDescent="0.25">
      <c r="M90" s="25" t="s">
        <v>75</v>
      </c>
    </row>
    <row r="91" spans="11:15" x14ac:dyDescent="0.25">
      <c r="M91" s="25" t="s">
        <v>77</v>
      </c>
    </row>
    <row r="92" spans="11:15" x14ac:dyDescent="0.25">
      <c r="M92" s="25" t="s">
        <v>76</v>
      </c>
    </row>
    <row r="93" spans="11:15" x14ac:dyDescent="0.25">
      <c r="M93" s="15" t="s">
        <v>71</v>
      </c>
    </row>
    <row r="94" spans="11:15" x14ac:dyDescent="0.25">
      <c r="M94" s="15" t="s">
        <v>72</v>
      </c>
    </row>
    <row r="95" spans="11:15" x14ac:dyDescent="0.25">
      <c r="M95" s="16" t="s">
        <v>73</v>
      </c>
    </row>
    <row r="96" spans="11:15" ht="4.5" customHeight="1" x14ac:dyDescent="0.25"/>
    <row r="97" spans="11:13" x14ac:dyDescent="0.25">
      <c r="K97" s="11" t="s">
        <v>78</v>
      </c>
      <c r="M97" s="19" t="s">
        <v>89</v>
      </c>
    </row>
    <row r="98" spans="11:13" ht="4.5" customHeight="1" x14ac:dyDescent="0.25">
      <c r="M98" s="26"/>
    </row>
  </sheetData>
  <sheetProtection sheet="1" objects="1" scenarios="1"/>
  <mergeCells count="7">
    <mergeCell ref="A19:C19"/>
    <mergeCell ref="A25:C25"/>
    <mergeCell ref="A55:C55"/>
    <mergeCell ref="A1:C1"/>
    <mergeCell ref="A9:C9"/>
    <mergeCell ref="A28:C28"/>
    <mergeCell ref="A46:C46"/>
  </mergeCells>
  <conditionalFormatting sqref="M77">
    <cfRule type="containsText" dxfId="4" priority="5" operator="containsText" text="approve">
      <formula>NOT(ISERROR(SEARCH("approve",M77)))</formula>
    </cfRule>
    <cfRule type="beginsWith" dxfId="3" priority="6" operator="beginsWith" text="un">
      <formula>LEFT(M77,LEN("un"))="un"</formula>
    </cfRule>
  </conditionalFormatting>
  <conditionalFormatting sqref="M81">
    <cfRule type="notContainsText" dxfId="2" priority="4" operator="notContains" text="PASS">
      <formula>ISERROR(SEARCH("PASS",M81))</formula>
    </cfRule>
  </conditionalFormatting>
  <conditionalFormatting sqref="M83">
    <cfRule type="containsText" dxfId="1" priority="1" operator="containsText" text="approve">
      <formula>NOT(ISERROR(SEARCH("approve",M83)))</formula>
    </cfRule>
    <cfRule type="beginsWith" dxfId="0" priority="2" operator="beginsWith" text="un">
      <formula>LEFT(M83,LEN("un"))="un"</formula>
    </cfRule>
  </conditionalFormatting>
  <hyperlinks>
    <hyperlink ref="B21" r:id="rId1" xr:uid="{E1093337-6FD9-42BB-863E-EE26F8F60131}"/>
  </hyperlinks>
  <pageMargins left="0.70866141732283472" right="0.70866141732283472" top="0.74803149606299213" bottom="0.74803149606299213" header="0.31496062992125984" footer="0.31496062992125984"/>
  <pageSetup paperSize="9" scale="83" orientation="landscape" horizontalDpi="0" verticalDpi="0" r:id="rId2"/>
  <drawing r:id="rId3"/>
  <legacyDrawing r:id="rId4"/>
  <controls>
    <mc:AlternateContent xmlns:mc="http://schemas.openxmlformats.org/markup-compatibility/2006">
      <mc:Choice Requires="x14">
        <control shapeId="1047" r:id="rId5" name="TIButton10">
          <controlPr defaultSize="0" print="0" autoLine="0" r:id="rId6">
            <anchor moveWithCells="1" sizeWithCells="1">
              <from>
                <xdr:col>12</xdr:col>
                <xdr:colOff>5972175</xdr:colOff>
                <xdr:row>71</xdr:row>
                <xdr:rowOff>9525</xdr:rowOff>
              </from>
              <to>
                <xdr:col>14</xdr:col>
                <xdr:colOff>1114425</xdr:colOff>
                <xdr:row>71</xdr:row>
                <xdr:rowOff>257175</xdr:rowOff>
              </to>
            </anchor>
          </controlPr>
        </control>
      </mc:Choice>
      <mc:Fallback>
        <control shapeId="1047" r:id="rId5" name="TIButton10"/>
      </mc:Fallback>
    </mc:AlternateContent>
    <mc:AlternateContent xmlns:mc="http://schemas.openxmlformats.org/markup-compatibility/2006">
      <mc:Choice Requires="x14">
        <control shapeId="1046" r:id="rId7" name="TIButton8">
          <controlPr defaultSize="0" print="0" autoLine="0" r:id="rId8">
            <anchor moveWithCells="1" sizeWithCells="1">
              <from>
                <xdr:col>12</xdr:col>
                <xdr:colOff>3752850</xdr:colOff>
                <xdr:row>71</xdr:row>
                <xdr:rowOff>0</xdr:rowOff>
              </from>
              <to>
                <xdr:col>12</xdr:col>
                <xdr:colOff>4991100</xdr:colOff>
                <xdr:row>71</xdr:row>
                <xdr:rowOff>247650</xdr:rowOff>
              </to>
            </anchor>
          </controlPr>
        </control>
      </mc:Choice>
      <mc:Fallback>
        <control shapeId="1046" r:id="rId7" name="TIButton8"/>
      </mc:Fallback>
    </mc:AlternateContent>
    <mc:AlternateContent xmlns:mc="http://schemas.openxmlformats.org/markup-compatibility/2006">
      <mc:Choice Requires="x14">
        <control shapeId="1045" r:id="rId9" name="TIButton9">
          <controlPr defaultSize="0" print="0" autoLine="0" r:id="rId10">
            <anchor moveWithCells="1" sizeWithCells="1">
              <from>
                <xdr:col>12</xdr:col>
                <xdr:colOff>2362200</xdr:colOff>
                <xdr:row>71</xdr:row>
                <xdr:rowOff>0</xdr:rowOff>
              </from>
              <to>
                <xdr:col>12</xdr:col>
                <xdr:colOff>3705225</xdr:colOff>
                <xdr:row>71</xdr:row>
                <xdr:rowOff>247650</xdr:rowOff>
              </to>
            </anchor>
          </controlPr>
        </control>
      </mc:Choice>
      <mc:Fallback>
        <control shapeId="1045" r:id="rId9" name="TIButton9"/>
      </mc:Fallback>
    </mc:AlternateContent>
    <mc:AlternateContent xmlns:mc="http://schemas.openxmlformats.org/markup-compatibility/2006">
      <mc:Choice Requires="x14">
        <control shapeId="1042" r:id="rId11" name="TIButton5">
          <controlPr defaultSize="0" print="0" autoLine="0" r:id="rId12">
            <anchor moveWithCells="1" sizeWithCells="1">
              <from>
                <xdr:col>14</xdr:col>
                <xdr:colOff>4524375</xdr:colOff>
                <xdr:row>70</xdr:row>
                <xdr:rowOff>28575</xdr:rowOff>
              </from>
              <to>
                <xdr:col>15</xdr:col>
                <xdr:colOff>0</xdr:colOff>
                <xdr:row>71</xdr:row>
                <xdr:rowOff>285750</xdr:rowOff>
              </to>
            </anchor>
          </controlPr>
        </control>
      </mc:Choice>
      <mc:Fallback>
        <control shapeId="1042" r:id="rId11" name="TIButton5"/>
      </mc:Fallback>
    </mc:AlternateContent>
    <mc:AlternateContent xmlns:mc="http://schemas.openxmlformats.org/markup-compatibility/2006">
      <mc:Choice Requires="x14">
        <control shapeId="1031" r:id="rId13" name="TIButton1">
          <controlPr defaultSize="0" print="0" autoLine="0" r:id="rId14">
            <anchor moveWithCells="1" sizeWithCells="1">
              <from>
                <xdr:col>14</xdr:col>
                <xdr:colOff>1171575</xdr:colOff>
                <xdr:row>71</xdr:row>
                <xdr:rowOff>0</xdr:rowOff>
              </from>
              <to>
                <xdr:col>14</xdr:col>
                <xdr:colOff>1952625</xdr:colOff>
                <xdr:row>71</xdr:row>
                <xdr:rowOff>247650</xdr:rowOff>
              </to>
            </anchor>
          </controlPr>
        </control>
      </mc:Choice>
      <mc:Fallback>
        <control shapeId="1031" r:id="rId13" name="TIButton1"/>
      </mc:Fallback>
    </mc:AlternateContent>
    <mc:AlternateContent xmlns:mc="http://schemas.openxmlformats.org/markup-compatibility/2006">
      <mc:Choice Requires="x14">
        <control shapeId="1035" r:id="rId15" name="TIButton3">
          <controlPr defaultSize="0" print="0" autoLine="0" r:id="rId16">
            <anchor moveWithCells="1" sizeWithCells="1">
              <from>
                <xdr:col>9</xdr:col>
                <xdr:colOff>38100</xdr:colOff>
                <xdr:row>71</xdr:row>
                <xdr:rowOff>0</xdr:rowOff>
              </from>
              <to>
                <xdr:col>10</xdr:col>
                <xdr:colOff>66675</xdr:colOff>
                <xdr:row>71</xdr:row>
                <xdr:rowOff>247650</xdr:rowOff>
              </to>
            </anchor>
          </controlPr>
        </control>
      </mc:Choice>
      <mc:Fallback>
        <control shapeId="1035" r:id="rId15" name="TIButton3"/>
      </mc:Fallback>
    </mc:AlternateContent>
    <mc:AlternateContent xmlns:mc="http://schemas.openxmlformats.org/markup-compatibility/2006">
      <mc:Choice Requires="x14">
        <control shapeId="1036" r:id="rId17" name="TIButton2">
          <controlPr defaultSize="0" print="0" autoLine="0" r:id="rId18">
            <anchor moveWithCells="1" sizeWithCells="1">
              <from>
                <xdr:col>10</xdr:col>
                <xdr:colOff>104775</xdr:colOff>
                <xdr:row>71</xdr:row>
                <xdr:rowOff>0</xdr:rowOff>
              </from>
              <to>
                <xdr:col>10</xdr:col>
                <xdr:colOff>1228725</xdr:colOff>
                <xdr:row>71</xdr:row>
                <xdr:rowOff>247650</xdr:rowOff>
              </to>
            </anchor>
          </controlPr>
        </control>
      </mc:Choice>
      <mc:Fallback>
        <control shapeId="1036" r:id="rId17" name="TIButton2"/>
      </mc:Fallback>
    </mc:AlternateContent>
    <mc:AlternateContent xmlns:mc="http://schemas.openxmlformats.org/markup-compatibility/2006">
      <mc:Choice Requires="x14">
        <control shapeId="1039" r:id="rId19" name="TIButton6">
          <controlPr defaultSize="0" print="0" autoLine="0" r:id="rId20">
            <anchor moveWithCells="1" sizeWithCells="1">
              <from>
                <xdr:col>12</xdr:col>
                <xdr:colOff>5029200</xdr:colOff>
                <xdr:row>71</xdr:row>
                <xdr:rowOff>0</xdr:rowOff>
              </from>
              <to>
                <xdr:col>12</xdr:col>
                <xdr:colOff>5924550</xdr:colOff>
                <xdr:row>71</xdr:row>
                <xdr:rowOff>247650</xdr:rowOff>
              </to>
            </anchor>
          </controlPr>
        </control>
      </mc:Choice>
      <mc:Fallback>
        <control shapeId="1039" r:id="rId19" name="TIButton6"/>
      </mc:Fallback>
    </mc:AlternateContent>
    <mc:AlternateContent xmlns:mc="http://schemas.openxmlformats.org/markup-compatibility/2006">
      <mc:Choice Requires="x14">
        <control shapeId="1043" r:id="rId21" name="TIButton7">
          <controlPr defaultSize="0" print="0" autoLine="0" autoPict="0" r:id="rId22">
            <anchor moveWithCells="1" sizeWithCells="1">
              <from>
                <xdr:col>10</xdr:col>
                <xdr:colOff>1257300</xdr:colOff>
                <xdr:row>71</xdr:row>
                <xdr:rowOff>0</xdr:rowOff>
              </from>
              <to>
                <xdr:col>12</xdr:col>
                <xdr:colOff>990600</xdr:colOff>
                <xdr:row>71</xdr:row>
                <xdr:rowOff>247650</xdr:rowOff>
              </to>
            </anchor>
          </controlPr>
        </control>
      </mc:Choice>
      <mc:Fallback>
        <control shapeId="1043" r:id="rId21" name="TIButton7"/>
      </mc:Fallback>
    </mc:AlternateContent>
    <mc:AlternateContent xmlns:mc="http://schemas.openxmlformats.org/markup-compatibility/2006">
      <mc:Choice Requires="x14">
        <control shapeId="1044" r:id="rId23" name="TIButton4">
          <controlPr defaultSize="0" print="0" autoLine="0" r:id="rId24">
            <anchor moveWithCells="1" sizeWithCells="1">
              <from>
                <xdr:col>12</xdr:col>
                <xdr:colOff>1038225</xdr:colOff>
                <xdr:row>71</xdr:row>
                <xdr:rowOff>0</xdr:rowOff>
              </from>
              <to>
                <xdr:col>12</xdr:col>
                <xdr:colOff>2343150</xdr:colOff>
                <xdr:row>71</xdr:row>
                <xdr:rowOff>247650</xdr:rowOff>
              </to>
            </anchor>
          </controlPr>
        </control>
      </mc:Choice>
      <mc:Fallback>
        <control shapeId="1044" r:id="rId23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6"/>
  <sheetViews>
    <sheetView workbookViewId="0"/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32</v>
      </c>
    </row>
    <row r="6" spans="1:1" x14ac:dyDescent="0.25">
      <c r="A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reco</vt:lpstr>
      <vt:lpstr>{PL}PickLst</vt:lpstr>
      <vt:lpstr>db_name</vt:lpstr>
      <vt:lpstr>psApp</vt:lpstr>
      <vt:lpstr>psFFType</vt:lpstr>
      <vt:lpstr>psFileName</vt:lpstr>
      <vt:lpstr>psHLYear</vt:lpstr>
      <vt:lpstr>psScenario</vt:lpstr>
      <vt:lpstr>psUser</vt:lpstr>
      <vt:lpstr>TM1AdjIDListCAP</vt:lpstr>
      <vt:lpstr>TM1AdjIDListWB</vt:lpstr>
      <vt:lpstr>TM1AdjIDListWS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TM1HomeAdminBaseCAP</vt:lpstr>
      <vt:lpstr>TM1HomeAdminBaseWB</vt:lpstr>
      <vt:lpstr>TM1HomeAdminBaseWS</vt:lpstr>
      <vt:lpstr>TM1HomeAdminGEUSCAP</vt:lpstr>
      <vt:lpstr>TM1HomeAdminGEUSWB</vt:lpstr>
      <vt:lpstr>TM1HomeAdminGEUSWS</vt:lpstr>
      <vt:lpstr>TM1HomeAdminRDSCAP</vt:lpstr>
      <vt:lpstr>TM1HomeAdminRDSWB</vt:lpstr>
      <vt:lpstr>TM1HomeAdminRDSWS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TM1UploadAB_Confirm</vt:lpstr>
      <vt:lpstr>TM1UploadAB_Fail</vt:lpstr>
      <vt:lpstr>TM1UploadAB_Success</vt:lpstr>
      <vt:lpstr>TM1UploadErrLogCAP</vt:lpstr>
      <vt:lpstr>TM1UploadErrLogWB</vt:lpstr>
      <vt:lpstr>TM1UploadErrLogWS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2019-04-29T04:37:36Z</cp:lastPrinted>
  <dcterms:created xsi:type="dcterms:W3CDTF">2019-04-26T07:19:11Z</dcterms:created>
  <dcterms:modified xsi:type="dcterms:W3CDTF">2025-08-05T04:47:52Z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eac348-12d5-45ad-abaa-2c34f170cf6b_Enabled">
    <vt:lpwstr>true</vt:lpwstr>
  </property>
  <property fmtid="{D5CDD505-2E9C-101B-9397-08002B2CF9AE}" pid="3" name="MSIP_Label_91eac348-12d5-45ad-abaa-2c34f170cf6b_SetDate">
    <vt:lpwstr>2025-01-10T03:21:14Z</vt:lpwstr>
  </property>
  <property fmtid="{D5CDD505-2E9C-101B-9397-08002B2CF9AE}" pid="4" name="MSIP_Label_91eac348-12d5-45ad-abaa-2c34f170cf6b_Method">
    <vt:lpwstr>Privileged</vt:lpwstr>
  </property>
  <property fmtid="{D5CDD505-2E9C-101B-9397-08002B2CF9AE}" pid="5" name="MSIP_Label_91eac348-12d5-45ad-abaa-2c34f170cf6b_Name">
    <vt:lpwstr>UNOFFICIAL No Visual Marking</vt:lpwstr>
  </property>
  <property fmtid="{D5CDD505-2E9C-101B-9397-08002B2CF9AE}" pid="6" name="MSIP_Label_91eac348-12d5-45ad-abaa-2c34f170cf6b_SiteId">
    <vt:lpwstr>214f1646-2021-47cc-8397-e3d3a7ba7d9d</vt:lpwstr>
  </property>
  <property fmtid="{D5CDD505-2E9C-101B-9397-08002B2CF9AE}" pid="7" name="MSIP_Label_91eac348-12d5-45ad-abaa-2c34f170cf6b_ActionId">
    <vt:lpwstr>fdc86e8f-eaa0-48f2-9796-ecf369c526f8</vt:lpwstr>
  </property>
  <property fmtid="{D5CDD505-2E9C-101B-9397-08002B2CF9AE}" pid="8" name="MSIP_Label_91eac348-12d5-45ad-abaa-2c34f170cf6b_ContentBits">
    <vt:lpwstr>0</vt:lpwstr>
  </property>
</Properties>
</file>