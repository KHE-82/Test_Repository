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1.bin" ContentType="application/vnd.ms-office.activeX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2.bin" ContentType="application/vnd.ms-office.activeX"/>
  <Override PartName="/xl/activeX/activeX7.xml" ContentType="application/vnd.ms-office.activeX+xml"/>
  <Override PartName="/xl/activeX/activeX3.bin" ContentType="application/vnd.ms-office.activeX"/>
  <Override PartName="/xl/activeX/activeX8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EB80E206-2861-4229-842B-E8F9231158AF}" xr6:coauthVersionLast="47" xr6:coauthVersionMax="47" xr10:uidLastSave="{00000000-0000-0000-0000-000000000000}"/>
  <bookViews>
    <workbookView xWindow="57480" yWindow="-1965" windowWidth="29040" windowHeight="15840" xr2:uid="{83410147-1F76-40A2-B161-B5614181CB11}"/>
  </bookViews>
  <sheets>
    <sheet name="meas upload costings" sheetId="1" r:id="rId1"/>
    <sheet name="{PL}PickLst" sheetId="2" state="hidden" r:id="rId2"/>
  </sheets>
  <definedNames>
    <definedName name="db_name">'meas upload costings'!$B$2</definedName>
    <definedName name="psApp">'meas upload costings'!$B$29</definedName>
    <definedName name="psFFType">'meas upload costings'!$B$55</definedName>
    <definedName name="psFileName">'meas upload costings'!$M$73</definedName>
    <definedName name="psHLYear">'meas upload costings'!$B$46</definedName>
    <definedName name="psScenario">'meas upload costings'!$B$47</definedName>
    <definedName name="psSign">'meas upload costings'!#REF!</definedName>
    <definedName name="psUser">'meas upload costings'!$B$4</definedName>
    <definedName name="TM1AdjIDListCAP">'meas upload costings'!#REF!</definedName>
    <definedName name="TM1AdjIDListWB">'meas upload costings'!#REF!</definedName>
    <definedName name="TM1AdjIDListWS">'meas upload costings'!#REF!</definedName>
    <definedName name="TM1HomeAECAP">'meas upload costings'!$C$32</definedName>
    <definedName name="TM1HomeAEDataEntryCAP">'meas upload costings'!$C$33</definedName>
    <definedName name="TM1HomeAEDataEntryWB">'meas upload costings'!$E$33</definedName>
    <definedName name="TM1HomeAEDataEntryWS">'meas upload costings'!$G$33</definedName>
    <definedName name="TM1HomeAEMeasuresCAP">'meas upload costings'!$C$34</definedName>
    <definedName name="TM1HomeAEMeasuresWB">'meas upload costings'!$E$34</definedName>
    <definedName name="TM1HomeAEMeasuresWS">'meas upload costings'!$G$34</definedName>
    <definedName name="TM1HomeAEWB">'meas upload costings'!$E$32</definedName>
    <definedName name="TM1HomeAEWS">'meas upload costings'!$G$32</definedName>
    <definedName name="TM1HomeCAP">'meas upload costings'!$C$31</definedName>
    <definedName name="TM1HomeWB">'meas upload costings'!$E$31</definedName>
    <definedName name="TM1HomeWS">'meas upload costings'!$G$31</definedName>
    <definedName name="TM1MeasBulkCAP">'meas upload costings'!$C$36</definedName>
    <definedName name="TM1MeasBulkWB">'meas upload costings'!$E$36</definedName>
    <definedName name="TM1MeasBulkWS">'meas upload costings'!$G$36</definedName>
    <definedName name="TM1MeasListCAP">'meas upload costings'!$C$35</definedName>
    <definedName name="TM1MeasListWB">'meas upload costings'!$E$35</definedName>
    <definedName name="TM1MeasListWS">'meas upload costings'!$G$35</definedName>
    <definedName name="TM1MeasUploadCAP">'meas upload costings'!$C$37</definedName>
    <definedName name="TM1MeasUploadCostingsCAP">'meas upload costings'!$C$39</definedName>
    <definedName name="TM1MeasUploadCostingsWB">'meas upload costings'!$E$39</definedName>
    <definedName name="TM1MeasUploadCostingsWS">'meas upload costings'!$G$39</definedName>
    <definedName name="TM1MeasUploadCostTempCAP">'meas upload costings'!$C$40</definedName>
    <definedName name="TM1MeasUploadCostTempWB">'meas upload costings'!$E$40</definedName>
    <definedName name="TM1MeasUploadCostTempWS">'meas upload costings'!$G$40</definedName>
    <definedName name="TM1MeasUploadTempCAP">'meas upload costings'!$C$38</definedName>
    <definedName name="TM1MeasUploadTempWB">'meas upload costings'!$E$38</definedName>
    <definedName name="TM1MeasUploadTempWS">'meas upload costings'!$G$38</definedName>
    <definedName name="TM1MeasUploadWB">'meas upload costings'!$E$37</definedName>
    <definedName name="TM1MeasUploadWS">'meas upload costings'!$G$37</definedName>
    <definedName name="TM1NewAdj02DataEntryCAP">'meas upload costings'!#REF!</definedName>
    <definedName name="TM1NewAdj02DataEntryWB">'meas upload costings'!#REF!</definedName>
    <definedName name="TM1NewAdj02DataEntryWS">'meas upload costings'!#REF!</definedName>
    <definedName name="TM1NewAdj03AuthCAP">'meas upload costings'!#REF!</definedName>
    <definedName name="TM1NewAdj03AuthWB">'meas upload costings'!#REF!</definedName>
    <definedName name="TM1NewAdj03AuthWS">'meas upload costings'!#REF!</definedName>
    <definedName name="TM1NewAdj99ValidCAP">'meas upload costings'!#REF!</definedName>
    <definedName name="TM1NewAdj99ValidWB">'meas upload costings'!#REF!</definedName>
    <definedName name="TM1NewAdj99ValidWS">'meas upload costings'!#REF!</definedName>
    <definedName name="TM1UploadAB_Confirm">'meas upload costings'!$B$54</definedName>
    <definedName name="TM1UploadAB_Fail">'meas upload costings'!$B$53</definedName>
    <definedName name="TM1UploadAB_Success">'meas upload costings'!$B$52</definedName>
    <definedName name="TM1UploadTempCAP">'meas upload costings'!#REF!</definedName>
    <definedName name="TM1UploadTempWB">'meas upload costings'!#REF!</definedName>
    <definedName name="TM1UploadTempWS">'meas upload costings'!#REF!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1" l="1"/>
  <c r="G40" i="1"/>
  <c r="F40" i="1"/>
  <c r="E40" i="1"/>
  <c r="D40" i="1"/>
  <c r="C40" i="1"/>
  <c r="B40" i="1"/>
  <c r="G39" i="1"/>
  <c r="F39" i="1"/>
  <c r="E39" i="1"/>
  <c r="D39" i="1"/>
  <c r="C39" i="1"/>
  <c r="B39" i="1"/>
  <c r="G38" i="1"/>
  <c r="F38" i="1"/>
  <c r="E38" i="1"/>
  <c r="D38" i="1"/>
  <c r="C38" i="1"/>
  <c r="B38" i="1"/>
  <c r="G37" i="1"/>
  <c r="F37" i="1"/>
  <c r="E37" i="1"/>
  <c r="D37" i="1"/>
  <c r="C37" i="1"/>
  <c r="B37" i="1"/>
  <c r="G36" i="1"/>
  <c r="F36" i="1"/>
  <c r="E36" i="1"/>
  <c r="D36" i="1"/>
  <c r="C36" i="1"/>
  <c r="B36" i="1"/>
  <c r="G35" i="1"/>
  <c r="F35" i="1"/>
  <c r="E35" i="1"/>
  <c r="D35" i="1"/>
  <c r="C35" i="1"/>
  <c r="B35" i="1"/>
  <c r="G34" i="1"/>
  <c r="F34" i="1"/>
  <c r="E34" i="1"/>
  <c r="D34" i="1"/>
  <c r="C34" i="1"/>
  <c r="B34" i="1"/>
  <c r="B43" i="1"/>
  <c r="B4" i="1"/>
  <c r="B49" i="1"/>
  <c r="M75" i="1"/>
  <c r="B10" i="1"/>
  <c r="B15" i="1"/>
  <c r="M71" i="1"/>
  <c r="B19" i="1"/>
  <c r="B21" i="1"/>
  <c r="B11" i="1"/>
  <c r="B13" i="1"/>
  <c r="B25" i="1"/>
  <c r="B22" i="1"/>
  <c r="B14" i="1"/>
  <c r="M82" i="1"/>
  <c r="M81" i="1"/>
  <c r="M80" i="1"/>
  <c r="B45" i="1"/>
  <c r="B3" i="1"/>
  <c r="B5" i="1"/>
  <c r="B6" i="1"/>
  <c r="B46" i="1"/>
  <c r="B47" i="1"/>
  <c r="B48" i="1"/>
  <c r="C49" i="1"/>
  <c r="C48" i="1"/>
  <c r="C47" i="1"/>
  <c r="C46" i="1"/>
  <c r="G33" i="1"/>
  <c r="F33" i="1"/>
  <c r="E33" i="1"/>
  <c r="D33" i="1"/>
  <c r="C33" i="1"/>
  <c r="B33" i="1"/>
  <c r="G32" i="1"/>
  <c r="F32" i="1"/>
  <c r="E32" i="1"/>
  <c r="D32" i="1"/>
  <c r="C32" i="1"/>
  <c r="B32" i="1"/>
  <c r="G31" i="1"/>
  <c r="F31" i="1"/>
  <c r="E31" i="1"/>
  <c r="D31" i="1"/>
  <c r="C31" i="1"/>
  <c r="B31" i="1"/>
  <c r="B12" i="1"/>
  <c r="B7" i="1"/>
</calcChain>
</file>

<file path=xl/sharedStrings.xml><?xml version="1.0" encoding="utf-8"?>
<sst xmlns="http://schemas.openxmlformats.org/spreadsheetml/2006/main" count="82" uniqueCount="79">
  <si>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</si>
  <si>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</si>
  <si>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</si>
  <si>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</si>
  <si>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</si>
  <si>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</si>
  <si>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</si>
  <si>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</si>
  <si>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</si>
  <si>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</si>
  <si>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</si>
  <si>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</si>
  <si>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</si>
  <si>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</si>
  <si>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</si>
  <si>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</si>
  <si>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</si>
  <si>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</si>
  <si>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</si>
  <si>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</si>
  <si>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</si>
  <si>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</si>
  <si>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</si>
  <si>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</si>
  <si>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Client Preference</t>
  </si>
  <si>
    <t>value</t>
  </si>
  <si>
    <t>validate</t>
  </si>
  <si>
    <t>sys_client preference measure</t>
  </si>
  <si>
    <t>geus hl year</t>
  </si>
  <si>
    <t>geus scenario</t>
  </si>
  <si>
    <t>geus adj</t>
  </si>
  <si>
    <t>approved non-flat file</t>
  </si>
  <si>
    <t>CBMS</t>
  </si>
  <si>
    <t>Copy</t>
  </si>
  <si>
    <t>Reverse</t>
  </si>
  <si>
    <t>Copy and Reverse</t>
  </si>
  <si>
    <t>Delete</t>
  </si>
  <si>
    <t>Enter File Name :</t>
  </si>
  <si>
    <t>flatfile upload.csv</t>
  </si>
  <si>
    <t>Data Upload Directory :</t>
  </si>
  <si>
    <t>Upload Validation :</t>
  </si>
  <si>
    <t>Note :</t>
  </si>
  <si>
    <t>The upload process will put you in a queue and may take a few moments to complete.</t>
  </si>
  <si>
    <t>Note : Add the file extension (*.csv)</t>
  </si>
  <si>
    <t xml:space="preserve">Please ensure the upload file has enforced the following formats : </t>
  </si>
  <si>
    <t>- Store attachments in the location as indicated below</t>
  </si>
  <si>
    <t>General Comments :</t>
  </si>
  <si>
    <t>save location</t>
  </si>
  <si>
    <t>sys_upload directory</t>
  </si>
  <si>
    <t>sys_shared directory</t>
  </si>
  <si>
    <t>sys_Web URL</t>
  </si>
  <si>
    <t>sys_Web URL Linked Folder</t>
  </si>
  <si>
    <t>Hyperlink Configuration</t>
  </si>
  <si>
    <t>Full File Path</t>
  </si>
  <si>
    <t>current budget round</t>
  </si>
  <si>
    <t>Hyperlink File Path</t>
  </si>
  <si>
    <t>http://localhost:9510/</t>
  </si>
  <si>
    <t>Attachment Hyperlink Configuration</t>
  </si>
  <si>
    <t>sys_ImpFileValidation</t>
  </si>
  <si>
    <t>Success</t>
  </si>
  <si>
    <t>Flat file successfully loaded into GBMS.</t>
  </si>
  <si>
    <t>Failure</t>
  </si>
  <si>
    <t>Validation FAILED. Please review exception logs, or ensure the files do not have any commas or dashes as zeroes, or th or file does not exist.</t>
  </si>
  <si>
    <t>Confirmation</t>
  </si>
  <si>
    <t xml:space="preserve">Are you sure you want to upload a flatfile? </t>
  </si>
  <si>
    <t>Action Button Messages and Parameters</t>
  </si>
  <si>
    <t>psFFType</t>
  </si>
  <si>
    <t>Measures - Upload Measures</t>
  </si>
  <si>
    <t>Homepage - Annual Estimates - Measures</t>
  </si>
  <si>
    <t>Measures - Upload Template</t>
  </si>
  <si>
    <t>Measures - Measure List</t>
  </si>
  <si>
    <t>Measures - Bulk Process</t>
  </si>
  <si>
    <t>Note : When upload fails, error log files will also be saved in the same Upload Directory.</t>
  </si>
  <si>
    <t>Load Costings File</t>
  </si>
  <si>
    <t>Costings</t>
  </si>
  <si>
    <t xml:space="preserve">Loading of Costings Files is CUSTOMISED by each Agency. This current template and UPLOAD will need to be updated. </t>
  </si>
  <si>
    <t>Measures - Upload Costings</t>
  </si>
  <si>
    <t>Measures - Upload Costing Template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</si>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</sst>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0" borderId="4" xfId="0" applyFont="1" applyBorder="1" applyAlignment="1">
      <alignment horizontal="center"/>
    </xf>
    <xf numFmtId="0" fontId="2" fillId="3" borderId="0" xfId="0" applyFont="1" applyFill="1" applyAlignment="1">
      <alignment horizontal="right" vertical="center"/>
    </xf>
    <xf numFmtId="0" fontId="5" fillId="0" borderId="0" xfId="0" applyFont="1" applyAlignment="1">
      <alignment horizontal="right" indent="1"/>
    </xf>
    <xf numFmtId="0" fontId="1" fillId="0" borderId="0" xfId="0" applyFont="1" applyAlignment="1">
      <alignment horizontal="right" indent="1"/>
    </xf>
    <xf numFmtId="0" fontId="0" fillId="0" borderId="0" xfId="0" applyAlignment="1">
      <alignment horizontal="left" indent="1"/>
    </xf>
    <xf numFmtId="0" fontId="3" fillId="0" borderId="4" xfId="0" applyFont="1" applyBorder="1" applyAlignment="1">
      <alignment horizontal="left" indent="1"/>
    </xf>
    <xf numFmtId="0" fontId="6" fillId="0" borderId="0" xfId="0" applyFont="1" applyAlignment="1">
      <alignment horizontal="right" indent="1"/>
    </xf>
    <xf numFmtId="0" fontId="7" fillId="0" borderId="0" xfId="0" applyFont="1"/>
    <xf numFmtId="0" fontId="8" fillId="4" borderId="6" xfId="0" applyFont="1" applyFill="1" applyBorder="1"/>
    <xf numFmtId="0" fontId="8" fillId="4" borderId="5" xfId="0" applyFont="1" applyFill="1" applyBorder="1" applyAlignment="1">
      <alignment horizontal="left"/>
    </xf>
    <xf numFmtId="0" fontId="8" fillId="4" borderId="7" xfId="0" quotePrefix="1" applyFont="1" applyFill="1" applyBorder="1" applyAlignment="1">
      <alignment horizontal="left"/>
    </xf>
    <xf numFmtId="0" fontId="9" fillId="0" borderId="4" xfId="2" applyBorder="1"/>
    <xf numFmtId="0" fontId="3" fillId="4" borderId="4" xfId="0" applyFont="1" applyFill="1" applyBorder="1" applyAlignment="1">
      <alignment horizontal="left" indent="1"/>
    </xf>
    <xf numFmtId="0" fontId="10" fillId="0" borderId="0" xfId="0" applyFont="1" applyAlignment="1">
      <alignment horizontal="left"/>
    </xf>
    <xf numFmtId="0" fontId="10" fillId="0" borderId="0" xfId="0" applyFont="1"/>
    <xf numFmtId="0" fontId="11" fillId="4" borderId="4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Normal 3" xfId="1" xr:uid="{CB5C2425-6732-415A-940C-E939EE54FB20}"/>
  </cellStyles>
  <dxfs count="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</dxfs>
  <tableStyles count="0" defaultTableStyle="TableStyleMedium2" defaultPivotStyle="PivotStyleLight16"/>
  <colors>
    <mruColors>
      <color rgb="FFF3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858"/>
  <ax:ocxPr ax:name="_ExtentY" ax:value="476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ostings Upload Template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MeasUploadCostTempWB"/>
  <ax:ocxPr ax:name="TargetWorksheetName" ax:value="=TM1MeasUploadCostTemp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852"/>
  <ax:ocxPr ax:name="_ExtentY" ax:value="476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MeasListWB"/>
  <ax:ocxPr ax:name="TargetWorksheetName" ax:value="=TM1MeasList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asListCAP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117"/>
  <ax:ocxPr ax:name="_ExtentY" ax:value="476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EMeasuresWB"/>
  <ax:ocxPr ax:name="TargetWorksheetName" ax:value="=TM1HomeAEMeasures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AEMeasuresCAP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217"/>
  <ax:ocxPr ax:name="_ExtentY" ax:value="476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WB"/>
  <ax:ocxPr ax:name="TargetWorksheetName" ax:value="=TM1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CAP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461"/>
  <ax:ocxPr ax:name="_ExtentY" ax:value="476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Measure Bulk Process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MeasBulkWB"/>
  <ax:ocxPr ax:name="TargetWorksheetName" ax:value="=TM1MeasBulk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4.emf"/><Relationship Id="rId7" Type="http://schemas.openxmlformats.org/officeDocument/2006/relationships/image" Target="../media/image1.emf"/><Relationship Id="rId2" Type="http://schemas.openxmlformats.org/officeDocument/2006/relationships/image" Target="../media/image5.emf"/><Relationship Id="rId1" Type="http://schemas.openxmlformats.org/officeDocument/2006/relationships/image" Target="../media/image6.emf"/><Relationship Id="rId6" Type="http://schemas.openxmlformats.org/officeDocument/2006/relationships/image" Target="../media/image7.emf"/><Relationship Id="rId5" Type="http://schemas.openxmlformats.org/officeDocument/2006/relationships/image" Target="../media/image2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65</xdr:row>
      <xdr:rowOff>28575</xdr:rowOff>
    </xdr:from>
    <xdr:to>
      <xdr:col>10</xdr:col>
      <xdr:colOff>1181100</xdr:colOff>
      <xdr:row>65</xdr:row>
      <xdr:rowOff>474345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4541520</xdr:colOff>
          <xdr:row>67</xdr:row>
          <xdr:rowOff>0</xdr:rowOff>
        </xdr:from>
        <xdr:to>
          <xdr:col>12</xdr:col>
          <xdr:colOff>5326380</xdr:colOff>
          <xdr:row>67</xdr:row>
          <xdr:rowOff>251460</xdr:rowOff>
        </xdr:to>
        <xdr:sp macro="" textlink="">
          <xdr:nvSpPr>
            <xdr:cNvPr id="1031" name="TIButton1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67</xdr:row>
          <xdr:rowOff>0</xdr:rowOff>
        </xdr:from>
        <xdr:to>
          <xdr:col>10</xdr:col>
          <xdr:colOff>68580</xdr:colOff>
          <xdr:row>67</xdr:row>
          <xdr:rowOff>251460</xdr:rowOff>
        </xdr:to>
        <xdr:sp macro="" textlink="">
          <xdr:nvSpPr>
            <xdr:cNvPr id="1035" name="TIButton3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106680</xdr:colOff>
          <xdr:row>67</xdr:row>
          <xdr:rowOff>0</xdr:rowOff>
        </xdr:from>
        <xdr:to>
          <xdr:col>10</xdr:col>
          <xdr:colOff>1226820</xdr:colOff>
          <xdr:row>67</xdr:row>
          <xdr:rowOff>251460</xdr:rowOff>
        </xdr:to>
        <xdr:sp macro="" textlink="">
          <xdr:nvSpPr>
            <xdr:cNvPr id="1036" name="TIButton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1257300</xdr:colOff>
          <xdr:row>67</xdr:row>
          <xdr:rowOff>0</xdr:rowOff>
        </xdr:from>
        <xdr:to>
          <xdr:col>12</xdr:col>
          <xdr:colOff>670560</xdr:colOff>
          <xdr:row>67</xdr:row>
          <xdr:rowOff>251460</xdr:rowOff>
        </xdr:to>
        <xdr:sp macro="" textlink="">
          <xdr:nvSpPr>
            <xdr:cNvPr id="1037" name="TIButton4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3604260</xdr:colOff>
          <xdr:row>67</xdr:row>
          <xdr:rowOff>0</xdr:rowOff>
        </xdr:from>
        <xdr:to>
          <xdr:col>12</xdr:col>
          <xdr:colOff>4495800</xdr:colOff>
          <xdr:row>67</xdr:row>
          <xdr:rowOff>251460</xdr:rowOff>
        </xdr:to>
        <xdr:sp macro="" textlink="">
          <xdr:nvSpPr>
            <xdr:cNvPr id="1039" name="TIButton6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4526280</xdr:colOff>
          <xdr:row>66</xdr:row>
          <xdr:rowOff>30480</xdr:rowOff>
        </xdr:from>
        <xdr:to>
          <xdr:col>15</xdr:col>
          <xdr:colOff>0</xdr:colOff>
          <xdr:row>67</xdr:row>
          <xdr:rowOff>289560</xdr:rowOff>
        </xdr:to>
        <xdr:sp macro="" textlink="">
          <xdr:nvSpPr>
            <xdr:cNvPr id="1042" name="TIButton5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2049780</xdr:colOff>
          <xdr:row>67</xdr:row>
          <xdr:rowOff>0</xdr:rowOff>
        </xdr:from>
        <xdr:to>
          <xdr:col>12</xdr:col>
          <xdr:colOff>3573780</xdr:colOff>
          <xdr:row>67</xdr:row>
          <xdr:rowOff>251460</xdr:rowOff>
        </xdr:to>
        <xdr:sp macro="" textlink="">
          <xdr:nvSpPr>
            <xdr:cNvPr id="1043" name="TIButton7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708660</xdr:colOff>
          <xdr:row>67</xdr:row>
          <xdr:rowOff>0</xdr:rowOff>
        </xdr:from>
        <xdr:to>
          <xdr:col>12</xdr:col>
          <xdr:colOff>2011680</xdr:colOff>
          <xdr:row>67</xdr:row>
          <xdr:rowOff>251460</xdr:rowOff>
        </xdr:to>
        <xdr:sp macro="" textlink="">
          <xdr:nvSpPr>
            <xdr:cNvPr id="1044" name="TIButton8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control" Target="../activeX/activeX5.xml"/><Relationship Id="rId18" Type="http://schemas.openxmlformats.org/officeDocument/2006/relationships/image" Target="../media/image7.emf"/><Relationship Id="rId3" Type="http://schemas.openxmlformats.org/officeDocument/2006/relationships/drawing" Target="../drawings/drawing1.xml"/><Relationship Id="rId7" Type="http://schemas.openxmlformats.org/officeDocument/2006/relationships/control" Target="../activeX/activeX2.xml"/><Relationship Id="rId12" Type="http://schemas.openxmlformats.org/officeDocument/2006/relationships/image" Target="../media/image4.emf"/><Relationship Id="rId17" Type="http://schemas.openxmlformats.org/officeDocument/2006/relationships/control" Target="../activeX/activeX7.xml"/><Relationship Id="rId2" Type="http://schemas.openxmlformats.org/officeDocument/2006/relationships/printerSettings" Target="../printerSettings/printerSettings1.bin"/><Relationship Id="rId16" Type="http://schemas.openxmlformats.org/officeDocument/2006/relationships/image" Target="../media/image6.emf"/><Relationship Id="rId20" Type="http://schemas.openxmlformats.org/officeDocument/2006/relationships/image" Target="../media/image8.emf"/><Relationship Id="rId1" Type="http://schemas.openxmlformats.org/officeDocument/2006/relationships/hyperlink" Target="http://localhost:9510/" TargetMode="External"/><Relationship Id="rId6" Type="http://schemas.openxmlformats.org/officeDocument/2006/relationships/image" Target="../media/image1.emf"/><Relationship Id="rId11" Type="http://schemas.openxmlformats.org/officeDocument/2006/relationships/control" Target="../activeX/activeX4.xml"/><Relationship Id="rId5" Type="http://schemas.openxmlformats.org/officeDocument/2006/relationships/control" Target="../activeX/activeX1.xml"/><Relationship Id="rId15" Type="http://schemas.openxmlformats.org/officeDocument/2006/relationships/control" Target="../activeX/activeX6.xml"/><Relationship Id="rId10" Type="http://schemas.openxmlformats.org/officeDocument/2006/relationships/image" Target="../media/image3.emf"/><Relationship Id="rId19" Type="http://schemas.openxmlformats.org/officeDocument/2006/relationships/control" Target="../activeX/activeX8.xml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3.xml"/><Relationship Id="rId14" Type="http://schemas.openxmlformats.org/officeDocument/2006/relationships/image" Target="../media/image5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ADA1-8F57-4B30-9DDA-F556E24C06F1}">
  <sheetPr codeName="Sheet1">
    <outlinePr showOutlineSymbols="0"/>
    <pageSetUpPr fitToPage="1"/>
  </sheetPr>
  <dimension ref="A1:O85"/>
  <sheetViews>
    <sheetView showGridLines="0" showRowColHeaders="0" tabSelected="1" showOutlineSymbols="0" topLeftCell="I66" workbookViewId="0">
      <selection sqref="A1:C1"/>
    </sheetView>
  </sheetViews>
  <sheetFormatPr defaultRowHeight="14.4" outlineLevelRow="1" outlineLevelCol="1" x14ac:dyDescent="0.3"/>
  <cols>
    <col min="1" max="1" width="25.109375" hidden="1" customWidth="1" outlineLevel="1"/>
    <col min="2" max="2" width="39.33203125" hidden="1" customWidth="1" outlineLevel="1"/>
    <col min="3" max="3" width="16.44140625" hidden="1" customWidth="1" outlineLevel="1"/>
    <col min="4" max="4" width="24.33203125" hidden="1" customWidth="1" outlineLevel="1"/>
    <col min="5" max="5" width="33.88671875" hidden="1" customWidth="1" outlineLevel="1"/>
    <col min="6" max="6" width="24.109375" hidden="1" customWidth="1" outlineLevel="1"/>
    <col min="7" max="7" width="10.88671875" hidden="1" customWidth="1" outlineLevel="1"/>
    <col min="8" max="8" width="9.109375" hidden="1" customWidth="1" outlineLevel="1"/>
    <col min="9" max="9" width="0.88671875" customWidth="1" collapsed="1"/>
    <col min="11" max="11" width="22.6640625" customWidth="1"/>
    <col min="12" max="12" width="0.88671875" customWidth="1"/>
    <col min="13" max="13" width="80.6640625" customWidth="1"/>
    <col min="14" max="14" width="4" customWidth="1"/>
    <col min="15" max="15" width="72.5546875" customWidth="1"/>
  </cols>
  <sheetData>
    <row r="1" spans="1:3" hidden="1" outlineLevel="1" x14ac:dyDescent="0.3">
      <c r="A1" s="24" t="s">
        <v>0</v>
      </c>
      <c r="B1" s="25"/>
      <c r="C1" s="26"/>
    </row>
    <row r="2" spans="1:3" hidden="1" outlineLevel="1" x14ac:dyDescent="0.3">
      <c r="A2" s="1" t="s">
        <v>1</v>
      </c>
      <c r="B2" s="2" t="s">
        <v>78</v>
      </c>
      <c r="C2" s="3"/>
    </row>
    <row r="3" spans="1:3" hidden="1" outlineLevel="1" x14ac:dyDescent="0.3">
      <c r="A3" s="1" t="s">
        <v>2</v>
      </c>
      <c r="B3" s="4" t="str">
        <f ca="1">_xll.VIEW(db_name&amp;":}ElementAttributes_}Clients","!","!")</f>
        <v>dcceew_geus:}ElementAttributes_}Clients</v>
      </c>
      <c r="C3" s="3"/>
    </row>
    <row r="4" spans="1:3" hidden="1" outlineLevel="1" x14ac:dyDescent="0.3">
      <c r="A4" s="1" t="s">
        <v>3</v>
      </c>
      <c r="B4" s="2" t="str">
        <f ca="1">_xll.TM1USER(db_name)</f>
        <v/>
      </c>
      <c r="C4" s="3"/>
    </row>
    <row r="5" spans="1:3" hidden="1" outlineLevel="1" x14ac:dyDescent="0.3">
      <c r="A5" s="1" t="s">
        <v>4</v>
      </c>
      <c r="B5" s="2" t="str">
        <f ca="1">_xll.DBR($B$3,$B$4,$A5)</f>
        <v>*KEY_ERR</v>
      </c>
      <c r="C5" s="3"/>
    </row>
    <row r="6" spans="1:3" hidden="1" outlineLevel="1" x14ac:dyDescent="0.3">
      <c r="A6" s="1" t="s">
        <v>5</v>
      </c>
      <c r="B6" s="2" t="str">
        <f ca="1">_xll.DBR($B$3,$B$4,$A6)</f>
        <v>*KEY_ERR</v>
      </c>
      <c r="C6" s="3"/>
    </row>
    <row r="7" spans="1:3" hidden="1" outlineLevel="1" x14ac:dyDescent="0.3">
      <c r="A7" s="1" t="s">
        <v>6</v>
      </c>
      <c r="B7" s="2" t="str">
        <f ca="1">IF(LEFT($B$5,6)="CAM_AD",$B$6,$B$5)</f>
        <v>*KEY_ERR</v>
      </c>
      <c r="C7" s="5"/>
    </row>
    <row r="8" spans="1:3" hidden="1" outlineLevel="1" x14ac:dyDescent="0.3"/>
    <row r="9" spans="1:3" hidden="1" outlineLevel="1" x14ac:dyDescent="0.3">
      <c r="A9" s="24" t="s">
        <v>7</v>
      </c>
      <c r="B9" s="25"/>
      <c r="C9" s="26"/>
    </row>
    <row r="10" spans="1:3" hidden="1" outlineLevel="1" x14ac:dyDescent="0.3">
      <c r="A10" s="1" t="s">
        <v>8</v>
      </c>
      <c r="B10" s="5" t="str">
        <f ca="1">_xll.VIEW(db_name&amp;":}ElementAttributes_variables","!","!")</f>
        <v>dcceew_geus:}ElementAttributes_variables</v>
      </c>
      <c r="C10" s="5"/>
    </row>
    <row r="11" spans="1:3" hidden="1" outlineLevel="1" x14ac:dyDescent="0.3">
      <c r="A11" s="1" t="s">
        <v>9</v>
      </c>
      <c r="B11" s="5" t="str">
        <f ca="1">_xll.DBR($B$10,$A11,"value")</f>
        <v>*KEY_ERR</v>
      </c>
      <c r="C11" s="5"/>
    </row>
    <row r="12" spans="1:3" hidden="1" outlineLevel="1" x14ac:dyDescent="0.3">
      <c r="A12" s="1" t="s">
        <v>10</v>
      </c>
      <c r="B12" s="5" t="str">
        <f ca="1">_xll.DBR($B$10,$A12,"value")</f>
        <v>*KEY_ERR</v>
      </c>
      <c r="C12" s="5"/>
    </row>
    <row r="13" spans="1:3" hidden="1" outlineLevel="1" x14ac:dyDescent="0.3">
      <c r="A13" s="1" t="s">
        <v>54</v>
      </c>
      <c r="B13" s="5" t="str">
        <f ca="1">_xll.DBR($B$10,$A13,"value")</f>
        <v>*KEY_ERR</v>
      </c>
      <c r="C13" s="5"/>
    </row>
    <row r="14" spans="1:3" hidden="1" outlineLevel="1" x14ac:dyDescent="0.3">
      <c r="A14" s="1" t="s">
        <v>47</v>
      </c>
      <c r="B14" s="5" t="str">
        <f ca="1">_xll.DBR($B$10,$A14,"value")</f>
        <v>*KEY_ERR</v>
      </c>
      <c r="C14" s="5"/>
    </row>
    <row r="15" spans="1:3" hidden="1" outlineLevel="1" x14ac:dyDescent="0.3">
      <c r="A15" s="1" t="s">
        <v>48</v>
      </c>
      <c r="B15" s="5" t="str">
        <f ca="1">_xll.DBR($B$10,$A15,"value")</f>
        <v>*KEY_ERR</v>
      </c>
      <c r="C15" s="5"/>
    </row>
    <row r="16" spans="1:3" hidden="1" outlineLevel="1" x14ac:dyDescent="0.3">
      <c r="A16" s="1"/>
      <c r="B16" s="5"/>
      <c r="C16" s="5"/>
    </row>
    <row r="17" spans="1:7" hidden="1" outlineLevel="1" x14ac:dyDescent="0.3">
      <c r="A17" s="1"/>
      <c r="B17" s="5"/>
      <c r="C17" s="5"/>
    </row>
    <row r="18" spans="1:7" hidden="1" outlineLevel="1" x14ac:dyDescent="0.3">
      <c r="A18" s="24" t="s">
        <v>52</v>
      </c>
      <c r="B18" s="25"/>
      <c r="C18" s="26"/>
    </row>
    <row r="19" spans="1:7" hidden="1" outlineLevel="1" x14ac:dyDescent="0.3">
      <c r="A19" s="1" t="s">
        <v>49</v>
      </c>
      <c r="B19" s="5" t="str">
        <f ca="1">_xll.DBR($B$10,$A19,"value")</f>
        <v>*KEY_ERR</v>
      </c>
      <c r="C19" s="5"/>
    </row>
    <row r="20" spans="1:7" hidden="1" outlineLevel="1" x14ac:dyDescent="0.3">
      <c r="A20" s="1" t="s">
        <v>50</v>
      </c>
      <c r="B20" s="19" t="s">
        <v>56</v>
      </c>
      <c r="C20" s="5"/>
    </row>
    <row r="21" spans="1:7" hidden="1" outlineLevel="1" x14ac:dyDescent="0.3">
      <c r="A21" s="1" t="s">
        <v>51</v>
      </c>
      <c r="B21" s="5" t="str">
        <f ca="1">_xll.DBR($B$10,$A21,"value")</f>
        <v>*KEY_ERR</v>
      </c>
      <c r="C21" s="5"/>
    </row>
    <row r="22" spans="1:7" hidden="1" outlineLevel="1" x14ac:dyDescent="0.3">
      <c r="A22" s="1" t="s">
        <v>55</v>
      </c>
      <c r="B22" s="5" t="str">
        <f ca="1">$B$20&amp;"/"&amp;$B$21&amp;"/"</f>
        <v>http://localhost:9510//*KEY_ERR/</v>
      </c>
      <c r="C22" s="5"/>
    </row>
    <row r="23" spans="1:7" hidden="1" outlineLevel="1" x14ac:dyDescent="0.3"/>
    <row r="24" spans="1:7" hidden="1" outlineLevel="1" x14ac:dyDescent="0.3">
      <c r="A24" s="27" t="s">
        <v>57</v>
      </c>
      <c r="B24" s="27"/>
      <c r="C24" s="27"/>
    </row>
    <row r="25" spans="1:7" hidden="1" outlineLevel="1" x14ac:dyDescent="0.3">
      <c r="A25" s="1" t="s">
        <v>53</v>
      </c>
      <c r="B25" s="5" t="str">
        <f ca="1">$B$19&amp;"\"&amp;$B$21&amp;"\"&amp;$B$11&amp;"\"&amp;$B$13&amp;"\"</f>
        <v>*KEY_ERR\*KEY_ERR\*KEY_ERR\*KEY_ERR\</v>
      </c>
      <c r="C25" s="5"/>
    </row>
    <row r="26" spans="1:7" hidden="1" outlineLevel="1" x14ac:dyDescent="0.3"/>
    <row r="27" spans="1:7" hidden="1" outlineLevel="1" x14ac:dyDescent="0.3">
      <c r="A27" s="24" t="s">
        <v>11</v>
      </c>
      <c r="B27" s="25"/>
      <c r="C27" s="26"/>
    </row>
    <row r="28" spans="1:7" hidden="1" outlineLevel="1" x14ac:dyDescent="0.3">
      <c r="A28" s="5" t="s">
        <v>12</v>
      </c>
      <c r="B28" s="5" t="str">
        <f ca="1">_xll.VIEW(db_name&amp;":sys_application","!","!")</f>
        <v>dcceew_geus:sys_application</v>
      </c>
    </row>
    <row r="29" spans="1:7" hidden="1" outlineLevel="1" x14ac:dyDescent="0.3">
      <c r="A29" s="5" t="s">
        <v>13</v>
      </c>
      <c r="B29" t="s">
        <v>67</v>
      </c>
    </row>
    <row r="30" spans="1:7" hidden="1" outlineLevel="1" x14ac:dyDescent="0.3">
      <c r="A30" s="6" t="s">
        <v>14</v>
      </c>
      <c r="B30" s="7" t="s">
        <v>15</v>
      </c>
      <c r="C30" s="7" t="s">
        <v>16</v>
      </c>
      <c r="D30" s="7" t="s">
        <v>17</v>
      </c>
      <c r="E30" s="7" t="s">
        <v>18</v>
      </c>
      <c r="F30" s="7" t="s">
        <v>19</v>
      </c>
      <c r="G30" s="7" t="s">
        <v>20</v>
      </c>
    </row>
    <row r="31" spans="1:7" hidden="1" outlineLevel="1" x14ac:dyDescent="0.3">
      <c r="A31" s="5" t="s">
        <v>21</v>
      </c>
      <c r="B31" s="5" t="str">
        <f ca="1">_xll.DBR($B$28,$A31,B$30)</f>
        <v>*KEY_ERR</v>
      </c>
      <c r="C31" s="5" t="str">
        <f ca="1">_xll.DBR($B$28,$A31,C$30)</f>
        <v>*KEY_ERR</v>
      </c>
      <c r="D31" s="5" t="str">
        <f ca="1">_xll.DBR($B$28,$A31,D$30)</f>
        <v>*KEY_ERR</v>
      </c>
      <c r="E31" s="5" t="str">
        <f ca="1">_xll.DBR($B$28,$A31,E$30)</f>
        <v>*KEY_ERR</v>
      </c>
      <c r="F31" s="5" t="str">
        <f ca="1">_xll.DBR($B$28,$A31,F$30)</f>
        <v>*KEY_ERR</v>
      </c>
      <c r="G31" s="5" t="str">
        <f ca="1">_xll.DBR($B$28,$A31,G$30)</f>
        <v>*KEY_ERR</v>
      </c>
    </row>
    <row r="32" spans="1:7" hidden="1" outlineLevel="1" x14ac:dyDescent="0.3">
      <c r="A32" s="5" t="s">
        <v>22</v>
      </c>
      <c r="B32" s="5" t="str">
        <f ca="1">_xll.DBR($B$28,$A32,B$30)</f>
        <v>*KEY_ERR</v>
      </c>
      <c r="C32" s="5" t="str">
        <f ca="1">_xll.DBR($B$28,$A32,C$30)</f>
        <v>*KEY_ERR</v>
      </c>
      <c r="D32" s="5" t="str">
        <f ca="1">_xll.DBR($B$28,$A32,D$30)</f>
        <v>*KEY_ERR</v>
      </c>
      <c r="E32" s="5" t="str">
        <f ca="1">_xll.DBR($B$28,$A32,E$30)</f>
        <v>*KEY_ERR</v>
      </c>
      <c r="F32" s="5" t="str">
        <f ca="1">_xll.DBR($B$28,$A32,F$30)</f>
        <v>*KEY_ERR</v>
      </c>
      <c r="G32" s="5" t="str">
        <f ca="1">_xll.DBR($B$28,$A32,G$30)</f>
        <v>*KEY_ERR</v>
      </c>
    </row>
    <row r="33" spans="1:7" hidden="1" outlineLevel="1" x14ac:dyDescent="0.3">
      <c r="A33" s="5" t="s">
        <v>23</v>
      </c>
      <c r="B33" s="5" t="str">
        <f ca="1">_xll.DBR($B$28,$A33,B$30)</f>
        <v>*KEY_ERR</v>
      </c>
      <c r="C33" s="5" t="str">
        <f ca="1">_xll.DBR($B$28,$A33,C$30)</f>
        <v>*KEY_ERR</v>
      </c>
      <c r="D33" s="5" t="str">
        <f ca="1">_xll.DBR($B$28,$A33,D$30)</f>
        <v>*KEY_ERR</v>
      </c>
      <c r="E33" s="5" t="str">
        <f ca="1">_xll.DBR($B$28,$A33,E$30)</f>
        <v>*KEY_ERR</v>
      </c>
      <c r="F33" s="5" t="str">
        <f ca="1">_xll.DBR($B$28,$A33,F$30)</f>
        <v>*KEY_ERR</v>
      </c>
      <c r="G33" s="5" t="str">
        <f ca="1">_xll.DBR($B$28,$A33,G$30)</f>
        <v>*KEY_ERR</v>
      </c>
    </row>
    <row r="34" spans="1:7" hidden="1" outlineLevel="1" x14ac:dyDescent="0.3">
      <c r="A34" s="5" t="s">
        <v>68</v>
      </c>
      <c r="B34" s="5" t="str">
        <f ca="1">_xll.DBR($B$28,$A34,B$30)</f>
        <v>*KEY_ERR</v>
      </c>
      <c r="C34" s="5" t="str">
        <f ca="1">_xll.DBR($B$28,$A34,C$30)</f>
        <v>*KEY_ERR</v>
      </c>
      <c r="D34" s="5" t="str">
        <f ca="1">_xll.DBR($B$28,$A34,D$30)</f>
        <v>*KEY_ERR</v>
      </c>
      <c r="E34" s="5" t="str">
        <f ca="1">_xll.DBR($B$28,$A34,E$30)</f>
        <v>*KEY_ERR</v>
      </c>
      <c r="F34" s="5" t="str">
        <f ca="1">_xll.DBR($B$28,$A34,F$30)</f>
        <v>*KEY_ERR</v>
      </c>
      <c r="G34" s="5" t="str">
        <f ca="1">_xll.DBR($B$28,$A34,G$30)</f>
        <v>*KEY_ERR</v>
      </c>
    </row>
    <row r="35" spans="1:7" hidden="1" outlineLevel="1" x14ac:dyDescent="0.3">
      <c r="A35" s="5" t="s">
        <v>70</v>
      </c>
      <c r="B35" s="5" t="str">
        <f ca="1">_xll.DBR($B$28,$A35,B$30)</f>
        <v>*KEY_ERR</v>
      </c>
      <c r="C35" s="5" t="str">
        <f ca="1">_xll.DBR($B$28,$A35,C$30)</f>
        <v>*KEY_ERR</v>
      </c>
      <c r="D35" s="5" t="str">
        <f ca="1">_xll.DBR($B$28,$A35,D$30)</f>
        <v>*KEY_ERR</v>
      </c>
      <c r="E35" s="5" t="str">
        <f ca="1">_xll.DBR($B$28,$A35,E$30)</f>
        <v>*KEY_ERR</v>
      </c>
      <c r="F35" s="5" t="str">
        <f ca="1">_xll.DBR($B$28,$A35,F$30)</f>
        <v>*KEY_ERR</v>
      </c>
      <c r="G35" s="5" t="str">
        <f ca="1">_xll.DBR($B$28,$A35,G$30)</f>
        <v>*KEY_ERR</v>
      </c>
    </row>
    <row r="36" spans="1:7" hidden="1" outlineLevel="1" x14ac:dyDescent="0.3">
      <c r="A36" s="5" t="s">
        <v>71</v>
      </c>
      <c r="B36" s="5" t="str">
        <f ca="1">_xll.DBR($B$28,$A36,B$30)</f>
        <v>*KEY_ERR</v>
      </c>
      <c r="C36" s="5" t="str">
        <f ca="1">_xll.DBR($B$28,$A36,C$30)</f>
        <v>*KEY_ERR</v>
      </c>
      <c r="D36" s="5" t="str">
        <f ca="1">_xll.DBR($B$28,$A36,D$30)</f>
        <v>*KEY_ERR</v>
      </c>
      <c r="E36" s="5" t="str">
        <f ca="1">_xll.DBR($B$28,$A36,E$30)</f>
        <v>*KEY_ERR</v>
      </c>
      <c r="F36" s="5" t="str">
        <f ca="1">_xll.DBR($B$28,$A36,F$30)</f>
        <v>*KEY_ERR</v>
      </c>
      <c r="G36" s="5" t="str">
        <f ca="1">_xll.DBR($B$28,$A36,G$30)</f>
        <v>*KEY_ERR</v>
      </c>
    </row>
    <row r="37" spans="1:7" hidden="1" outlineLevel="1" x14ac:dyDescent="0.3">
      <c r="A37" s="5" t="s">
        <v>67</v>
      </c>
      <c r="B37" s="5" t="str">
        <f ca="1">_xll.DBR($B$28,$A37,B$30)</f>
        <v>*KEY_ERR</v>
      </c>
      <c r="C37" s="5" t="str">
        <f ca="1">_xll.DBR($B$28,$A37,C$30)</f>
        <v>*KEY_ERR</v>
      </c>
      <c r="D37" s="5" t="str">
        <f ca="1">_xll.DBR($B$28,$A37,D$30)</f>
        <v>*KEY_ERR</v>
      </c>
      <c r="E37" s="5" t="str">
        <f ca="1">_xll.DBR($B$28,$A37,E$30)</f>
        <v>*KEY_ERR</v>
      </c>
      <c r="F37" s="5" t="str">
        <f ca="1">_xll.DBR($B$28,$A37,F$30)</f>
        <v>*KEY_ERR</v>
      </c>
      <c r="G37" s="5" t="str">
        <f ca="1">_xll.DBR($B$28,$A37,G$30)</f>
        <v>*KEY_ERR</v>
      </c>
    </row>
    <row r="38" spans="1:7" hidden="1" outlineLevel="1" x14ac:dyDescent="0.3">
      <c r="A38" s="5" t="s">
        <v>69</v>
      </c>
      <c r="B38" s="5" t="str">
        <f ca="1">_xll.DBR($B$28,$A38,B$30)</f>
        <v>*KEY_ERR</v>
      </c>
      <c r="C38" s="5" t="str">
        <f ca="1">_xll.DBR($B$28,$A38,C$30)</f>
        <v>*KEY_ERR</v>
      </c>
      <c r="D38" s="5" t="str">
        <f ca="1">_xll.DBR($B$28,$A38,D$30)</f>
        <v>*KEY_ERR</v>
      </c>
      <c r="E38" s="5" t="str">
        <f ca="1">_xll.DBR($B$28,$A38,E$30)</f>
        <v>*KEY_ERR</v>
      </c>
      <c r="F38" s="5" t="str">
        <f ca="1">_xll.DBR($B$28,$A38,F$30)</f>
        <v>*KEY_ERR</v>
      </c>
      <c r="G38" s="5" t="str">
        <f ca="1">_xll.DBR($B$28,$A38,G$30)</f>
        <v>*KEY_ERR</v>
      </c>
    </row>
    <row r="39" spans="1:7" hidden="1" outlineLevel="1" x14ac:dyDescent="0.3">
      <c r="A39" s="5" t="s">
        <v>76</v>
      </c>
      <c r="B39" s="5" t="str">
        <f ca="1">_xll.DBR($B$28,$A39,B$30)</f>
        <v>*KEY_ERR</v>
      </c>
      <c r="C39" s="5" t="str">
        <f ca="1">_xll.DBR($B$28,$A39,C$30)</f>
        <v>*KEY_ERR</v>
      </c>
      <c r="D39" s="5" t="str">
        <f ca="1">_xll.DBR($B$28,$A39,D$30)</f>
        <v>*KEY_ERR</v>
      </c>
      <c r="E39" s="5" t="str">
        <f ca="1">_xll.DBR($B$28,$A39,E$30)</f>
        <v>*KEY_ERR</v>
      </c>
      <c r="F39" s="5" t="str">
        <f ca="1">_xll.DBR($B$28,$A39,F$30)</f>
        <v>*KEY_ERR</v>
      </c>
      <c r="G39" s="5" t="str">
        <f ca="1">_xll.DBR($B$28,$A39,G$30)</f>
        <v>*KEY_ERR</v>
      </c>
    </row>
    <row r="40" spans="1:7" hidden="1" outlineLevel="1" x14ac:dyDescent="0.3">
      <c r="A40" s="5" t="s">
        <v>77</v>
      </c>
      <c r="B40" s="5" t="str">
        <f ca="1">_xll.DBR($B$28,$A40,B$30)</f>
        <v>*KEY_ERR</v>
      </c>
      <c r="C40" s="5" t="str">
        <f ca="1">_xll.DBR($B$28,$A40,C$30)</f>
        <v>*KEY_ERR</v>
      </c>
      <c r="D40" s="5" t="str">
        <f ca="1">_xll.DBR($B$28,$A40,D$30)</f>
        <v>*KEY_ERR</v>
      </c>
      <c r="E40" s="5" t="str">
        <f ca="1">_xll.DBR($B$28,$A40,E$30)</f>
        <v>*KEY_ERR</v>
      </c>
      <c r="F40" s="5" t="str">
        <f ca="1">_xll.DBR($B$28,$A40,F$30)</f>
        <v>*KEY_ERR</v>
      </c>
      <c r="G40" s="5" t="str">
        <f ca="1">_xll.DBR($B$28,$A40,G$30)</f>
        <v>*KEY_ERR</v>
      </c>
    </row>
    <row r="41" spans="1:7" hidden="1" outlineLevel="1" x14ac:dyDescent="0.3"/>
    <row r="42" spans="1:7" hidden="1" outlineLevel="1" x14ac:dyDescent="0.3">
      <c r="A42" s="24" t="s">
        <v>24</v>
      </c>
      <c r="B42" s="25"/>
      <c r="C42" s="26"/>
    </row>
    <row r="43" spans="1:7" hidden="1" outlineLevel="1" x14ac:dyDescent="0.3">
      <c r="A43" s="1" t="s">
        <v>8</v>
      </c>
      <c r="B43" s="5" t="str">
        <f ca="1">_xll.VIEW(db_name&amp;":sys_client preference","!","!","!")</f>
        <v>dcceew_geus:sys_client preference</v>
      </c>
      <c r="C43" s="5"/>
    </row>
    <row r="44" spans="1:7" hidden="1" outlineLevel="1" x14ac:dyDescent="0.3">
      <c r="A44" s="1"/>
      <c r="B44" s="8" t="s">
        <v>25</v>
      </c>
      <c r="C44" s="8" t="s">
        <v>26</v>
      </c>
    </row>
    <row r="45" spans="1:7" hidden="1" outlineLevel="1" x14ac:dyDescent="0.3">
      <c r="A45" s="1" t="s">
        <v>27</v>
      </c>
      <c r="B45" s="5" t="str">
        <f ca="1">_xll.SUBNM(db_name&amp;":sys_client preference measure","","value")</f>
        <v/>
      </c>
      <c r="C45" s="8"/>
    </row>
    <row r="46" spans="1:7" hidden="1" outlineLevel="1" x14ac:dyDescent="0.3">
      <c r="A46" s="1" t="s">
        <v>28</v>
      </c>
      <c r="B46" s="5" t="str">
        <f ca="1">_xll.DBR($B$43,psUser,$A46,B$44)</f>
        <v>*KEY_ERR</v>
      </c>
      <c r="C46" s="5" t="str">
        <f ca="1">_xll.DBR($B$43,psUser,$A46,C$44)</f>
        <v>*KEY_ERR</v>
      </c>
    </row>
    <row r="47" spans="1:7" hidden="1" outlineLevel="1" x14ac:dyDescent="0.3">
      <c r="A47" s="1" t="s">
        <v>29</v>
      </c>
      <c r="B47" s="5" t="str">
        <f ca="1">_xll.DBR($B$43,psUser,$A47,B$44)</f>
        <v>*KEY_ERR</v>
      </c>
      <c r="C47" s="5" t="str">
        <f ca="1">_xll.DBR($B$43,psUser,$A47,C$44)</f>
        <v>*KEY_ERR</v>
      </c>
    </row>
    <row r="48" spans="1:7" hidden="1" outlineLevel="1" x14ac:dyDescent="0.3">
      <c r="A48" s="1" t="s">
        <v>30</v>
      </c>
      <c r="B48" s="5" t="str">
        <f ca="1">_xll.DBR($B$43,psUser,$A48,B$44)</f>
        <v>*KEY_ERR</v>
      </c>
      <c r="C48" s="5" t="str">
        <f ca="1">_xll.DBR($B$43,psUser,$A48,C$44)</f>
        <v>*KEY_ERR</v>
      </c>
    </row>
    <row r="49" spans="1:3" hidden="1" outlineLevel="1" x14ac:dyDescent="0.3">
      <c r="A49" s="1" t="s">
        <v>58</v>
      </c>
      <c r="B49" s="5" t="str">
        <f ca="1">_xll.DBR($B$43,psUser,$A49,B$44)</f>
        <v>*KEY_ERR</v>
      </c>
      <c r="C49" s="5" t="str">
        <f ca="1">_xll.DBR($B$43,psUser,$A49,C$44)</f>
        <v>*KEY_ERR</v>
      </c>
    </row>
    <row r="50" spans="1:3" hidden="1" outlineLevel="1" x14ac:dyDescent="0.3"/>
    <row r="51" spans="1:3" hidden="1" outlineLevel="1" x14ac:dyDescent="0.3">
      <c r="A51" s="28" t="s">
        <v>65</v>
      </c>
      <c r="B51" s="28"/>
      <c r="C51" s="28"/>
    </row>
    <row r="52" spans="1:3" hidden="1" outlineLevel="1" x14ac:dyDescent="0.3">
      <c r="A52" s="5" t="s">
        <v>59</v>
      </c>
      <c r="B52" s="5" t="s">
        <v>60</v>
      </c>
      <c r="C52" s="5"/>
    </row>
    <row r="53" spans="1:3" hidden="1" outlineLevel="1" x14ac:dyDescent="0.3">
      <c r="A53" s="5" t="s">
        <v>61</v>
      </c>
      <c r="B53" s="5" t="s">
        <v>62</v>
      </c>
      <c r="C53" s="5"/>
    </row>
    <row r="54" spans="1:3" hidden="1" outlineLevel="1" x14ac:dyDescent="0.3">
      <c r="A54" s="5" t="s">
        <v>63</v>
      </c>
      <c r="B54" s="5" t="s">
        <v>64</v>
      </c>
      <c r="C54" s="5"/>
    </row>
    <row r="55" spans="1:3" hidden="1" outlineLevel="1" x14ac:dyDescent="0.3">
      <c r="A55" s="5" t="s">
        <v>66</v>
      </c>
      <c r="B55" s="5" t="s">
        <v>74</v>
      </c>
      <c r="C55" s="5"/>
    </row>
    <row r="56" spans="1:3" hidden="1" outlineLevel="1" x14ac:dyDescent="0.3"/>
    <row r="57" spans="1:3" hidden="1" outlineLevel="1" x14ac:dyDescent="0.3"/>
    <row r="58" spans="1:3" hidden="1" outlineLevel="1" x14ac:dyDescent="0.3"/>
    <row r="59" spans="1:3" hidden="1" outlineLevel="1" x14ac:dyDescent="0.3"/>
    <row r="60" spans="1:3" hidden="1" outlineLevel="1" x14ac:dyDescent="0.3"/>
    <row r="61" spans="1:3" hidden="1" outlineLevel="1" x14ac:dyDescent="0.3"/>
    <row r="62" spans="1:3" hidden="1" outlineLevel="1" x14ac:dyDescent="0.3"/>
    <row r="63" spans="1:3" hidden="1" outlineLevel="1" x14ac:dyDescent="0.3"/>
    <row r="64" spans="1:3" hidden="1" outlineLevel="1" x14ac:dyDescent="0.3"/>
    <row r="65" spans="9:15" hidden="1" outlineLevel="1" x14ac:dyDescent="0.3"/>
    <row r="66" spans="9:15" ht="39.75" customHeight="1" collapsed="1" x14ac:dyDescent="0.3">
      <c r="I66" s="9"/>
      <c r="J66" s="9"/>
      <c r="K66" s="9"/>
      <c r="L66" s="9"/>
      <c r="M66" s="9"/>
      <c r="N66" s="9"/>
      <c r="O66" s="9" t="s">
        <v>73</v>
      </c>
    </row>
    <row r="67" spans="9:15" ht="4.5" customHeight="1" x14ac:dyDescent="0.3"/>
    <row r="68" spans="9:15" ht="24" customHeight="1" x14ac:dyDescent="0.3"/>
    <row r="69" spans="9:15" ht="1.5" customHeight="1" x14ac:dyDescent="0.3">
      <c r="I69" s="9"/>
      <c r="J69" s="9"/>
      <c r="K69" s="9"/>
      <c r="L69" s="9"/>
      <c r="M69" s="9"/>
      <c r="N69" s="9"/>
      <c r="O69" s="9"/>
    </row>
    <row r="70" spans="9:15" ht="5.25" customHeight="1" x14ac:dyDescent="0.3"/>
    <row r="71" spans="9:15" x14ac:dyDescent="0.3">
      <c r="K71" s="11" t="s">
        <v>39</v>
      </c>
      <c r="M71" s="20" t="str">
        <f ca="1">$B$15</f>
        <v>*KEY_ERR</v>
      </c>
    </row>
    <row r="72" spans="9:15" ht="5.0999999999999996" customHeight="1" x14ac:dyDescent="0.3"/>
    <row r="73" spans="9:15" x14ac:dyDescent="0.3">
      <c r="K73" s="10" t="s">
        <v>37</v>
      </c>
      <c r="M73" s="13" t="s">
        <v>38</v>
      </c>
      <c r="O73" s="21" t="s">
        <v>43</v>
      </c>
    </row>
    <row r="74" spans="9:15" ht="3.75" customHeight="1" x14ac:dyDescent="0.3">
      <c r="K74" s="11"/>
      <c r="M74" s="12"/>
    </row>
    <row r="75" spans="9:15" x14ac:dyDescent="0.3">
      <c r="K75" s="11" t="s">
        <v>40</v>
      </c>
      <c r="M75" s="23" t="str">
        <f ca="1">$B$49</f>
        <v>*KEY_ERR</v>
      </c>
      <c r="O75" s="22" t="s">
        <v>72</v>
      </c>
    </row>
    <row r="76" spans="9:15" ht="4.5" customHeight="1" x14ac:dyDescent="0.3"/>
    <row r="77" spans="9:15" x14ac:dyDescent="0.3">
      <c r="K77" s="14" t="s">
        <v>41</v>
      </c>
      <c r="M77" s="15" t="s">
        <v>42</v>
      </c>
    </row>
    <row r="78" spans="9:15" ht="5.0999999999999996" customHeight="1" x14ac:dyDescent="0.3"/>
    <row r="79" spans="9:15" x14ac:dyDescent="0.3">
      <c r="K79" s="11" t="s">
        <v>46</v>
      </c>
      <c r="M79" s="16" t="s">
        <v>44</v>
      </c>
    </row>
    <row r="80" spans="9:15" x14ac:dyDescent="0.3">
      <c r="M80" s="17" t="str">
        <f>"- General Format in excel"</f>
        <v>- General Format in excel</v>
      </c>
    </row>
    <row r="81" spans="11:13" x14ac:dyDescent="0.3">
      <c r="M81" s="17" t="str">
        <f>"- No commas (,) to seperate thousands"</f>
        <v>- No commas (,) to seperate thousands</v>
      </c>
    </row>
    <row r="82" spans="11:13" x14ac:dyDescent="0.3">
      <c r="M82" s="17" t="str">
        <f>"- Zeroes are set as 0 not dashes (-)"</f>
        <v>- Zeroes are set as 0 not dashes (-)</v>
      </c>
    </row>
    <row r="83" spans="11:13" x14ac:dyDescent="0.3">
      <c r="M83" s="18" t="s">
        <v>45</v>
      </c>
    </row>
    <row r="84" spans="11:13" ht="4.5" customHeight="1" x14ac:dyDescent="0.3"/>
    <row r="85" spans="11:13" x14ac:dyDescent="0.3">
      <c r="K85" s="14" t="s">
        <v>41</v>
      </c>
      <c r="M85" s="15" t="s">
        <v>75</v>
      </c>
    </row>
  </sheetData>
  <sheetProtection sheet="1" objects="1" scenarios="1"/>
  <mergeCells count="7">
    <mergeCell ref="A18:C18"/>
    <mergeCell ref="A24:C24"/>
    <mergeCell ref="A51:C51"/>
    <mergeCell ref="A1:C1"/>
    <mergeCell ref="A9:C9"/>
    <mergeCell ref="A27:C27"/>
    <mergeCell ref="A42:C42"/>
  </mergeCells>
  <conditionalFormatting sqref="M71">
    <cfRule type="containsText" dxfId="2" priority="2" operator="containsText" text="approve">
      <formula>NOT(ISERROR(SEARCH("approve",M71)))</formula>
    </cfRule>
    <cfRule type="beginsWith" dxfId="1" priority="3" operator="beginsWith" text="un">
      <formula>LEFT(M71,LEN("un"))="un"</formula>
    </cfRule>
  </conditionalFormatting>
  <conditionalFormatting sqref="M75">
    <cfRule type="notContainsText" dxfId="0" priority="1" operator="notContains" text="PASS">
      <formula>ISERROR(SEARCH("PASS",M75))</formula>
    </cfRule>
  </conditionalFormatting>
  <hyperlinks>
    <hyperlink ref="B20" r:id="rId1" xr:uid="{E1093337-6FD9-42BB-863E-EE26F8F60131}"/>
  </hyperlinks>
  <pageMargins left="0.70866141732283472" right="0.70866141732283472" top="0.74803149606299213" bottom="0.74803149606299213" header="0.31496062992125984" footer="0.31496062992125984"/>
  <pageSetup paperSize="9" scale="83" orientation="landscape" horizontalDpi="0" verticalDpi="0" r:id="rId2"/>
  <drawing r:id="rId3"/>
  <legacyDrawing r:id="rId4"/>
  <controls>
    <mc:AlternateContent xmlns:mc="http://schemas.openxmlformats.org/markup-compatibility/2006">
      <mc:Choice Requires="x14">
        <control shapeId="1043" r:id="rId5" name="TIButton7">
          <controlPr defaultSize="0" print="0" autoLine="0" r:id="rId6">
            <anchor moveWithCells="1" sizeWithCells="1">
              <from>
                <xdr:col>12</xdr:col>
                <xdr:colOff>2049780</xdr:colOff>
                <xdr:row>67</xdr:row>
                <xdr:rowOff>0</xdr:rowOff>
              </from>
              <to>
                <xdr:col>12</xdr:col>
                <xdr:colOff>3573780</xdr:colOff>
                <xdr:row>67</xdr:row>
                <xdr:rowOff>251460</xdr:rowOff>
              </to>
            </anchor>
          </controlPr>
        </control>
      </mc:Choice>
      <mc:Fallback>
        <control shapeId="1043" r:id="rId5" name="TIButton7"/>
      </mc:Fallback>
    </mc:AlternateContent>
    <mc:AlternateContent xmlns:mc="http://schemas.openxmlformats.org/markup-compatibility/2006">
      <mc:Choice Requires="x14">
        <control shapeId="1039" r:id="rId7" name="TIButton6">
          <controlPr defaultSize="0" print="0" autoLine="0" r:id="rId8">
            <anchor moveWithCells="1" sizeWithCells="1">
              <from>
                <xdr:col>12</xdr:col>
                <xdr:colOff>3604260</xdr:colOff>
                <xdr:row>67</xdr:row>
                <xdr:rowOff>0</xdr:rowOff>
              </from>
              <to>
                <xdr:col>12</xdr:col>
                <xdr:colOff>4495800</xdr:colOff>
                <xdr:row>67</xdr:row>
                <xdr:rowOff>251460</xdr:rowOff>
              </to>
            </anchor>
          </controlPr>
        </control>
      </mc:Choice>
      <mc:Fallback>
        <control shapeId="1039" r:id="rId7" name="TIButton6"/>
      </mc:Fallback>
    </mc:AlternateContent>
    <mc:AlternateContent xmlns:mc="http://schemas.openxmlformats.org/markup-compatibility/2006">
      <mc:Choice Requires="x14">
        <control shapeId="1037" r:id="rId9" name="TIButton4">
          <controlPr defaultSize="0" print="0" autoLine="0" autoPict="0" r:id="rId10">
            <anchor moveWithCells="1" sizeWithCells="1">
              <from>
                <xdr:col>10</xdr:col>
                <xdr:colOff>1257300</xdr:colOff>
                <xdr:row>67</xdr:row>
                <xdr:rowOff>0</xdr:rowOff>
              </from>
              <to>
                <xdr:col>12</xdr:col>
                <xdr:colOff>670560</xdr:colOff>
                <xdr:row>67</xdr:row>
                <xdr:rowOff>251460</xdr:rowOff>
              </to>
            </anchor>
          </controlPr>
        </control>
      </mc:Choice>
      <mc:Fallback>
        <control shapeId="1037" r:id="rId9" name="TIButton4"/>
      </mc:Fallback>
    </mc:AlternateContent>
    <mc:AlternateContent xmlns:mc="http://schemas.openxmlformats.org/markup-compatibility/2006">
      <mc:Choice Requires="x14">
        <control shapeId="1036" r:id="rId11" name="TIButton2">
          <controlPr defaultSize="0" print="0" autoLine="0" r:id="rId12">
            <anchor moveWithCells="1" sizeWithCells="1">
              <from>
                <xdr:col>10</xdr:col>
                <xdr:colOff>106680</xdr:colOff>
                <xdr:row>67</xdr:row>
                <xdr:rowOff>0</xdr:rowOff>
              </from>
              <to>
                <xdr:col>10</xdr:col>
                <xdr:colOff>1226820</xdr:colOff>
                <xdr:row>67</xdr:row>
                <xdr:rowOff>251460</xdr:rowOff>
              </to>
            </anchor>
          </controlPr>
        </control>
      </mc:Choice>
      <mc:Fallback>
        <control shapeId="1036" r:id="rId11" name="TIButton2"/>
      </mc:Fallback>
    </mc:AlternateContent>
    <mc:AlternateContent xmlns:mc="http://schemas.openxmlformats.org/markup-compatibility/2006">
      <mc:Choice Requires="x14">
        <control shapeId="1035" r:id="rId13" name="TIButton3">
          <controlPr defaultSize="0" print="0" autoLine="0" r:id="rId14">
            <anchor moveWithCells="1" sizeWithCells="1">
              <from>
                <xdr:col>9</xdr:col>
                <xdr:colOff>38100</xdr:colOff>
                <xdr:row>67</xdr:row>
                <xdr:rowOff>0</xdr:rowOff>
              </from>
              <to>
                <xdr:col>10</xdr:col>
                <xdr:colOff>68580</xdr:colOff>
                <xdr:row>67</xdr:row>
                <xdr:rowOff>251460</xdr:rowOff>
              </to>
            </anchor>
          </controlPr>
        </control>
      </mc:Choice>
      <mc:Fallback>
        <control shapeId="1035" r:id="rId13" name="TIButton3"/>
      </mc:Fallback>
    </mc:AlternateContent>
    <mc:AlternateContent xmlns:mc="http://schemas.openxmlformats.org/markup-compatibility/2006">
      <mc:Choice Requires="x14">
        <control shapeId="1031" r:id="rId15" name="TIButton1">
          <controlPr defaultSize="0" print="0" autoLine="0" r:id="rId16">
            <anchor moveWithCells="1" sizeWithCells="1">
              <from>
                <xdr:col>12</xdr:col>
                <xdr:colOff>4541520</xdr:colOff>
                <xdr:row>67</xdr:row>
                <xdr:rowOff>0</xdr:rowOff>
              </from>
              <to>
                <xdr:col>12</xdr:col>
                <xdr:colOff>5326380</xdr:colOff>
                <xdr:row>67</xdr:row>
                <xdr:rowOff>251460</xdr:rowOff>
              </to>
            </anchor>
          </controlPr>
        </control>
      </mc:Choice>
      <mc:Fallback>
        <control shapeId="1031" r:id="rId15" name="TIButton1"/>
      </mc:Fallback>
    </mc:AlternateContent>
    <mc:AlternateContent xmlns:mc="http://schemas.openxmlformats.org/markup-compatibility/2006">
      <mc:Choice Requires="x14">
        <control shapeId="1042" r:id="rId17" name="TIButton5">
          <controlPr defaultSize="0" print="0" autoLine="0" r:id="rId18">
            <anchor moveWithCells="1" sizeWithCells="1">
              <from>
                <xdr:col>14</xdr:col>
                <xdr:colOff>4526280</xdr:colOff>
                <xdr:row>66</xdr:row>
                <xdr:rowOff>30480</xdr:rowOff>
              </from>
              <to>
                <xdr:col>15</xdr:col>
                <xdr:colOff>0</xdr:colOff>
                <xdr:row>67</xdr:row>
                <xdr:rowOff>289560</xdr:rowOff>
              </to>
            </anchor>
          </controlPr>
        </control>
      </mc:Choice>
      <mc:Fallback>
        <control shapeId="1042" r:id="rId17" name="TIButton5"/>
      </mc:Fallback>
    </mc:AlternateContent>
    <mc:AlternateContent xmlns:mc="http://schemas.openxmlformats.org/markup-compatibility/2006">
      <mc:Choice Requires="x14">
        <control shapeId="1044" r:id="rId19" name="TIButton8">
          <controlPr defaultSize="0" print="0" autoLine="0" r:id="rId20">
            <anchor moveWithCells="1" sizeWithCells="1">
              <from>
                <xdr:col>12</xdr:col>
                <xdr:colOff>708660</xdr:colOff>
                <xdr:row>67</xdr:row>
                <xdr:rowOff>0</xdr:rowOff>
              </from>
              <to>
                <xdr:col>12</xdr:col>
                <xdr:colOff>2011680</xdr:colOff>
                <xdr:row>67</xdr:row>
                <xdr:rowOff>251460</xdr:rowOff>
              </to>
            </anchor>
          </controlPr>
        </control>
      </mc:Choice>
      <mc:Fallback>
        <control shapeId="1044" r:id="rId19" name="TIButton8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A12F-8DC7-4BD1-9880-12F5990EA087}">
  <sheetPr codeName="Sheet2"/>
  <dimension ref="A1:A6"/>
  <sheetViews>
    <sheetView workbookViewId="0"/>
  </sheetViews>
  <sheetFormatPr defaultRowHeight="14.4" x14ac:dyDescent="0.3"/>
  <sheetData>
    <row r="1" spans="1:1" x14ac:dyDescent="0.3">
      <c r="A1" t="s">
        <v>33</v>
      </c>
    </row>
    <row r="2" spans="1:1" x14ac:dyDescent="0.3">
      <c r="A2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31</v>
      </c>
    </row>
    <row r="6" spans="1:1" x14ac:dyDescent="0.3">
      <c r="A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40</vt:i4>
      </vt:variant>
    </vt:vector>
  </HeadingPairs>
  <TitlesOfParts>
    <vt:vector size="42" baseType="lpstr">
      <vt:lpstr>meas upload costings</vt:lpstr>
      <vt:lpstr>{PL}PickLst</vt:lpstr>
      <vt:lpstr>db_name</vt:lpstr>
      <vt:lpstr>psApp</vt:lpstr>
      <vt:lpstr>psFFType</vt:lpstr>
      <vt:lpstr>psFileName</vt:lpstr>
      <vt:lpstr>psHLYear</vt:lpstr>
      <vt:lpstr>psScenario</vt:lpstr>
      <vt:lpstr>psUser</vt:lpstr>
      <vt:lpstr>TM1HomeAECAP</vt:lpstr>
      <vt:lpstr>TM1HomeAEDataEntryCAP</vt:lpstr>
      <vt:lpstr>TM1HomeAEDataEntryWB</vt:lpstr>
      <vt:lpstr>TM1HomeAEDataEntryWS</vt:lpstr>
      <vt:lpstr>TM1HomeAEMeasuresCAP</vt:lpstr>
      <vt:lpstr>TM1HomeAEMeasuresWB</vt:lpstr>
      <vt:lpstr>TM1HomeAEMeasuresWS</vt:lpstr>
      <vt:lpstr>TM1HomeAEWB</vt:lpstr>
      <vt:lpstr>TM1HomeAEWS</vt:lpstr>
      <vt:lpstr>TM1HomeCAP</vt:lpstr>
      <vt:lpstr>TM1HomeWB</vt:lpstr>
      <vt:lpstr>TM1HomeWS</vt:lpstr>
      <vt:lpstr>TM1MeasBulkCAP</vt:lpstr>
      <vt:lpstr>TM1MeasBulkWB</vt:lpstr>
      <vt:lpstr>TM1MeasBulkWS</vt:lpstr>
      <vt:lpstr>TM1MeasListCAP</vt:lpstr>
      <vt:lpstr>TM1MeasListWB</vt:lpstr>
      <vt:lpstr>TM1MeasListWS</vt:lpstr>
      <vt:lpstr>TM1MeasUploadCAP</vt:lpstr>
      <vt:lpstr>TM1MeasUploadCostingsCAP</vt:lpstr>
      <vt:lpstr>TM1MeasUploadCostingsWB</vt:lpstr>
      <vt:lpstr>TM1MeasUploadCostingsWS</vt:lpstr>
      <vt:lpstr>TM1MeasUploadCostTempCAP</vt:lpstr>
      <vt:lpstr>TM1MeasUploadCostTempWB</vt:lpstr>
      <vt:lpstr>TM1MeasUploadCostTempWS</vt:lpstr>
      <vt:lpstr>TM1MeasUploadTempCAP</vt:lpstr>
      <vt:lpstr>TM1MeasUploadTempWB</vt:lpstr>
      <vt:lpstr>TM1MeasUploadTempWS</vt:lpstr>
      <vt:lpstr>TM1MeasUploadWB</vt:lpstr>
      <vt:lpstr>TM1MeasUploadWS</vt:lpstr>
      <vt:lpstr>TM1UploadAB_Confirm</vt:lpstr>
      <vt:lpstr>TM1UploadAB_Fail</vt:lpstr>
      <vt:lpstr>TM1UploadAB_Success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cp:lastPrinted>2019-04-29T04:37:36Z</cp:lastPrinted>
  <dcterms:created xsi:type="dcterms:W3CDTF">2019-04-26T07:19:11Z</dcterms:created>
  <dcterms:modified xsi:type="dcterms:W3CDTF">2023-02-14T22:32:25Z</dcterms:modified>
</cp:coreProperties>
</file>